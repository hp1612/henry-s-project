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85251\Downloads\"/>
    </mc:Choice>
  </mc:AlternateContent>
  <xr:revisionPtr revIDLastSave="0" documentId="13_ncr:1_{2076936C-9546-45E2-BA94-98B370BFEB28}" xr6:coauthVersionLast="47" xr6:coauthVersionMax="47" xr10:uidLastSave="{00000000-0000-0000-0000-000000000000}"/>
  <bookViews>
    <workbookView xWindow="-110" yWindow="-110" windowWidth="19420" windowHeight="10300" firstSheet="2" activeTab="3" xr2:uid="{0FC57A90-08BC-4643-AC3E-8B857E77F602}"/>
  </bookViews>
  <sheets>
    <sheet name="1. ecommerce_sales_all_data" sheetId="1" r:id="rId1"/>
    <sheet name="2. category_general_analysis" sheetId="2" r:id="rId2"/>
    <sheet name="3. category_monthly_sales" sheetId="3" r:id="rId3"/>
    <sheet name="4. categorical_monthly_revenu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D15" i="4"/>
  <c r="E15" i="4"/>
  <c r="F15" i="4"/>
  <c r="G15" i="4"/>
  <c r="H15" i="4"/>
  <c r="I15" i="4"/>
  <c r="B15" i="4"/>
  <c r="A19" i="4"/>
  <c r="C15" i="3"/>
  <c r="D15" i="3"/>
  <c r="E15" i="3"/>
  <c r="F15" i="3"/>
  <c r="G15" i="3"/>
  <c r="H15" i="3"/>
  <c r="I15" i="3"/>
  <c r="B15" i="3"/>
  <c r="A12" i="2"/>
  <c r="AF823" i="1"/>
  <c r="V3" i="1"/>
  <c r="W3" i="1"/>
  <c r="X3" i="1"/>
  <c r="Y3" i="1"/>
  <c r="Z3" i="1"/>
  <c r="AA3" i="1"/>
  <c r="AB3" i="1"/>
  <c r="AC3" i="1"/>
  <c r="AD3" i="1"/>
  <c r="AE3" i="1"/>
  <c r="V4" i="1"/>
  <c r="W4" i="1"/>
  <c r="X4" i="1"/>
  <c r="Y4" i="1"/>
  <c r="Z4" i="1"/>
  <c r="AA4" i="1"/>
  <c r="AB4" i="1"/>
  <c r="AC4" i="1"/>
  <c r="AD4" i="1"/>
  <c r="AE4" i="1"/>
  <c r="V5" i="1"/>
  <c r="W5" i="1"/>
  <c r="X5" i="1"/>
  <c r="Y5" i="1"/>
  <c r="Z5" i="1"/>
  <c r="AA5" i="1"/>
  <c r="AB5" i="1"/>
  <c r="AC5" i="1"/>
  <c r="AD5" i="1"/>
  <c r="AE5" i="1"/>
  <c r="V6" i="1"/>
  <c r="W6" i="1"/>
  <c r="X6" i="1"/>
  <c r="Y6" i="1"/>
  <c r="Z6" i="1"/>
  <c r="AA6" i="1"/>
  <c r="AB6" i="1"/>
  <c r="AC6" i="1"/>
  <c r="AD6" i="1"/>
  <c r="AE6" i="1"/>
  <c r="V7" i="1"/>
  <c r="W7" i="1"/>
  <c r="X7" i="1"/>
  <c r="Y7" i="1"/>
  <c r="Z7" i="1"/>
  <c r="AA7" i="1"/>
  <c r="AB7" i="1"/>
  <c r="AC7" i="1"/>
  <c r="AD7" i="1"/>
  <c r="AE7" i="1"/>
  <c r="V8" i="1"/>
  <c r="W8" i="1"/>
  <c r="X8" i="1"/>
  <c r="Y8" i="1"/>
  <c r="Z8" i="1"/>
  <c r="AA8" i="1"/>
  <c r="AB8" i="1"/>
  <c r="AC8" i="1"/>
  <c r="AD8" i="1"/>
  <c r="AE8" i="1"/>
  <c r="V9" i="1"/>
  <c r="W9" i="1"/>
  <c r="X9" i="1"/>
  <c r="Y9" i="1"/>
  <c r="Z9" i="1"/>
  <c r="AA9" i="1"/>
  <c r="AB9" i="1"/>
  <c r="AC9" i="1"/>
  <c r="AD9" i="1"/>
  <c r="AE9" i="1"/>
  <c r="V10" i="1"/>
  <c r="W10" i="1"/>
  <c r="X10" i="1"/>
  <c r="Y10" i="1"/>
  <c r="Z10" i="1"/>
  <c r="AA10" i="1"/>
  <c r="AB10" i="1"/>
  <c r="AC10" i="1"/>
  <c r="AD10" i="1"/>
  <c r="AE10" i="1"/>
  <c r="V11" i="1"/>
  <c r="W11" i="1"/>
  <c r="X11" i="1"/>
  <c r="Y11" i="1"/>
  <c r="Z11" i="1"/>
  <c r="AA11" i="1"/>
  <c r="AB11" i="1"/>
  <c r="AC11" i="1"/>
  <c r="AD11" i="1"/>
  <c r="AE11" i="1"/>
  <c r="V12" i="1"/>
  <c r="W12" i="1"/>
  <c r="X12" i="1"/>
  <c r="Y12" i="1"/>
  <c r="Z12" i="1"/>
  <c r="AA12" i="1"/>
  <c r="AB12" i="1"/>
  <c r="AC12" i="1"/>
  <c r="AD12" i="1"/>
  <c r="AE12" i="1"/>
  <c r="V13" i="1"/>
  <c r="W13" i="1"/>
  <c r="X13" i="1"/>
  <c r="Y13" i="1"/>
  <c r="Z13" i="1"/>
  <c r="AA13" i="1"/>
  <c r="AB13" i="1"/>
  <c r="AC13" i="1"/>
  <c r="AD13" i="1"/>
  <c r="AE13" i="1"/>
  <c r="V14" i="1"/>
  <c r="W14" i="1"/>
  <c r="X14" i="1"/>
  <c r="Y14" i="1"/>
  <c r="Z14" i="1"/>
  <c r="AA14" i="1"/>
  <c r="AB14" i="1"/>
  <c r="AC14" i="1"/>
  <c r="AD14" i="1"/>
  <c r="AE14" i="1"/>
  <c r="V15" i="1"/>
  <c r="W15" i="1"/>
  <c r="X15" i="1"/>
  <c r="Y15" i="1"/>
  <c r="Z15" i="1"/>
  <c r="AA15" i="1"/>
  <c r="AB15" i="1"/>
  <c r="AC15" i="1"/>
  <c r="AD15" i="1"/>
  <c r="AE15" i="1"/>
  <c r="V16" i="1"/>
  <c r="W16" i="1"/>
  <c r="X16" i="1"/>
  <c r="Y16" i="1"/>
  <c r="Z16" i="1"/>
  <c r="AA16" i="1"/>
  <c r="AB16" i="1"/>
  <c r="AC16" i="1"/>
  <c r="AD16" i="1"/>
  <c r="AE16" i="1"/>
  <c r="V17" i="1"/>
  <c r="W17" i="1"/>
  <c r="X17" i="1"/>
  <c r="Y17" i="1"/>
  <c r="Z17" i="1"/>
  <c r="AA17" i="1"/>
  <c r="AB17" i="1"/>
  <c r="AC17" i="1"/>
  <c r="AD17" i="1"/>
  <c r="AE17" i="1"/>
  <c r="V18" i="1"/>
  <c r="W18" i="1"/>
  <c r="X18" i="1"/>
  <c r="Y18" i="1"/>
  <c r="Z18" i="1"/>
  <c r="AA18" i="1"/>
  <c r="AB18" i="1"/>
  <c r="AC18" i="1"/>
  <c r="AD18" i="1"/>
  <c r="AE18" i="1"/>
  <c r="V19" i="1"/>
  <c r="W19" i="1"/>
  <c r="X19" i="1"/>
  <c r="Y19" i="1"/>
  <c r="Z19" i="1"/>
  <c r="AA19" i="1"/>
  <c r="AB19" i="1"/>
  <c r="AC19" i="1"/>
  <c r="AD19" i="1"/>
  <c r="AE19" i="1"/>
  <c r="V20" i="1"/>
  <c r="W20" i="1"/>
  <c r="X20" i="1"/>
  <c r="Y20" i="1"/>
  <c r="Z20" i="1"/>
  <c r="AA20" i="1"/>
  <c r="AB20" i="1"/>
  <c r="AC20" i="1"/>
  <c r="AD20" i="1"/>
  <c r="AE20" i="1"/>
  <c r="V21" i="1"/>
  <c r="W21" i="1"/>
  <c r="X21" i="1"/>
  <c r="Y21" i="1"/>
  <c r="Z21" i="1"/>
  <c r="AA21" i="1"/>
  <c r="AB21" i="1"/>
  <c r="AC21" i="1"/>
  <c r="AD21" i="1"/>
  <c r="AE21" i="1"/>
  <c r="V22" i="1"/>
  <c r="W22" i="1"/>
  <c r="X22" i="1"/>
  <c r="Y22" i="1"/>
  <c r="Z22" i="1"/>
  <c r="AA22" i="1"/>
  <c r="AB22" i="1"/>
  <c r="AC22" i="1"/>
  <c r="AD22" i="1"/>
  <c r="AE22" i="1"/>
  <c r="V23" i="1"/>
  <c r="W23" i="1"/>
  <c r="X23" i="1"/>
  <c r="Y23" i="1"/>
  <c r="Z23" i="1"/>
  <c r="AA23" i="1"/>
  <c r="AB23" i="1"/>
  <c r="AC23" i="1"/>
  <c r="AD23" i="1"/>
  <c r="AE23" i="1"/>
  <c r="V24" i="1"/>
  <c r="W24" i="1"/>
  <c r="X24" i="1"/>
  <c r="Y24" i="1"/>
  <c r="Z24" i="1"/>
  <c r="AA24" i="1"/>
  <c r="AB24" i="1"/>
  <c r="AC24" i="1"/>
  <c r="AD24" i="1"/>
  <c r="AE24" i="1"/>
  <c r="V25" i="1"/>
  <c r="W25" i="1"/>
  <c r="X25" i="1"/>
  <c r="Y25" i="1"/>
  <c r="Z25" i="1"/>
  <c r="AA25" i="1"/>
  <c r="AB25" i="1"/>
  <c r="AC25" i="1"/>
  <c r="AD25" i="1"/>
  <c r="AE25" i="1"/>
  <c r="V26" i="1"/>
  <c r="W26" i="1"/>
  <c r="X26" i="1"/>
  <c r="Y26" i="1"/>
  <c r="Z26" i="1"/>
  <c r="AA26" i="1"/>
  <c r="AB26" i="1"/>
  <c r="AC26" i="1"/>
  <c r="AD26" i="1"/>
  <c r="AE26" i="1"/>
  <c r="V27" i="1"/>
  <c r="W27" i="1"/>
  <c r="X27" i="1"/>
  <c r="Y27" i="1"/>
  <c r="Z27" i="1"/>
  <c r="AA27" i="1"/>
  <c r="AB27" i="1"/>
  <c r="AC27" i="1"/>
  <c r="AD27" i="1"/>
  <c r="AE27" i="1"/>
  <c r="V28" i="1"/>
  <c r="W28" i="1"/>
  <c r="X28" i="1"/>
  <c r="Y28" i="1"/>
  <c r="Z28" i="1"/>
  <c r="AA28" i="1"/>
  <c r="AB28" i="1"/>
  <c r="AC28" i="1"/>
  <c r="AD28" i="1"/>
  <c r="AE28" i="1"/>
  <c r="V29" i="1"/>
  <c r="W29" i="1"/>
  <c r="X29" i="1"/>
  <c r="Y29" i="1"/>
  <c r="Z29" i="1"/>
  <c r="AA29" i="1"/>
  <c r="AB29" i="1"/>
  <c r="AC29" i="1"/>
  <c r="AD29" i="1"/>
  <c r="AE29" i="1"/>
  <c r="V30" i="1"/>
  <c r="W30" i="1"/>
  <c r="X30" i="1"/>
  <c r="Y30" i="1"/>
  <c r="Z30" i="1"/>
  <c r="AA30" i="1"/>
  <c r="AB30" i="1"/>
  <c r="AC30" i="1"/>
  <c r="AD30" i="1"/>
  <c r="AE30" i="1"/>
  <c r="V31" i="1"/>
  <c r="W31" i="1"/>
  <c r="X31" i="1"/>
  <c r="Y31" i="1"/>
  <c r="Z31" i="1"/>
  <c r="AA31" i="1"/>
  <c r="AB31" i="1"/>
  <c r="AC31" i="1"/>
  <c r="AD31" i="1"/>
  <c r="AE31" i="1"/>
  <c r="V32" i="1"/>
  <c r="W32" i="1"/>
  <c r="X32" i="1"/>
  <c r="Y32" i="1"/>
  <c r="Z32" i="1"/>
  <c r="AA32" i="1"/>
  <c r="AB32" i="1"/>
  <c r="AC32" i="1"/>
  <c r="AD32" i="1"/>
  <c r="AE32" i="1"/>
  <c r="V33" i="1"/>
  <c r="W33" i="1"/>
  <c r="X33" i="1"/>
  <c r="Y33" i="1"/>
  <c r="Z33" i="1"/>
  <c r="AA33" i="1"/>
  <c r="AB33" i="1"/>
  <c r="AC33" i="1"/>
  <c r="AD33" i="1"/>
  <c r="AE33" i="1"/>
  <c r="V34" i="1"/>
  <c r="W34" i="1"/>
  <c r="X34" i="1"/>
  <c r="Y34" i="1"/>
  <c r="Z34" i="1"/>
  <c r="AA34" i="1"/>
  <c r="AB34" i="1"/>
  <c r="AC34" i="1"/>
  <c r="AD34" i="1"/>
  <c r="AE34" i="1"/>
  <c r="V35" i="1"/>
  <c r="W35" i="1"/>
  <c r="X35" i="1"/>
  <c r="Y35" i="1"/>
  <c r="Z35" i="1"/>
  <c r="AA35" i="1"/>
  <c r="AB35" i="1"/>
  <c r="AC35" i="1"/>
  <c r="AD35" i="1"/>
  <c r="AE35" i="1"/>
  <c r="V36" i="1"/>
  <c r="W36" i="1"/>
  <c r="X36" i="1"/>
  <c r="Y36" i="1"/>
  <c r="Z36" i="1"/>
  <c r="AA36" i="1"/>
  <c r="AB36" i="1"/>
  <c r="AC36" i="1"/>
  <c r="AD36" i="1"/>
  <c r="AE36" i="1"/>
  <c r="V37" i="1"/>
  <c r="W37" i="1"/>
  <c r="X37" i="1"/>
  <c r="Y37" i="1"/>
  <c r="Z37" i="1"/>
  <c r="AA37" i="1"/>
  <c r="AB37" i="1"/>
  <c r="AC37" i="1"/>
  <c r="AD37" i="1"/>
  <c r="AE37" i="1"/>
  <c r="V38" i="1"/>
  <c r="W38" i="1"/>
  <c r="X38" i="1"/>
  <c r="Y38" i="1"/>
  <c r="Z38" i="1"/>
  <c r="AA38" i="1"/>
  <c r="AB38" i="1"/>
  <c r="AC38" i="1"/>
  <c r="AD38" i="1"/>
  <c r="AE38" i="1"/>
  <c r="V39" i="1"/>
  <c r="W39" i="1"/>
  <c r="X39" i="1"/>
  <c r="Y39" i="1"/>
  <c r="Z39" i="1"/>
  <c r="AA39" i="1"/>
  <c r="AB39" i="1"/>
  <c r="AC39" i="1"/>
  <c r="AD39" i="1"/>
  <c r="AE39" i="1"/>
  <c r="V40" i="1"/>
  <c r="W40" i="1"/>
  <c r="X40" i="1"/>
  <c r="Y40" i="1"/>
  <c r="Z40" i="1"/>
  <c r="AA40" i="1"/>
  <c r="AB40" i="1"/>
  <c r="AC40" i="1"/>
  <c r="AD40" i="1"/>
  <c r="AE40" i="1"/>
  <c r="V41" i="1"/>
  <c r="W41" i="1"/>
  <c r="X41" i="1"/>
  <c r="Y41" i="1"/>
  <c r="Z41" i="1"/>
  <c r="AA41" i="1"/>
  <c r="AB41" i="1"/>
  <c r="AC41" i="1"/>
  <c r="AD41" i="1"/>
  <c r="AE41" i="1"/>
  <c r="V42" i="1"/>
  <c r="W42" i="1"/>
  <c r="X42" i="1"/>
  <c r="Y42" i="1"/>
  <c r="Z42" i="1"/>
  <c r="AA42" i="1"/>
  <c r="AB42" i="1"/>
  <c r="AC42" i="1"/>
  <c r="AD42" i="1"/>
  <c r="AE42" i="1"/>
  <c r="V43" i="1"/>
  <c r="W43" i="1"/>
  <c r="X43" i="1"/>
  <c r="Y43" i="1"/>
  <c r="Z43" i="1"/>
  <c r="AA43" i="1"/>
  <c r="AB43" i="1"/>
  <c r="AC43" i="1"/>
  <c r="AD43" i="1"/>
  <c r="AE43" i="1"/>
  <c r="V44" i="1"/>
  <c r="W44" i="1"/>
  <c r="X44" i="1"/>
  <c r="Y44" i="1"/>
  <c r="Z44" i="1"/>
  <c r="AA44" i="1"/>
  <c r="AB44" i="1"/>
  <c r="AC44" i="1"/>
  <c r="AD44" i="1"/>
  <c r="AE44" i="1"/>
  <c r="V45" i="1"/>
  <c r="W45" i="1"/>
  <c r="X45" i="1"/>
  <c r="Y45" i="1"/>
  <c r="Z45" i="1"/>
  <c r="AA45" i="1"/>
  <c r="AB45" i="1"/>
  <c r="AC45" i="1"/>
  <c r="AD45" i="1"/>
  <c r="AE45" i="1"/>
  <c r="V46" i="1"/>
  <c r="W46" i="1"/>
  <c r="X46" i="1"/>
  <c r="Y46" i="1"/>
  <c r="Z46" i="1"/>
  <c r="AA46" i="1"/>
  <c r="AB46" i="1"/>
  <c r="AC46" i="1"/>
  <c r="AD46" i="1"/>
  <c r="AE46" i="1"/>
  <c r="V47" i="1"/>
  <c r="W47" i="1"/>
  <c r="X47" i="1"/>
  <c r="Y47" i="1"/>
  <c r="Z47" i="1"/>
  <c r="AA47" i="1"/>
  <c r="AB47" i="1"/>
  <c r="AC47" i="1"/>
  <c r="AD47" i="1"/>
  <c r="AE47" i="1"/>
  <c r="V48" i="1"/>
  <c r="W48" i="1"/>
  <c r="X48" i="1"/>
  <c r="Y48" i="1"/>
  <c r="Z48" i="1"/>
  <c r="AA48" i="1"/>
  <c r="AB48" i="1"/>
  <c r="AC48" i="1"/>
  <c r="AD48" i="1"/>
  <c r="AE48" i="1"/>
  <c r="V49" i="1"/>
  <c r="W49" i="1"/>
  <c r="X49" i="1"/>
  <c r="Y49" i="1"/>
  <c r="Z49" i="1"/>
  <c r="AA49" i="1"/>
  <c r="AB49" i="1"/>
  <c r="AC49" i="1"/>
  <c r="AD49" i="1"/>
  <c r="AE49" i="1"/>
  <c r="V50" i="1"/>
  <c r="W50" i="1"/>
  <c r="X50" i="1"/>
  <c r="Y50" i="1"/>
  <c r="Z50" i="1"/>
  <c r="AA50" i="1"/>
  <c r="AB50" i="1"/>
  <c r="AC50" i="1"/>
  <c r="AD50" i="1"/>
  <c r="AE50" i="1"/>
  <c r="V51" i="1"/>
  <c r="W51" i="1"/>
  <c r="X51" i="1"/>
  <c r="Y51" i="1"/>
  <c r="Z51" i="1"/>
  <c r="AA51" i="1"/>
  <c r="AB51" i="1"/>
  <c r="AC51" i="1"/>
  <c r="AD51" i="1"/>
  <c r="AE51" i="1"/>
  <c r="V52" i="1"/>
  <c r="W52" i="1"/>
  <c r="X52" i="1"/>
  <c r="Y52" i="1"/>
  <c r="Z52" i="1"/>
  <c r="AA52" i="1"/>
  <c r="AB52" i="1"/>
  <c r="AC52" i="1"/>
  <c r="AD52" i="1"/>
  <c r="AE52" i="1"/>
  <c r="V53" i="1"/>
  <c r="W53" i="1"/>
  <c r="X53" i="1"/>
  <c r="Y53" i="1"/>
  <c r="Z53" i="1"/>
  <c r="AA53" i="1"/>
  <c r="AB53" i="1"/>
  <c r="AC53" i="1"/>
  <c r="AD53" i="1"/>
  <c r="AE53" i="1"/>
  <c r="V54" i="1"/>
  <c r="W54" i="1"/>
  <c r="X54" i="1"/>
  <c r="Y54" i="1"/>
  <c r="Z54" i="1"/>
  <c r="AA54" i="1"/>
  <c r="AB54" i="1"/>
  <c r="AC54" i="1"/>
  <c r="AD54" i="1"/>
  <c r="AE54" i="1"/>
  <c r="V55" i="1"/>
  <c r="W55" i="1"/>
  <c r="X55" i="1"/>
  <c r="Y55" i="1"/>
  <c r="Z55" i="1"/>
  <c r="AA55" i="1"/>
  <c r="AB55" i="1"/>
  <c r="AC55" i="1"/>
  <c r="AD55" i="1"/>
  <c r="AE55" i="1"/>
  <c r="V56" i="1"/>
  <c r="W56" i="1"/>
  <c r="X56" i="1"/>
  <c r="Y56" i="1"/>
  <c r="Z56" i="1"/>
  <c r="AA56" i="1"/>
  <c r="AB56" i="1"/>
  <c r="AC56" i="1"/>
  <c r="AD56" i="1"/>
  <c r="AE56" i="1"/>
  <c r="V57" i="1"/>
  <c r="W57" i="1"/>
  <c r="X57" i="1"/>
  <c r="Y57" i="1"/>
  <c r="Z57" i="1"/>
  <c r="AA57" i="1"/>
  <c r="AB57" i="1"/>
  <c r="AC57" i="1"/>
  <c r="AD57" i="1"/>
  <c r="AE57" i="1"/>
  <c r="V58" i="1"/>
  <c r="W58" i="1"/>
  <c r="X58" i="1"/>
  <c r="Y58" i="1"/>
  <c r="Z58" i="1"/>
  <c r="AA58" i="1"/>
  <c r="AB58" i="1"/>
  <c r="AC58" i="1"/>
  <c r="AD58" i="1"/>
  <c r="AE58" i="1"/>
  <c r="V59" i="1"/>
  <c r="W59" i="1"/>
  <c r="X59" i="1"/>
  <c r="Y59" i="1"/>
  <c r="Z59" i="1"/>
  <c r="AA59" i="1"/>
  <c r="AB59" i="1"/>
  <c r="AC59" i="1"/>
  <c r="AD59" i="1"/>
  <c r="AE59" i="1"/>
  <c r="V60" i="1"/>
  <c r="W60" i="1"/>
  <c r="X60" i="1"/>
  <c r="Y60" i="1"/>
  <c r="Z60" i="1"/>
  <c r="AA60" i="1"/>
  <c r="AB60" i="1"/>
  <c r="AC60" i="1"/>
  <c r="AD60" i="1"/>
  <c r="AE60" i="1"/>
  <c r="V61" i="1"/>
  <c r="W61" i="1"/>
  <c r="X61" i="1"/>
  <c r="Y61" i="1"/>
  <c r="Z61" i="1"/>
  <c r="AA61" i="1"/>
  <c r="AB61" i="1"/>
  <c r="AC61" i="1"/>
  <c r="AD61" i="1"/>
  <c r="AE61" i="1"/>
  <c r="V62" i="1"/>
  <c r="W62" i="1"/>
  <c r="X62" i="1"/>
  <c r="Y62" i="1"/>
  <c r="Z62" i="1"/>
  <c r="AA62" i="1"/>
  <c r="AB62" i="1"/>
  <c r="AC62" i="1"/>
  <c r="AD62" i="1"/>
  <c r="AE62" i="1"/>
  <c r="V63" i="1"/>
  <c r="W63" i="1"/>
  <c r="X63" i="1"/>
  <c r="Y63" i="1"/>
  <c r="Z63" i="1"/>
  <c r="AA63" i="1"/>
  <c r="AB63" i="1"/>
  <c r="AC63" i="1"/>
  <c r="AD63" i="1"/>
  <c r="AE63" i="1"/>
  <c r="V64" i="1"/>
  <c r="W64" i="1"/>
  <c r="X64" i="1"/>
  <c r="Y64" i="1"/>
  <c r="Z64" i="1"/>
  <c r="AA64" i="1"/>
  <c r="AB64" i="1"/>
  <c r="AC64" i="1"/>
  <c r="AD64" i="1"/>
  <c r="AE64" i="1"/>
  <c r="V65" i="1"/>
  <c r="W65" i="1"/>
  <c r="X65" i="1"/>
  <c r="Y65" i="1"/>
  <c r="Z65" i="1"/>
  <c r="AA65" i="1"/>
  <c r="AB65" i="1"/>
  <c r="AC65" i="1"/>
  <c r="AD65" i="1"/>
  <c r="AE65" i="1"/>
  <c r="V66" i="1"/>
  <c r="W66" i="1"/>
  <c r="X66" i="1"/>
  <c r="Y66" i="1"/>
  <c r="Z66" i="1"/>
  <c r="AA66" i="1"/>
  <c r="AB66" i="1"/>
  <c r="AC66" i="1"/>
  <c r="AD66" i="1"/>
  <c r="AE66" i="1"/>
  <c r="V67" i="1"/>
  <c r="W67" i="1"/>
  <c r="X67" i="1"/>
  <c r="Y67" i="1"/>
  <c r="Z67" i="1"/>
  <c r="AA67" i="1"/>
  <c r="AB67" i="1"/>
  <c r="AC67" i="1"/>
  <c r="AD67" i="1"/>
  <c r="AE67" i="1"/>
  <c r="V68" i="1"/>
  <c r="W68" i="1"/>
  <c r="X68" i="1"/>
  <c r="Y68" i="1"/>
  <c r="Z68" i="1"/>
  <c r="AA68" i="1"/>
  <c r="AB68" i="1"/>
  <c r="AC68" i="1"/>
  <c r="AD68" i="1"/>
  <c r="AE68" i="1"/>
  <c r="V69" i="1"/>
  <c r="W69" i="1"/>
  <c r="X69" i="1"/>
  <c r="Y69" i="1"/>
  <c r="Z69" i="1"/>
  <c r="AA69" i="1"/>
  <c r="AB69" i="1"/>
  <c r="AC69" i="1"/>
  <c r="AD69" i="1"/>
  <c r="AE69" i="1"/>
  <c r="V70" i="1"/>
  <c r="W70" i="1"/>
  <c r="X70" i="1"/>
  <c r="Y70" i="1"/>
  <c r="Z70" i="1"/>
  <c r="AA70" i="1"/>
  <c r="AB70" i="1"/>
  <c r="AC70" i="1"/>
  <c r="AD70" i="1"/>
  <c r="AE70" i="1"/>
  <c r="V71" i="1"/>
  <c r="W71" i="1"/>
  <c r="X71" i="1"/>
  <c r="Y71" i="1"/>
  <c r="Z71" i="1"/>
  <c r="AA71" i="1"/>
  <c r="AB71" i="1"/>
  <c r="AC71" i="1"/>
  <c r="AD71" i="1"/>
  <c r="AE71" i="1"/>
  <c r="V72" i="1"/>
  <c r="W72" i="1"/>
  <c r="X72" i="1"/>
  <c r="Y72" i="1"/>
  <c r="Z72" i="1"/>
  <c r="AA72" i="1"/>
  <c r="AB72" i="1"/>
  <c r="AC72" i="1"/>
  <c r="AD72" i="1"/>
  <c r="AE72" i="1"/>
  <c r="V73" i="1"/>
  <c r="W73" i="1"/>
  <c r="X73" i="1"/>
  <c r="Y73" i="1"/>
  <c r="Z73" i="1"/>
  <c r="AA73" i="1"/>
  <c r="AB73" i="1"/>
  <c r="AC73" i="1"/>
  <c r="AD73" i="1"/>
  <c r="AE73" i="1"/>
  <c r="V74" i="1"/>
  <c r="W74" i="1"/>
  <c r="X74" i="1"/>
  <c r="Y74" i="1"/>
  <c r="Z74" i="1"/>
  <c r="AA74" i="1"/>
  <c r="AB74" i="1"/>
  <c r="AC74" i="1"/>
  <c r="AD74" i="1"/>
  <c r="AE74" i="1"/>
  <c r="V75" i="1"/>
  <c r="W75" i="1"/>
  <c r="X75" i="1"/>
  <c r="Y75" i="1"/>
  <c r="Z75" i="1"/>
  <c r="AA75" i="1"/>
  <c r="AB75" i="1"/>
  <c r="AC75" i="1"/>
  <c r="AD75" i="1"/>
  <c r="AE75" i="1"/>
  <c r="V76" i="1"/>
  <c r="W76" i="1"/>
  <c r="X76" i="1"/>
  <c r="Y76" i="1"/>
  <c r="Z76" i="1"/>
  <c r="AA76" i="1"/>
  <c r="AB76" i="1"/>
  <c r="AC76" i="1"/>
  <c r="AD76" i="1"/>
  <c r="AE76" i="1"/>
  <c r="V77" i="1"/>
  <c r="W77" i="1"/>
  <c r="X77" i="1"/>
  <c r="Y77" i="1"/>
  <c r="Z77" i="1"/>
  <c r="AA77" i="1"/>
  <c r="AB77" i="1"/>
  <c r="AC77" i="1"/>
  <c r="AD77" i="1"/>
  <c r="AE77" i="1"/>
  <c r="V78" i="1"/>
  <c r="W78" i="1"/>
  <c r="X78" i="1"/>
  <c r="Y78" i="1"/>
  <c r="Z78" i="1"/>
  <c r="AA78" i="1"/>
  <c r="AB78" i="1"/>
  <c r="AC78" i="1"/>
  <c r="AD78" i="1"/>
  <c r="AE78" i="1"/>
  <c r="V79" i="1"/>
  <c r="W79" i="1"/>
  <c r="X79" i="1"/>
  <c r="Y79" i="1"/>
  <c r="Z79" i="1"/>
  <c r="AA79" i="1"/>
  <c r="AB79" i="1"/>
  <c r="AC79" i="1"/>
  <c r="AD79" i="1"/>
  <c r="AE79" i="1"/>
  <c r="V80" i="1"/>
  <c r="W80" i="1"/>
  <c r="X80" i="1"/>
  <c r="Y80" i="1"/>
  <c r="Z80" i="1"/>
  <c r="AA80" i="1"/>
  <c r="AB80" i="1"/>
  <c r="AC80" i="1"/>
  <c r="AD80" i="1"/>
  <c r="AE80" i="1"/>
  <c r="V81" i="1"/>
  <c r="W81" i="1"/>
  <c r="X81" i="1"/>
  <c r="Y81" i="1"/>
  <c r="Z81" i="1"/>
  <c r="AA81" i="1"/>
  <c r="AB81" i="1"/>
  <c r="AC81" i="1"/>
  <c r="AD81" i="1"/>
  <c r="AE81" i="1"/>
  <c r="V82" i="1"/>
  <c r="W82" i="1"/>
  <c r="X82" i="1"/>
  <c r="Y82" i="1"/>
  <c r="Z82" i="1"/>
  <c r="AA82" i="1"/>
  <c r="AB82" i="1"/>
  <c r="AC82" i="1"/>
  <c r="AD82" i="1"/>
  <c r="AE82" i="1"/>
  <c r="V83" i="1"/>
  <c r="W83" i="1"/>
  <c r="X83" i="1"/>
  <c r="Y83" i="1"/>
  <c r="Z83" i="1"/>
  <c r="AA83" i="1"/>
  <c r="AB83" i="1"/>
  <c r="AC83" i="1"/>
  <c r="AD83" i="1"/>
  <c r="AE83" i="1"/>
  <c r="V84" i="1"/>
  <c r="W84" i="1"/>
  <c r="X84" i="1"/>
  <c r="Y84" i="1"/>
  <c r="Z84" i="1"/>
  <c r="AA84" i="1"/>
  <c r="AB84" i="1"/>
  <c r="AC84" i="1"/>
  <c r="AD84" i="1"/>
  <c r="AE84" i="1"/>
  <c r="V85" i="1"/>
  <c r="W85" i="1"/>
  <c r="X85" i="1"/>
  <c r="Y85" i="1"/>
  <c r="Z85" i="1"/>
  <c r="AA85" i="1"/>
  <c r="AB85" i="1"/>
  <c r="AC85" i="1"/>
  <c r="AD85" i="1"/>
  <c r="AE85" i="1"/>
  <c r="V86" i="1"/>
  <c r="W86" i="1"/>
  <c r="X86" i="1"/>
  <c r="Y86" i="1"/>
  <c r="Z86" i="1"/>
  <c r="AA86" i="1"/>
  <c r="AB86" i="1"/>
  <c r="AC86" i="1"/>
  <c r="AD86" i="1"/>
  <c r="AE86" i="1"/>
  <c r="V87" i="1"/>
  <c r="W87" i="1"/>
  <c r="X87" i="1"/>
  <c r="Y87" i="1"/>
  <c r="Z87" i="1"/>
  <c r="AA87" i="1"/>
  <c r="AB87" i="1"/>
  <c r="AC87" i="1"/>
  <c r="AD87" i="1"/>
  <c r="AE87" i="1"/>
  <c r="V88" i="1"/>
  <c r="W88" i="1"/>
  <c r="X88" i="1"/>
  <c r="Y88" i="1"/>
  <c r="Z88" i="1"/>
  <c r="AA88" i="1"/>
  <c r="AB88" i="1"/>
  <c r="AC88" i="1"/>
  <c r="AD88" i="1"/>
  <c r="AE88" i="1"/>
  <c r="V89" i="1"/>
  <c r="W89" i="1"/>
  <c r="X89" i="1"/>
  <c r="Y89" i="1"/>
  <c r="Z89" i="1"/>
  <c r="AA89" i="1"/>
  <c r="AB89" i="1"/>
  <c r="AC89" i="1"/>
  <c r="AD89" i="1"/>
  <c r="AE89" i="1"/>
  <c r="V90" i="1"/>
  <c r="W90" i="1"/>
  <c r="X90" i="1"/>
  <c r="Y90" i="1"/>
  <c r="Z90" i="1"/>
  <c r="AA90" i="1"/>
  <c r="AB90" i="1"/>
  <c r="AC90" i="1"/>
  <c r="AD90" i="1"/>
  <c r="AE90" i="1"/>
  <c r="V91" i="1"/>
  <c r="W91" i="1"/>
  <c r="X91" i="1"/>
  <c r="Y91" i="1"/>
  <c r="Z91" i="1"/>
  <c r="AA91" i="1"/>
  <c r="AB91" i="1"/>
  <c r="AC91" i="1"/>
  <c r="AD91" i="1"/>
  <c r="AE91" i="1"/>
  <c r="V92" i="1"/>
  <c r="W92" i="1"/>
  <c r="X92" i="1"/>
  <c r="Y92" i="1"/>
  <c r="Z92" i="1"/>
  <c r="AA92" i="1"/>
  <c r="AB92" i="1"/>
  <c r="AC92" i="1"/>
  <c r="AD92" i="1"/>
  <c r="AE92" i="1"/>
  <c r="V93" i="1"/>
  <c r="W93" i="1"/>
  <c r="X93" i="1"/>
  <c r="Y93" i="1"/>
  <c r="Z93" i="1"/>
  <c r="AA93" i="1"/>
  <c r="AB93" i="1"/>
  <c r="AC93" i="1"/>
  <c r="AD93" i="1"/>
  <c r="AE93" i="1"/>
  <c r="V94" i="1"/>
  <c r="W94" i="1"/>
  <c r="X94" i="1"/>
  <c r="Y94" i="1"/>
  <c r="Z94" i="1"/>
  <c r="AA94" i="1"/>
  <c r="AB94" i="1"/>
  <c r="AC94" i="1"/>
  <c r="AD94" i="1"/>
  <c r="AE94" i="1"/>
  <c r="V95" i="1"/>
  <c r="W95" i="1"/>
  <c r="X95" i="1"/>
  <c r="Y95" i="1"/>
  <c r="Z95" i="1"/>
  <c r="AA95" i="1"/>
  <c r="AB95" i="1"/>
  <c r="AC95" i="1"/>
  <c r="AD95" i="1"/>
  <c r="AE95" i="1"/>
  <c r="V96" i="1"/>
  <c r="W96" i="1"/>
  <c r="X96" i="1"/>
  <c r="Y96" i="1"/>
  <c r="Z96" i="1"/>
  <c r="AA96" i="1"/>
  <c r="AB96" i="1"/>
  <c r="AC96" i="1"/>
  <c r="AD96" i="1"/>
  <c r="AE96" i="1"/>
  <c r="V97" i="1"/>
  <c r="W97" i="1"/>
  <c r="X97" i="1"/>
  <c r="Y97" i="1"/>
  <c r="Z97" i="1"/>
  <c r="AA97" i="1"/>
  <c r="AB97" i="1"/>
  <c r="AC97" i="1"/>
  <c r="AD97" i="1"/>
  <c r="AE97" i="1"/>
  <c r="V98" i="1"/>
  <c r="W98" i="1"/>
  <c r="X98" i="1"/>
  <c r="Y98" i="1"/>
  <c r="Z98" i="1"/>
  <c r="AA98" i="1"/>
  <c r="AB98" i="1"/>
  <c r="AC98" i="1"/>
  <c r="AD98" i="1"/>
  <c r="AE98" i="1"/>
  <c r="V99" i="1"/>
  <c r="W99" i="1"/>
  <c r="X99" i="1"/>
  <c r="Y99" i="1"/>
  <c r="Z99" i="1"/>
  <c r="AA99" i="1"/>
  <c r="AB99" i="1"/>
  <c r="AC99" i="1"/>
  <c r="AD99" i="1"/>
  <c r="AE99" i="1"/>
  <c r="V100" i="1"/>
  <c r="W100" i="1"/>
  <c r="X100" i="1"/>
  <c r="Y100" i="1"/>
  <c r="Z100" i="1"/>
  <c r="AA100" i="1"/>
  <c r="AB100" i="1"/>
  <c r="AC100" i="1"/>
  <c r="AD100" i="1"/>
  <c r="AE100" i="1"/>
  <c r="V101" i="1"/>
  <c r="W101" i="1"/>
  <c r="X101" i="1"/>
  <c r="Y101" i="1"/>
  <c r="Z101" i="1"/>
  <c r="AA101" i="1"/>
  <c r="AB101" i="1"/>
  <c r="AC101" i="1"/>
  <c r="AD101" i="1"/>
  <c r="AE101" i="1"/>
  <c r="V102" i="1"/>
  <c r="W102" i="1"/>
  <c r="X102" i="1"/>
  <c r="Y102" i="1"/>
  <c r="Z102" i="1"/>
  <c r="AA102" i="1"/>
  <c r="AB102" i="1"/>
  <c r="AC102" i="1"/>
  <c r="AD102" i="1"/>
  <c r="AE102" i="1"/>
  <c r="V103" i="1"/>
  <c r="W103" i="1"/>
  <c r="X103" i="1"/>
  <c r="Y103" i="1"/>
  <c r="Z103" i="1"/>
  <c r="AA103" i="1"/>
  <c r="AB103" i="1"/>
  <c r="AC103" i="1"/>
  <c r="AD103" i="1"/>
  <c r="AE103" i="1"/>
  <c r="V104" i="1"/>
  <c r="W104" i="1"/>
  <c r="X104" i="1"/>
  <c r="Y104" i="1"/>
  <c r="Z104" i="1"/>
  <c r="AA104" i="1"/>
  <c r="AB104" i="1"/>
  <c r="AC104" i="1"/>
  <c r="AD104" i="1"/>
  <c r="AE104" i="1"/>
  <c r="V105" i="1"/>
  <c r="W105" i="1"/>
  <c r="X105" i="1"/>
  <c r="Y105" i="1"/>
  <c r="Z105" i="1"/>
  <c r="AA105" i="1"/>
  <c r="AB105" i="1"/>
  <c r="AC105" i="1"/>
  <c r="AD105" i="1"/>
  <c r="AE105" i="1"/>
  <c r="V106" i="1"/>
  <c r="W106" i="1"/>
  <c r="X106" i="1"/>
  <c r="Y106" i="1"/>
  <c r="Z106" i="1"/>
  <c r="AA106" i="1"/>
  <c r="AB106" i="1"/>
  <c r="AC106" i="1"/>
  <c r="AD106" i="1"/>
  <c r="AE106" i="1"/>
  <c r="V107" i="1"/>
  <c r="W107" i="1"/>
  <c r="X107" i="1"/>
  <c r="Y107" i="1"/>
  <c r="Z107" i="1"/>
  <c r="AA107" i="1"/>
  <c r="AB107" i="1"/>
  <c r="AC107" i="1"/>
  <c r="AD107" i="1"/>
  <c r="AE107" i="1"/>
  <c r="V108" i="1"/>
  <c r="W108" i="1"/>
  <c r="X108" i="1"/>
  <c r="Y108" i="1"/>
  <c r="Z108" i="1"/>
  <c r="AA108" i="1"/>
  <c r="AB108" i="1"/>
  <c r="AC108" i="1"/>
  <c r="AD108" i="1"/>
  <c r="AE108" i="1"/>
  <c r="V109" i="1"/>
  <c r="W109" i="1"/>
  <c r="X109" i="1"/>
  <c r="Y109" i="1"/>
  <c r="Z109" i="1"/>
  <c r="AA109" i="1"/>
  <c r="AB109" i="1"/>
  <c r="AC109" i="1"/>
  <c r="AD109" i="1"/>
  <c r="AE109" i="1"/>
  <c r="V110" i="1"/>
  <c r="W110" i="1"/>
  <c r="X110" i="1"/>
  <c r="Y110" i="1"/>
  <c r="Z110" i="1"/>
  <c r="AA110" i="1"/>
  <c r="AB110" i="1"/>
  <c r="AC110" i="1"/>
  <c r="AD110" i="1"/>
  <c r="AE110" i="1"/>
  <c r="V111" i="1"/>
  <c r="W111" i="1"/>
  <c r="X111" i="1"/>
  <c r="Y111" i="1"/>
  <c r="Z111" i="1"/>
  <c r="AA111" i="1"/>
  <c r="AB111" i="1"/>
  <c r="AC111" i="1"/>
  <c r="AD111" i="1"/>
  <c r="AE111" i="1"/>
  <c r="V112" i="1"/>
  <c r="W112" i="1"/>
  <c r="X112" i="1"/>
  <c r="Y112" i="1"/>
  <c r="Z112" i="1"/>
  <c r="AA112" i="1"/>
  <c r="AB112" i="1"/>
  <c r="AC112" i="1"/>
  <c r="AD112" i="1"/>
  <c r="AE112" i="1"/>
  <c r="V113" i="1"/>
  <c r="W113" i="1"/>
  <c r="X113" i="1"/>
  <c r="Y113" i="1"/>
  <c r="Z113" i="1"/>
  <c r="AA113" i="1"/>
  <c r="AB113" i="1"/>
  <c r="AC113" i="1"/>
  <c r="AD113" i="1"/>
  <c r="AE113" i="1"/>
  <c r="V114" i="1"/>
  <c r="W114" i="1"/>
  <c r="X114" i="1"/>
  <c r="Y114" i="1"/>
  <c r="Z114" i="1"/>
  <c r="AA114" i="1"/>
  <c r="AB114" i="1"/>
  <c r="AC114" i="1"/>
  <c r="AD114" i="1"/>
  <c r="AE114" i="1"/>
  <c r="V115" i="1"/>
  <c r="W115" i="1"/>
  <c r="X115" i="1"/>
  <c r="Y115" i="1"/>
  <c r="Z115" i="1"/>
  <c r="AA115" i="1"/>
  <c r="AB115" i="1"/>
  <c r="AC115" i="1"/>
  <c r="AD115" i="1"/>
  <c r="AE115" i="1"/>
  <c r="V116" i="1"/>
  <c r="W116" i="1"/>
  <c r="X116" i="1"/>
  <c r="Y116" i="1"/>
  <c r="Z116" i="1"/>
  <c r="AA116" i="1"/>
  <c r="AB116" i="1"/>
  <c r="AC116" i="1"/>
  <c r="AD116" i="1"/>
  <c r="AE116" i="1"/>
  <c r="V117" i="1"/>
  <c r="W117" i="1"/>
  <c r="X117" i="1"/>
  <c r="Y117" i="1"/>
  <c r="Z117" i="1"/>
  <c r="AA117" i="1"/>
  <c r="AB117" i="1"/>
  <c r="AC117" i="1"/>
  <c r="AD117" i="1"/>
  <c r="AE117" i="1"/>
  <c r="V118" i="1"/>
  <c r="W118" i="1"/>
  <c r="X118" i="1"/>
  <c r="Y118" i="1"/>
  <c r="Z118" i="1"/>
  <c r="AA118" i="1"/>
  <c r="AB118" i="1"/>
  <c r="AC118" i="1"/>
  <c r="AD118" i="1"/>
  <c r="AE118" i="1"/>
  <c r="V119" i="1"/>
  <c r="W119" i="1"/>
  <c r="X119" i="1"/>
  <c r="Y119" i="1"/>
  <c r="Z119" i="1"/>
  <c r="AA119" i="1"/>
  <c r="AB119" i="1"/>
  <c r="AC119" i="1"/>
  <c r="AD119" i="1"/>
  <c r="AE119" i="1"/>
  <c r="V120" i="1"/>
  <c r="W120" i="1"/>
  <c r="X120" i="1"/>
  <c r="Y120" i="1"/>
  <c r="Z120" i="1"/>
  <c r="AA120" i="1"/>
  <c r="AB120" i="1"/>
  <c r="AC120" i="1"/>
  <c r="AD120" i="1"/>
  <c r="AE120" i="1"/>
  <c r="V121" i="1"/>
  <c r="W121" i="1"/>
  <c r="X121" i="1"/>
  <c r="Y121" i="1"/>
  <c r="Z121" i="1"/>
  <c r="AA121" i="1"/>
  <c r="AB121" i="1"/>
  <c r="AC121" i="1"/>
  <c r="AD121" i="1"/>
  <c r="AE121" i="1"/>
  <c r="V122" i="1"/>
  <c r="W122" i="1"/>
  <c r="X122" i="1"/>
  <c r="Y122" i="1"/>
  <c r="Z122" i="1"/>
  <c r="AA122" i="1"/>
  <c r="AB122" i="1"/>
  <c r="AC122" i="1"/>
  <c r="AD122" i="1"/>
  <c r="AE122" i="1"/>
  <c r="V123" i="1"/>
  <c r="W123" i="1"/>
  <c r="X123" i="1"/>
  <c r="Y123" i="1"/>
  <c r="Z123" i="1"/>
  <c r="AA123" i="1"/>
  <c r="AB123" i="1"/>
  <c r="AC123" i="1"/>
  <c r="AD123" i="1"/>
  <c r="AE123" i="1"/>
  <c r="V124" i="1"/>
  <c r="W124" i="1"/>
  <c r="X124" i="1"/>
  <c r="Y124" i="1"/>
  <c r="Z124" i="1"/>
  <c r="AA124" i="1"/>
  <c r="AB124" i="1"/>
  <c r="AC124" i="1"/>
  <c r="AD124" i="1"/>
  <c r="AE124" i="1"/>
  <c r="V125" i="1"/>
  <c r="W125" i="1"/>
  <c r="X125" i="1"/>
  <c r="Y125" i="1"/>
  <c r="Z125" i="1"/>
  <c r="AA125" i="1"/>
  <c r="AB125" i="1"/>
  <c r="AC125" i="1"/>
  <c r="AD125" i="1"/>
  <c r="AE125" i="1"/>
  <c r="V126" i="1"/>
  <c r="W126" i="1"/>
  <c r="X126" i="1"/>
  <c r="Y126" i="1"/>
  <c r="Z126" i="1"/>
  <c r="AA126" i="1"/>
  <c r="AB126" i="1"/>
  <c r="AC126" i="1"/>
  <c r="AD126" i="1"/>
  <c r="AE126" i="1"/>
  <c r="V127" i="1"/>
  <c r="W127" i="1"/>
  <c r="X127" i="1"/>
  <c r="Y127" i="1"/>
  <c r="Z127" i="1"/>
  <c r="AA127" i="1"/>
  <c r="AB127" i="1"/>
  <c r="AC127" i="1"/>
  <c r="AD127" i="1"/>
  <c r="AE127" i="1"/>
  <c r="V128" i="1"/>
  <c r="W128" i="1"/>
  <c r="X128" i="1"/>
  <c r="Y128" i="1"/>
  <c r="Z128" i="1"/>
  <c r="AA128" i="1"/>
  <c r="AB128" i="1"/>
  <c r="AC128" i="1"/>
  <c r="AD128" i="1"/>
  <c r="AE128" i="1"/>
  <c r="V129" i="1"/>
  <c r="W129" i="1"/>
  <c r="X129" i="1"/>
  <c r="Y129" i="1"/>
  <c r="Z129" i="1"/>
  <c r="AA129" i="1"/>
  <c r="AB129" i="1"/>
  <c r="AC129" i="1"/>
  <c r="AD129" i="1"/>
  <c r="AE129" i="1"/>
  <c r="V130" i="1"/>
  <c r="W130" i="1"/>
  <c r="X130" i="1"/>
  <c r="Y130" i="1"/>
  <c r="Z130" i="1"/>
  <c r="AA130" i="1"/>
  <c r="AB130" i="1"/>
  <c r="AC130" i="1"/>
  <c r="AD130" i="1"/>
  <c r="AE130" i="1"/>
  <c r="V131" i="1"/>
  <c r="W131" i="1"/>
  <c r="X131" i="1"/>
  <c r="Y131" i="1"/>
  <c r="Z131" i="1"/>
  <c r="AA131" i="1"/>
  <c r="AB131" i="1"/>
  <c r="AC131" i="1"/>
  <c r="AD131" i="1"/>
  <c r="AE131" i="1"/>
  <c r="V132" i="1"/>
  <c r="W132" i="1"/>
  <c r="X132" i="1"/>
  <c r="Y132" i="1"/>
  <c r="Z132" i="1"/>
  <c r="AA132" i="1"/>
  <c r="AB132" i="1"/>
  <c r="AC132" i="1"/>
  <c r="AD132" i="1"/>
  <c r="AE132" i="1"/>
  <c r="V133" i="1"/>
  <c r="W133" i="1"/>
  <c r="X133" i="1"/>
  <c r="Y133" i="1"/>
  <c r="Z133" i="1"/>
  <c r="AA133" i="1"/>
  <c r="AB133" i="1"/>
  <c r="AC133" i="1"/>
  <c r="AD133" i="1"/>
  <c r="AE133" i="1"/>
  <c r="V134" i="1"/>
  <c r="W134" i="1"/>
  <c r="X134" i="1"/>
  <c r="Y134" i="1"/>
  <c r="Z134" i="1"/>
  <c r="AA134" i="1"/>
  <c r="AB134" i="1"/>
  <c r="AC134" i="1"/>
  <c r="AD134" i="1"/>
  <c r="AE134" i="1"/>
  <c r="V135" i="1"/>
  <c r="W135" i="1"/>
  <c r="X135" i="1"/>
  <c r="Y135" i="1"/>
  <c r="Z135" i="1"/>
  <c r="AA135" i="1"/>
  <c r="AB135" i="1"/>
  <c r="AC135" i="1"/>
  <c r="AD135" i="1"/>
  <c r="AE135" i="1"/>
  <c r="V136" i="1"/>
  <c r="W136" i="1"/>
  <c r="X136" i="1"/>
  <c r="Y136" i="1"/>
  <c r="Z136" i="1"/>
  <c r="AA136" i="1"/>
  <c r="AB136" i="1"/>
  <c r="AC136" i="1"/>
  <c r="AD136" i="1"/>
  <c r="AE136" i="1"/>
  <c r="V137" i="1"/>
  <c r="W137" i="1"/>
  <c r="X137" i="1"/>
  <c r="Y137" i="1"/>
  <c r="Z137" i="1"/>
  <c r="AA137" i="1"/>
  <c r="AB137" i="1"/>
  <c r="AC137" i="1"/>
  <c r="AD137" i="1"/>
  <c r="AE137" i="1"/>
  <c r="V138" i="1"/>
  <c r="W138" i="1"/>
  <c r="X138" i="1"/>
  <c r="Y138" i="1"/>
  <c r="Z138" i="1"/>
  <c r="AA138" i="1"/>
  <c r="AB138" i="1"/>
  <c r="AC138" i="1"/>
  <c r="AD138" i="1"/>
  <c r="AE138" i="1"/>
  <c r="V139" i="1"/>
  <c r="W139" i="1"/>
  <c r="X139" i="1"/>
  <c r="Y139" i="1"/>
  <c r="Z139" i="1"/>
  <c r="AA139" i="1"/>
  <c r="AB139" i="1"/>
  <c r="AC139" i="1"/>
  <c r="AD139" i="1"/>
  <c r="AE139" i="1"/>
  <c r="V140" i="1"/>
  <c r="W140" i="1"/>
  <c r="X140" i="1"/>
  <c r="Y140" i="1"/>
  <c r="Z140" i="1"/>
  <c r="AA140" i="1"/>
  <c r="AB140" i="1"/>
  <c r="AC140" i="1"/>
  <c r="AD140" i="1"/>
  <c r="AE140" i="1"/>
  <c r="V141" i="1"/>
  <c r="W141" i="1"/>
  <c r="X141" i="1"/>
  <c r="Y141" i="1"/>
  <c r="Z141" i="1"/>
  <c r="AA141" i="1"/>
  <c r="AB141" i="1"/>
  <c r="AC141" i="1"/>
  <c r="AD141" i="1"/>
  <c r="AE141" i="1"/>
  <c r="V142" i="1"/>
  <c r="W142" i="1"/>
  <c r="X142" i="1"/>
  <c r="Y142" i="1"/>
  <c r="Z142" i="1"/>
  <c r="AA142" i="1"/>
  <c r="AB142" i="1"/>
  <c r="AC142" i="1"/>
  <c r="AD142" i="1"/>
  <c r="AE142" i="1"/>
  <c r="V143" i="1"/>
  <c r="W143" i="1"/>
  <c r="X143" i="1"/>
  <c r="Y143" i="1"/>
  <c r="Z143" i="1"/>
  <c r="AA143" i="1"/>
  <c r="AB143" i="1"/>
  <c r="AC143" i="1"/>
  <c r="AD143" i="1"/>
  <c r="AE143" i="1"/>
  <c r="V144" i="1"/>
  <c r="W144" i="1"/>
  <c r="X144" i="1"/>
  <c r="Y144" i="1"/>
  <c r="Z144" i="1"/>
  <c r="AA144" i="1"/>
  <c r="AB144" i="1"/>
  <c r="AC144" i="1"/>
  <c r="AD144" i="1"/>
  <c r="AE144" i="1"/>
  <c r="V145" i="1"/>
  <c r="W145" i="1"/>
  <c r="X145" i="1"/>
  <c r="Y145" i="1"/>
  <c r="Z145" i="1"/>
  <c r="AA145" i="1"/>
  <c r="AB145" i="1"/>
  <c r="AC145" i="1"/>
  <c r="AD145" i="1"/>
  <c r="AE145" i="1"/>
  <c r="V146" i="1"/>
  <c r="W146" i="1"/>
  <c r="X146" i="1"/>
  <c r="Y146" i="1"/>
  <c r="Z146" i="1"/>
  <c r="AA146" i="1"/>
  <c r="AB146" i="1"/>
  <c r="AC146" i="1"/>
  <c r="AD146" i="1"/>
  <c r="AE146" i="1"/>
  <c r="V147" i="1"/>
  <c r="W147" i="1"/>
  <c r="X147" i="1"/>
  <c r="Y147" i="1"/>
  <c r="Z147" i="1"/>
  <c r="AA147" i="1"/>
  <c r="AB147" i="1"/>
  <c r="AC147" i="1"/>
  <c r="AD147" i="1"/>
  <c r="AE147" i="1"/>
  <c r="V148" i="1"/>
  <c r="W148" i="1"/>
  <c r="X148" i="1"/>
  <c r="Y148" i="1"/>
  <c r="Z148" i="1"/>
  <c r="AA148" i="1"/>
  <c r="AB148" i="1"/>
  <c r="AC148" i="1"/>
  <c r="AD148" i="1"/>
  <c r="AE148" i="1"/>
  <c r="V149" i="1"/>
  <c r="W149" i="1"/>
  <c r="X149" i="1"/>
  <c r="Y149" i="1"/>
  <c r="Z149" i="1"/>
  <c r="AA149" i="1"/>
  <c r="AB149" i="1"/>
  <c r="AC149" i="1"/>
  <c r="AD149" i="1"/>
  <c r="AE149" i="1"/>
  <c r="V150" i="1"/>
  <c r="W150" i="1"/>
  <c r="X150" i="1"/>
  <c r="Y150" i="1"/>
  <c r="Z150" i="1"/>
  <c r="AA150" i="1"/>
  <c r="AB150" i="1"/>
  <c r="AC150" i="1"/>
  <c r="AD150" i="1"/>
  <c r="AE150" i="1"/>
  <c r="V151" i="1"/>
  <c r="W151" i="1"/>
  <c r="X151" i="1"/>
  <c r="Y151" i="1"/>
  <c r="Z151" i="1"/>
  <c r="AA151" i="1"/>
  <c r="AB151" i="1"/>
  <c r="AC151" i="1"/>
  <c r="AD151" i="1"/>
  <c r="AE151" i="1"/>
  <c r="V152" i="1"/>
  <c r="W152" i="1"/>
  <c r="X152" i="1"/>
  <c r="Y152" i="1"/>
  <c r="Z152" i="1"/>
  <c r="AA152" i="1"/>
  <c r="AB152" i="1"/>
  <c r="AC152" i="1"/>
  <c r="AD152" i="1"/>
  <c r="AE152" i="1"/>
  <c r="V153" i="1"/>
  <c r="W153" i="1"/>
  <c r="X153" i="1"/>
  <c r="Y153" i="1"/>
  <c r="Z153" i="1"/>
  <c r="AA153" i="1"/>
  <c r="AB153" i="1"/>
  <c r="AC153" i="1"/>
  <c r="AD153" i="1"/>
  <c r="AE153" i="1"/>
  <c r="V154" i="1"/>
  <c r="W154" i="1"/>
  <c r="X154" i="1"/>
  <c r="Y154" i="1"/>
  <c r="Z154" i="1"/>
  <c r="AA154" i="1"/>
  <c r="AB154" i="1"/>
  <c r="AC154" i="1"/>
  <c r="AD154" i="1"/>
  <c r="AE154" i="1"/>
  <c r="V155" i="1"/>
  <c r="W155" i="1"/>
  <c r="X155" i="1"/>
  <c r="Y155" i="1"/>
  <c r="Z155" i="1"/>
  <c r="AA155" i="1"/>
  <c r="AB155" i="1"/>
  <c r="AC155" i="1"/>
  <c r="AD155" i="1"/>
  <c r="AE155" i="1"/>
  <c r="V156" i="1"/>
  <c r="W156" i="1"/>
  <c r="X156" i="1"/>
  <c r="Y156" i="1"/>
  <c r="Z156" i="1"/>
  <c r="AA156" i="1"/>
  <c r="AB156" i="1"/>
  <c r="AC156" i="1"/>
  <c r="AD156" i="1"/>
  <c r="AE156" i="1"/>
  <c r="V157" i="1"/>
  <c r="W157" i="1"/>
  <c r="X157" i="1"/>
  <c r="Y157" i="1"/>
  <c r="Z157" i="1"/>
  <c r="AA157" i="1"/>
  <c r="AB157" i="1"/>
  <c r="AC157" i="1"/>
  <c r="AD157" i="1"/>
  <c r="AE157" i="1"/>
  <c r="V158" i="1"/>
  <c r="W158" i="1"/>
  <c r="X158" i="1"/>
  <c r="Y158" i="1"/>
  <c r="Z158" i="1"/>
  <c r="AA158" i="1"/>
  <c r="AB158" i="1"/>
  <c r="AC158" i="1"/>
  <c r="AD158" i="1"/>
  <c r="AE158" i="1"/>
  <c r="V159" i="1"/>
  <c r="W159" i="1"/>
  <c r="X159" i="1"/>
  <c r="Y159" i="1"/>
  <c r="Z159" i="1"/>
  <c r="AA159" i="1"/>
  <c r="AB159" i="1"/>
  <c r="AC159" i="1"/>
  <c r="AD159" i="1"/>
  <c r="AE159" i="1"/>
  <c r="V160" i="1"/>
  <c r="W160" i="1"/>
  <c r="X160" i="1"/>
  <c r="Y160" i="1"/>
  <c r="Z160" i="1"/>
  <c r="AA160" i="1"/>
  <c r="AB160" i="1"/>
  <c r="AC160" i="1"/>
  <c r="AD160" i="1"/>
  <c r="AE160" i="1"/>
  <c r="V161" i="1"/>
  <c r="W161" i="1"/>
  <c r="X161" i="1"/>
  <c r="Y161" i="1"/>
  <c r="Z161" i="1"/>
  <c r="AA161" i="1"/>
  <c r="AB161" i="1"/>
  <c r="AC161" i="1"/>
  <c r="AD161" i="1"/>
  <c r="AE161" i="1"/>
  <c r="V162" i="1"/>
  <c r="W162" i="1"/>
  <c r="X162" i="1"/>
  <c r="Y162" i="1"/>
  <c r="Z162" i="1"/>
  <c r="AA162" i="1"/>
  <c r="AB162" i="1"/>
  <c r="AC162" i="1"/>
  <c r="AD162" i="1"/>
  <c r="AE162" i="1"/>
  <c r="V163" i="1"/>
  <c r="W163" i="1"/>
  <c r="X163" i="1"/>
  <c r="Y163" i="1"/>
  <c r="Z163" i="1"/>
  <c r="AA163" i="1"/>
  <c r="AB163" i="1"/>
  <c r="AC163" i="1"/>
  <c r="AD163" i="1"/>
  <c r="AE163" i="1"/>
  <c r="V164" i="1"/>
  <c r="W164" i="1"/>
  <c r="X164" i="1"/>
  <c r="Y164" i="1"/>
  <c r="Z164" i="1"/>
  <c r="AA164" i="1"/>
  <c r="AB164" i="1"/>
  <c r="AC164" i="1"/>
  <c r="AD164" i="1"/>
  <c r="AE164" i="1"/>
  <c r="V165" i="1"/>
  <c r="W165" i="1"/>
  <c r="X165" i="1"/>
  <c r="Y165" i="1"/>
  <c r="Z165" i="1"/>
  <c r="AA165" i="1"/>
  <c r="AB165" i="1"/>
  <c r="AC165" i="1"/>
  <c r="AD165" i="1"/>
  <c r="AE165" i="1"/>
  <c r="V166" i="1"/>
  <c r="W166" i="1"/>
  <c r="X166" i="1"/>
  <c r="Y166" i="1"/>
  <c r="Z166" i="1"/>
  <c r="AA166" i="1"/>
  <c r="AB166" i="1"/>
  <c r="AC166" i="1"/>
  <c r="AD166" i="1"/>
  <c r="AE166" i="1"/>
  <c r="V167" i="1"/>
  <c r="W167" i="1"/>
  <c r="X167" i="1"/>
  <c r="Y167" i="1"/>
  <c r="Z167" i="1"/>
  <c r="AA167" i="1"/>
  <c r="AB167" i="1"/>
  <c r="AC167" i="1"/>
  <c r="AD167" i="1"/>
  <c r="AE167" i="1"/>
  <c r="V168" i="1"/>
  <c r="W168" i="1"/>
  <c r="X168" i="1"/>
  <c r="Y168" i="1"/>
  <c r="Z168" i="1"/>
  <c r="AA168" i="1"/>
  <c r="AB168" i="1"/>
  <c r="AC168" i="1"/>
  <c r="AD168" i="1"/>
  <c r="AE168" i="1"/>
  <c r="V169" i="1"/>
  <c r="W169" i="1"/>
  <c r="X169" i="1"/>
  <c r="Y169" i="1"/>
  <c r="Z169" i="1"/>
  <c r="AA169" i="1"/>
  <c r="AB169" i="1"/>
  <c r="AC169" i="1"/>
  <c r="AD169" i="1"/>
  <c r="AE169" i="1"/>
  <c r="V170" i="1"/>
  <c r="W170" i="1"/>
  <c r="X170" i="1"/>
  <c r="Y170" i="1"/>
  <c r="Z170" i="1"/>
  <c r="AA170" i="1"/>
  <c r="AB170" i="1"/>
  <c r="AC170" i="1"/>
  <c r="AD170" i="1"/>
  <c r="AE170" i="1"/>
  <c r="V171" i="1"/>
  <c r="W171" i="1"/>
  <c r="X171" i="1"/>
  <c r="Y171" i="1"/>
  <c r="Z171" i="1"/>
  <c r="AA171" i="1"/>
  <c r="AB171" i="1"/>
  <c r="AC171" i="1"/>
  <c r="AD171" i="1"/>
  <c r="AE171" i="1"/>
  <c r="V172" i="1"/>
  <c r="W172" i="1"/>
  <c r="X172" i="1"/>
  <c r="Y172" i="1"/>
  <c r="Z172" i="1"/>
  <c r="AA172" i="1"/>
  <c r="AB172" i="1"/>
  <c r="AC172" i="1"/>
  <c r="AD172" i="1"/>
  <c r="AE172" i="1"/>
  <c r="V173" i="1"/>
  <c r="W173" i="1"/>
  <c r="X173" i="1"/>
  <c r="Y173" i="1"/>
  <c r="Z173" i="1"/>
  <c r="AA173" i="1"/>
  <c r="AB173" i="1"/>
  <c r="AC173" i="1"/>
  <c r="AD173" i="1"/>
  <c r="AE173" i="1"/>
  <c r="V174" i="1"/>
  <c r="W174" i="1"/>
  <c r="X174" i="1"/>
  <c r="Y174" i="1"/>
  <c r="Z174" i="1"/>
  <c r="AA174" i="1"/>
  <c r="AB174" i="1"/>
  <c r="AC174" i="1"/>
  <c r="AD174" i="1"/>
  <c r="AE174" i="1"/>
  <c r="V175" i="1"/>
  <c r="W175" i="1"/>
  <c r="X175" i="1"/>
  <c r="Y175" i="1"/>
  <c r="Z175" i="1"/>
  <c r="AA175" i="1"/>
  <c r="AB175" i="1"/>
  <c r="AC175" i="1"/>
  <c r="AD175" i="1"/>
  <c r="AE175" i="1"/>
  <c r="V176" i="1"/>
  <c r="W176" i="1"/>
  <c r="X176" i="1"/>
  <c r="Y176" i="1"/>
  <c r="Z176" i="1"/>
  <c r="AA176" i="1"/>
  <c r="AB176" i="1"/>
  <c r="AC176" i="1"/>
  <c r="AD176" i="1"/>
  <c r="AE176" i="1"/>
  <c r="V177" i="1"/>
  <c r="W177" i="1"/>
  <c r="X177" i="1"/>
  <c r="Y177" i="1"/>
  <c r="Z177" i="1"/>
  <c r="AA177" i="1"/>
  <c r="AB177" i="1"/>
  <c r="AC177" i="1"/>
  <c r="AD177" i="1"/>
  <c r="AE177" i="1"/>
  <c r="V178" i="1"/>
  <c r="W178" i="1"/>
  <c r="X178" i="1"/>
  <c r="Y178" i="1"/>
  <c r="Z178" i="1"/>
  <c r="AA178" i="1"/>
  <c r="AB178" i="1"/>
  <c r="AC178" i="1"/>
  <c r="AD178" i="1"/>
  <c r="AE178" i="1"/>
  <c r="V179" i="1"/>
  <c r="W179" i="1"/>
  <c r="X179" i="1"/>
  <c r="Y179" i="1"/>
  <c r="Z179" i="1"/>
  <c r="AA179" i="1"/>
  <c r="AB179" i="1"/>
  <c r="AC179" i="1"/>
  <c r="AD179" i="1"/>
  <c r="AE179" i="1"/>
  <c r="V180" i="1"/>
  <c r="W180" i="1"/>
  <c r="X180" i="1"/>
  <c r="Y180" i="1"/>
  <c r="Z180" i="1"/>
  <c r="AA180" i="1"/>
  <c r="AB180" i="1"/>
  <c r="AC180" i="1"/>
  <c r="AD180" i="1"/>
  <c r="AE180" i="1"/>
  <c r="V181" i="1"/>
  <c r="W181" i="1"/>
  <c r="X181" i="1"/>
  <c r="Y181" i="1"/>
  <c r="Z181" i="1"/>
  <c r="AA181" i="1"/>
  <c r="AB181" i="1"/>
  <c r="AC181" i="1"/>
  <c r="AD181" i="1"/>
  <c r="AE181" i="1"/>
  <c r="V182" i="1"/>
  <c r="W182" i="1"/>
  <c r="X182" i="1"/>
  <c r="Y182" i="1"/>
  <c r="Z182" i="1"/>
  <c r="AA182" i="1"/>
  <c r="AB182" i="1"/>
  <c r="AC182" i="1"/>
  <c r="AD182" i="1"/>
  <c r="AE182" i="1"/>
  <c r="V183" i="1"/>
  <c r="W183" i="1"/>
  <c r="X183" i="1"/>
  <c r="Y183" i="1"/>
  <c r="Z183" i="1"/>
  <c r="AA183" i="1"/>
  <c r="AB183" i="1"/>
  <c r="AC183" i="1"/>
  <c r="AD183" i="1"/>
  <c r="AE183" i="1"/>
  <c r="V184" i="1"/>
  <c r="W184" i="1"/>
  <c r="X184" i="1"/>
  <c r="Y184" i="1"/>
  <c r="Z184" i="1"/>
  <c r="AA184" i="1"/>
  <c r="AB184" i="1"/>
  <c r="AC184" i="1"/>
  <c r="AD184" i="1"/>
  <c r="AE184" i="1"/>
  <c r="V185" i="1"/>
  <c r="W185" i="1"/>
  <c r="X185" i="1"/>
  <c r="Y185" i="1"/>
  <c r="Z185" i="1"/>
  <c r="AA185" i="1"/>
  <c r="AB185" i="1"/>
  <c r="AC185" i="1"/>
  <c r="AD185" i="1"/>
  <c r="AE185" i="1"/>
  <c r="V186" i="1"/>
  <c r="W186" i="1"/>
  <c r="X186" i="1"/>
  <c r="Y186" i="1"/>
  <c r="Z186" i="1"/>
  <c r="AA186" i="1"/>
  <c r="AB186" i="1"/>
  <c r="AC186" i="1"/>
  <c r="AD186" i="1"/>
  <c r="AE186" i="1"/>
  <c r="V187" i="1"/>
  <c r="W187" i="1"/>
  <c r="X187" i="1"/>
  <c r="Y187" i="1"/>
  <c r="Z187" i="1"/>
  <c r="AA187" i="1"/>
  <c r="AB187" i="1"/>
  <c r="AC187" i="1"/>
  <c r="AD187" i="1"/>
  <c r="AE187" i="1"/>
  <c r="V188" i="1"/>
  <c r="W188" i="1"/>
  <c r="X188" i="1"/>
  <c r="Y188" i="1"/>
  <c r="Z188" i="1"/>
  <c r="AA188" i="1"/>
  <c r="AB188" i="1"/>
  <c r="AC188" i="1"/>
  <c r="AD188" i="1"/>
  <c r="AE188" i="1"/>
  <c r="V189" i="1"/>
  <c r="W189" i="1"/>
  <c r="X189" i="1"/>
  <c r="Y189" i="1"/>
  <c r="Z189" i="1"/>
  <c r="AA189" i="1"/>
  <c r="AB189" i="1"/>
  <c r="AC189" i="1"/>
  <c r="AD189" i="1"/>
  <c r="AE189" i="1"/>
  <c r="V190" i="1"/>
  <c r="W190" i="1"/>
  <c r="X190" i="1"/>
  <c r="Y190" i="1"/>
  <c r="Z190" i="1"/>
  <c r="AA190" i="1"/>
  <c r="AB190" i="1"/>
  <c r="AC190" i="1"/>
  <c r="AD190" i="1"/>
  <c r="AE190" i="1"/>
  <c r="V191" i="1"/>
  <c r="W191" i="1"/>
  <c r="X191" i="1"/>
  <c r="Y191" i="1"/>
  <c r="Z191" i="1"/>
  <c r="AA191" i="1"/>
  <c r="AB191" i="1"/>
  <c r="AC191" i="1"/>
  <c r="AD191" i="1"/>
  <c r="AE191" i="1"/>
  <c r="V192" i="1"/>
  <c r="W192" i="1"/>
  <c r="X192" i="1"/>
  <c r="Y192" i="1"/>
  <c r="Z192" i="1"/>
  <c r="AA192" i="1"/>
  <c r="AB192" i="1"/>
  <c r="AC192" i="1"/>
  <c r="AD192" i="1"/>
  <c r="AE192" i="1"/>
  <c r="V193" i="1"/>
  <c r="W193" i="1"/>
  <c r="X193" i="1"/>
  <c r="Y193" i="1"/>
  <c r="Z193" i="1"/>
  <c r="AA193" i="1"/>
  <c r="AB193" i="1"/>
  <c r="AC193" i="1"/>
  <c r="AD193" i="1"/>
  <c r="AE193" i="1"/>
  <c r="V194" i="1"/>
  <c r="W194" i="1"/>
  <c r="X194" i="1"/>
  <c r="Y194" i="1"/>
  <c r="Z194" i="1"/>
  <c r="AA194" i="1"/>
  <c r="AB194" i="1"/>
  <c r="AC194" i="1"/>
  <c r="AD194" i="1"/>
  <c r="AE194" i="1"/>
  <c r="V195" i="1"/>
  <c r="W195" i="1"/>
  <c r="X195" i="1"/>
  <c r="Y195" i="1"/>
  <c r="Z195" i="1"/>
  <c r="AA195" i="1"/>
  <c r="AB195" i="1"/>
  <c r="AC195" i="1"/>
  <c r="AD195" i="1"/>
  <c r="AE195" i="1"/>
  <c r="V196" i="1"/>
  <c r="W196" i="1"/>
  <c r="X196" i="1"/>
  <c r="Y196" i="1"/>
  <c r="Z196" i="1"/>
  <c r="AA196" i="1"/>
  <c r="AB196" i="1"/>
  <c r="AC196" i="1"/>
  <c r="AD196" i="1"/>
  <c r="AE196" i="1"/>
  <c r="V197" i="1"/>
  <c r="W197" i="1"/>
  <c r="X197" i="1"/>
  <c r="Y197" i="1"/>
  <c r="Z197" i="1"/>
  <c r="AA197" i="1"/>
  <c r="AB197" i="1"/>
  <c r="AC197" i="1"/>
  <c r="AD197" i="1"/>
  <c r="AE197" i="1"/>
  <c r="V198" i="1"/>
  <c r="W198" i="1"/>
  <c r="X198" i="1"/>
  <c r="Y198" i="1"/>
  <c r="Z198" i="1"/>
  <c r="AA198" i="1"/>
  <c r="AB198" i="1"/>
  <c r="AC198" i="1"/>
  <c r="AD198" i="1"/>
  <c r="AE198" i="1"/>
  <c r="V199" i="1"/>
  <c r="W199" i="1"/>
  <c r="X199" i="1"/>
  <c r="Y199" i="1"/>
  <c r="Z199" i="1"/>
  <c r="AA199" i="1"/>
  <c r="AB199" i="1"/>
  <c r="AC199" i="1"/>
  <c r="AD199" i="1"/>
  <c r="AE199" i="1"/>
  <c r="V200" i="1"/>
  <c r="W200" i="1"/>
  <c r="X200" i="1"/>
  <c r="Y200" i="1"/>
  <c r="Z200" i="1"/>
  <c r="AA200" i="1"/>
  <c r="AB200" i="1"/>
  <c r="AC200" i="1"/>
  <c r="AD200" i="1"/>
  <c r="AE200" i="1"/>
  <c r="V201" i="1"/>
  <c r="W201" i="1"/>
  <c r="X201" i="1"/>
  <c r="Y201" i="1"/>
  <c r="Z201" i="1"/>
  <c r="AA201" i="1"/>
  <c r="AB201" i="1"/>
  <c r="AC201" i="1"/>
  <c r="AD201" i="1"/>
  <c r="AE201" i="1"/>
  <c r="V202" i="1"/>
  <c r="W202" i="1"/>
  <c r="X202" i="1"/>
  <c r="Y202" i="1"/>
  <c r="Z202" i="1"/>
  <c r="AA202" i="1"/>
  <c r="AB202" i="1"/>
  <c r="AC202" i="1"/>
  <c r="AD202" i="1"/>
  <c r="AE202" i="1"/>
  <c r="V203" i="1"/>
  <c r="W203" i="1"/>
  <c r="X203" i="1"/>
  <c r="Y203" i="1"/>
  <c r="Z203" i="1"/>
  <c r="AA203" i="1"/>
  <c r="AB203" i="1"/>
  <c r="AC203" i="1"/>
  <c r="AD203" i="1"/>
  <c r="AE203" i="1"/>
  <c r="V204" i="1"/>
  <c r="W204" i="1"/>
  <c r="X204" i="1"/>
  <c r="Y204" i="1"/>
  <c r="Z204" i="1"/>
  <c r="AA204" i="1"/>
  <c r="AB204" i="1"/>
  <c r="AC204" i="1"/>
  <c r="AD204" i="1"/>
  <c r="AE204" i="1"/>
  <c r="V205" i="1"/>
  <c r="W205" i="1"/>
  <c r="X205" i="1"/>
  <c r="Y205" i="1"/>
  <c r="Z205" i="1"/>
  <c r="AA205" i="1"/>
  <c r="AB205" i="1"/>
  <c r="AC205" i="1"/>
  <c r="AD205" i="1"/>
  <c r="AE205" i="1"/>
  <c r="V206" i="1"/>
  <c r="W206" i="1"/>
  <c r="X206" i="1"/>
  <c r="Y206" i="1"/>
  <c r="Z206" i="1"/>
  <c r="AA206" i="1"/>
  <c r="AB206" i="1"/>
  <c r="AC206" i="1"/>
  <c r="AD206" i="1"/>
  <c r="AE206" i="1"/>
  <c r="V207" i="1"/>
  <c r="W207" i="1"/>
  <c r="X207" i="1"/>
  <c r="Y207" i="1"/>
  <c r="Z207" i="1"/>
  <c r="AA207" i="1"/>
  <c r="AB207" i="1"/>
  <c r="AC207" i="1"/>
  <c r="AD207" i="1"/>
  <c r="AE207" i="1"/>
  <c r="V208" i="1"/>
  <c r="W208" i="1"/>
  <c r="X208" i="1"/>
  <c r="Y208" i="1"/>
  <c r="Z208" i="1"/>
  <c r="AA208" i="1"/>
  <c r="AB208" i="1"/>
  <c r="AC208" i="1"/>
  <c r="AD208" i="1"/>
  <c r="AE208" i="1"/>
  <c r="V209" i="1"/>
  <c r="W209" i="1"/>
  <c r="X209" i="1"/>
  <c r="Y209" i="1"/>
  <c r="Z209" i="1"/>
  <c r="AA209" i="1"/>
  <c r="AB209" i="1"/>
  <c r="AC209" i="1"/>
  <c r="AD209" i="1"/>
  <c r="AE209" i="1"/>
  <c r="V210" i="1"/>
  <c r="W210" i="1"/>
  <c r="X210" i="1"/>
  <c r="Y210" i="1"/>
  <c r="Z210" i="1"/>
  <c r="AA210" i="1"/>
  <c r="AB210" i="1"/>
  <c r="AC210" i="1"/>
  <c r="AD210" i="1"/>
  <c r="AE210" i="1"/>
  <c r="V211" i="1"/>
  <c r="W211" i="1"/>
  <c r="X211" i="1"/>
  <c r="Y211" i="1"/>
  <c r="Z211" i="1"/>
  <c r="AA211" i="1"/>
  <c r="AB211" i="1"/>
  <c r="AC211" i="1"/>
  <c r="AD211" i="1"/>
  <c r="AE211" i="1"/>
  <c r="V212" i="1"/>
  <c r="W212" i="1"/>
  <c r="X212" i="1"/>
  <c r="Y212" i="1"/>
  <c r="Z212" i="1"/>
  <c r="AA212" i="1"/>
  <c r="AB212" i="1"/>
  <c r="AC212" i="1"/>
  <c r="AD212" i="1"/>
  <c r="AE212" i="1"/>
  <c r="V213" i="1"/>
  <c r="W213" i="1"/>
  <c r="X213" i="1"/>
  <c r="Y213" i="1"/>
  <c r="Z213" i="1"/>
  <c r="AA213" i="1"/>
  <c r="AB213" i="1"/>
  <c r="AC213" i="1"/>
  <c r="AD213" i="1"/>
  <c r="AE213" i="1"/>
  <c r="V214" i="1"/>
  <c r="W214" i="1"/>
  <c r="X214" i="1"/>
  <c r="Y214" i="1"/>
  <c r="Z214" i="1"/>
  <c r="AA214" i="1"/>
  <c r="AB214" i="1"/>
  <c r="AC214" i="1"/>
  <c r="AD214" i="1"/>
  <c r="AE214" i="1"/>
  <c r="V215" i="1"/>
  <c r="W215" i="1"/>
  <c r="X215" i="1"/>
  <c r="Y215" i="1"/>
  <c r="Z215" i="1"/>
  <c r="AA215" i="1"/>
  <c r="AB215" i="1"/>
  <c r="AC215" i="1"/>
  <c r="AD215" i="1"/>
  <c r="AE215" i="1"/>
  <c r="V216" i="1"/>
  <c r="W216" i="1"/>
  <c r="X216" i="1"/>
  <c r="Y216" i="1"/>
  <c r="Z216" i="1"/>
  <c r="AA216" i="1"/>
  <c r="AB216" i="1"/>
  <c r="AC216" i="1"/>
  <c r="AD216" i="1"/>
  <c r="AE216" i="1"/>
  <c r="V217" i="1"/>
  <c r="W217" i="1"/>
  <c r="X217" i="1"/>
  <c r="Y217" i="1"/>
  <c r="Z217" i="1"/>
  <c r="AA217" i="1"/>
  <c r="AB217" i="1"/>
  <c r="AC217" i="1"/>
  <c r="AD217" i="1"/>
  <c r="AE217" i="1"/>
  <c r="V218" i="1"/>
  <c r="W218" i="1"/>
  <c r="X218" i="1"/>
  <c r="Y218" i="1"/>
  <c r="Z218" i="1"/>
  <c r="AA218" i="1"/>
  <c r="AB218" i="1"/>
  <c r="AC218" i="1"/>
  <c r="AD218" i="1"/>
  <c r="AE218" i="1"/>
  <c r="V219" i="1"/>
  <c r="W219" i="1"/>
  <c r="X219" i="1"/>
  <c r="Y219" i="1"/>
  <c r="Z219" i="1"/>
  <c r="AA219" i="1"/>
  <c r="AB219" i="1"/>
  <c r="AC219" i="1"/>
  <c r="AD219" i="1"/>
  <c r="AE219" i="1"/>
  <c r="V220" i="1"/>
  <c r="W220" i="1"/>
  <c r="X220" i="1"/>
  <c r="Y220" i="1"/>
  <c r="Z220" i="1"/>
  <c r="AA220" i="1"/>
  <c r="AB220" i="1"/>
  <c r="AC220" i="1"/>
  <c r="AD220" i="1"/>
  <c r="AE220" i="1"/>
  <c r="V221" i="1"/>
  <c r="W221" i="1"/>
  <c r="X221" i="1"/>
  <c r="Y221" i="1"/>
  <c r="Z221" i="1"/>
  <c r="AA221" i="1"/>
  <c r="AB221" i="1"/>
  <c r="AC221" i="1"/>
  <c r="AD221" i="1"/>
  <c r="AE221" i="1"/>
  <c r="V222" i="1"/>
  <c r="W222" i="1"/>
  <c r="X222" i="1"/>
  <c r="Y222" i="1"/>
  <c r="Z222" i="1"/>
  <c r="AA222" i="1"/>
  <c r="AB222" i="1"/>
  <c r="AC222" i="1"/>
  <c r="AD222" i="1"/>
  <c r="AE222" i="1"/>
  <c r="V223" i="1"/>
  <c r="W223" i="1"/>
  <c r="X223" i="1"/>
  <c r="Y223" i="1"/>
  <c r="Z223" i="1"/>
  <c r="AA223" i="1"/>
  <c r="AB223" i="1"/>
  <c r="AC223" i="1"/>
  <c r="AD223" i="1"/>
  <c r="AE223" i="1"/>
  <c r="V224" i="1"/>
  <c r="W224" i="1"/>
  <c r="X224" i="1"/>
  <c r="Y224" i="1"/>
  <c r="Z224" i="1"/>
  <c r="AA224" i="1"/>
  <c r="AB224" i="1"/>
  <c r="AC224" i="1"/>
  <c r="AD224" i="1"/>
  <c r="AE224" i="1"/>
  <c r="V225" i="1"/>
  <c r="W225" i="1"/>
  <c r="X225" i="1"/>
  <c r="Y225" i="1"/>
  <c r="Z225" i="1"/>
  <c r="AA225" i="1"/>
  <c r="AB225" i="1"/>
  <c r="AC225" i="1"/>
  <c r="AD225" i="1"/>
  <c r="AE225" i="1"/>
  <c r="V226" i="1"/>
  <c r="W226" i="1"/>
  <c r="X226" i="1"/>
  <c r="Y226" i="1"/>
  <c r="Z226" i="1"/>
  <c r="AA226" i="1"/>
  <c r="AB226" i="1"/>
  <c r="AC226" i="1"/>
  <c r="AD226" i="1"/>
  <c r="AE226" i="1"/>
  <c r="V227" i="1"/>
  <c r="W227" i="1"/>
  <c r="X227" i="1"/>
  <c r="Y227" i="1"/>
  <c r="Z227" i="1"/>
  <c r="AA227" i="1"/>
  <c r="AB227" i="1"/>
  <c r="AC227" i="1"/>
  <c r="AD227" i="1"/>
  <c r="AE227" i="1"/>
  <c r="V228" i="1"/>
  <c r="W228" i="1"/>
  <c r="X228" i="1"/>
  <c r="Y228" i="1"/>
  <c r="Z228" i="1"/>
  <c r="AA228" i="1"/>
  <c r="AB228" i="1"/>
  <c r="AC228" i="1"/>
  <c r="AD228" i="1"/>
  <c r="AE228" i="1"/>
  <c r="V229" i="1"/>
  <c r="W229" i="1"/>
  <c r="X229" i="1"/>
  <c r="Y229" i="1"/>
  <c r="Z229" i="1"/>
  <c r="AA229" i="1"/>
  <c r="AB229" i="1"/>
  <c r="AC229" i="1"/>
  <c r="AD229" i="1"/>
  <c r="AE229" i="1"/>
  <c r="V230" i="1"/>
  <c r="W230" i="1"/>
  <c r="X230" i="1"/>
  <c r="Y230" i="1"/>
  <c r="Z230" i="1"/>
  <c r="AA230" i="1"/>
  <c r="AB230" i="1"/>
  <c r="AC230" i="1"/>
  <c r="AD230" i="1"/>
  <c r="AE230" i="1"/>
  <c r="V231" i="1"/>
  <c r="W231" i="1"/>
  <c r="X231" i="1"/>
  <c r="Y231" i="1"/>
  <c r="Z231" i="1"/>
  <c r="AA231" i="1"/>
  <c r="AB231" i="1"/>
  <c r="AC231" i="1"/>
  <c r="AD231" i="1"/>
  <c r="AE231" i="1"/>
  <c r="V232" i="1"/>
  <c r="W232" i="1"/>
  <c r="X232" i="1"/>
  <c r="Y232" i="1"/>
  <c r="Z232" i="1"/>
  <c r="AA232" i="1"/>
  <c r="AB232" i="1"/>
  <c r="AC232" i="1"/>
  <c r="AD232" i="1"/>
  <c r="AE232" i="1"/>
  <c r="V233" i="1"/>
  <c r="W233" i="1"/>
  <c r="X233" i="1"/>
  <c r="Y233" i="1"/>
  <c r="Z233" i="1"/>
  <c r="AA233" i="1"/>
  <c r="AB233" i="1"/>
  <c r="AC233" i="1"/>
  <c r="AD233" i="1"/>
  <c r="AE233" i="1"/>
  <c r="V234" i="1"/>
  <c r="W234" i="1"/>
  <c r="X234" i="1"/>
  <c r="Y234" i="1"/>
  <c r="Z234" i="1"/>
  <c r="AA234" i="1"/>
  <c r="AB234" i="1"/>
  <c r="AC234" i="1"/>
  <c r="AD234" i="1"/>
  <c r="AE234" i="1"/>
  <c r="V235" i="1"/>
  <c r="W235" i="1"/>
  <c r="X235" i="1"/>
  <c r="Y235" i="1"/>
  <c r="Z235" i="1"/>
  <c r="AA235" i="1"/>
  <c r="AB235" i="1"/>
  <c r="AC235" i="1"/>
  <c r="AD235" i="1"/>
  <c r="AE235" i="1"/>
  <c r="V236" i="1"/>
  <c r="W236" i="1"/>
  <c r="X236" i="1"/>
  <c r="Y236" i="1"/>
  <c r="Z236" i="1"/>
  <c r="AA236" i="1"/>
  <c r="AB236" i="1"/>
  <c r="AC236" i="1"/>
  <c r="AD236" i="1"/>
  <c r="AE236" i="1"/>
  <c r="V237" i="1"/>
  <c r="W237" i="1"/>
  <c r="X237" i="1"/>
  <c r="Y237" i="1"/>
  <c r="Z237" i="1"/>
  <c r="AA237" i="1"/>
  <c r="AB237" i="1"/>
  <c r="AC237" i="1"/>
  <c r="AD237" i="1"/>
  <c r="AE237" i="1"/>
  <c r="V238" i="1"/>
  <c r="W238" i="1"/>
  <c r="X238" i="1"/>
  <c r="Y238" i="1"/>
  <c r="Z238" i="1"/>
  <c r="AA238" i="1"/>
  <c r="AB238" i="1"/>
  <c r="AC238" i="1"/>
  <c r="AD238" i="1"/>
  <c r="AE238" i="1"/>
  <c r="V239" i="1"/>
  <c r="W239" i="1"/>
  <c r="X239" i="1"/>
  <c r="Y239" i="1"/>
  <c r="Z239" i="1"/>
  <c r="AA239" i="1"/>
  <c r="AB239" i="1"/>
  <c r="AC239" i="1"/>
  <c r="AD239" i="1"/>
  <c r="AE239" i="1"/>
  <c r="V240" i="1"/>
  <c r="W240" i="1"/>
  <c r="X240" i="1"/>
  <c r="Y240" i="1"/>
  <c r="Z240" i="1"/>
  <c r="AA240" i="1"/>
  <c r="AB240" i="1"/>
  <c r="AC240" i="1"/>
  <c r="AD240" i="1"/>
  <c r="AE240" i="1"/>
  <c r="V241" i="1"/>
  <c r="W241" i="1"/>
  <c r="X241" i="1"/>
  <c r="Y241" i="1"/>
  <c r="Z241" i="1"/>
  <c r="AA241" i="1"/>
  <c r="AB241" i="1"/>
  <c r="AC241" i="1"/>
  <c r="AD241" i="1"/>
  <c r="AE241" i="1"/>
  <c r="V242" i="1"/>
  <c r="W242" i="1"/>
  <c r="X242" i="1"/>
  <c r="Y242" i="1"/>
  <c r="Z242" i="1"/>
  <c r="AA242" i="1"/>
  <c r="AB242" i="1"/>
  <c r="AC242" i="1"/>
  <c r="AD242" i="1"/>
  <c r="AE242" i="1"/>
  <c r="V243" i="1"/>
  <c r="W243" i="1"/>
  <c r="X243" i="1"/>
  <c r="Y243" i="1"/>
  <c r="Z243" i="1"/>
  <c r="AA243" i="1"/>
  <c r="AB243" i="1"/>
  <c r="AC243" i="1"/>
  <c r="AD243" i="1"/>
  <c r="AE243" i="1"/>
  <c r="V244" i="1"/>
  <c r="W244" i="1"/>
  <c r="X244" i="1"/>
  <c r="Y244" i="1"/>
  <c r="Z244" i="1"/>
  <c r="AA244" i="1"/>
  <c r="AB244" i="1"/>
  <c r="AC244" i="1"/>
  <c r="AD244" i="1"/>
  <c r="AE244" i="1"/>
  <c r="V245" i="1"/>
  <c r="W245" i="1"/>
  <c r="X245" i="1"/>
  <c r="Y245" i="1"/>
  <c r="Z245" i="1"/>
  <c r="AA245" i="1"/>
  <c r="AB245" i="1"/>
  <c r="AC245" i="1"/>
  <c r="AD245" i="1"/>
  <c r="AE245" i="1"/>
  <c r="V246" i="1"/>
  <c r="W246" i="1"/>
  <c r="X246" i="1"/>
  <c r="Y246" i="1"/>
  <c r="Z246" i="1"/>
  <c r="AA246" i="1"/>
  <c r="AB246" i="1"/>
  <c r="AC246" i="1"/>
  <c r="AD246" i="1"/>
  <c r="AE246" i="1"/>
  <c r="V247" i="1"/>
  <c r="W247" i="1"/>
  <c r="X247" i="1"/>
  <c r="Y247" i="1"/>
  <c r="Z247" i="1"/>
  <c r="AA247" i="1"/>
  <c r="AB247" i="1"/>
  <c r="AC247" i="1"/>
  <c r="AD247" i="1"/>
  <c r="AE247" i="1"/>
  <c r="V248" i="1"/>
  <c r="W248" i="1"/>
  <c r="X248" i="1"/>
  <c r="Y248" i="1"/>
  <c r="Z248" i="1"/>
  <c r="AA248" i="1"/>
  <c r="AB248" i="1"/>
  <c r="AC248" i="1"/>
  <c r="AD248" i="1"/>
  <c r="AE248" i="1"/>
  <c r="V249" i="1"/>
  <c r="W249" i="1"/>
  <c r="X249" i="1"/>
  <c r="Y249" i="1"/>
  <c r="Z249" i="1"/>
  <c r="AA249" i="1"/>
  <c r="AB249" i="1"/>
  <c r="AC249" i="1"/>
  <c r="AD249" i="1"/>
  <c r="AE249" i="1"/>
  <c r="V250" i="1"/>
  <c r="W250" i="1"/>
  <c r="X250" i="1"/>
  <c r="Y250" i="1"/>
  <c r="Z250" i="1"/>
  <c r="AA250" i="1"/>
  <c r="AB250" i="1"/>
  <c r="AC250" i="1"/>
  <c r="AD250" i="1"/>
  <c r="AE250" i="1"/>
  <c r="V251" i="1"/>
  <c r="W251" i="1"/>
  <c r="X251" i="1"/>
  <c r="Y251" i="1"/>
  <c r="Z251" i="1"/>
  <c r="AA251" i="1"/>
  <c r="AB251" i="1"/>
  <c r="AC251" i="1"/>
  <c r="AD251" i="1"/>
  <c r="AE251" i="1"/>
  <c r="V252" i="1"/>
  <c r="W252" i="1"/>
  <c r="X252" i="1"/>
  <c r="Y252" i="1"/>
  <c r="Z252" i="1"/>
  <c r="AA252" i="1"/>
  <c r="AB252" i="1"/>
  <c r="AC252" i="1"/>
  <c r="AD252" i="1"/>
  <c r="AE252" i="1"/>
  <c r="V253" i="1"/>
  <c r="W253" i="1"/>
  <c r="X253" i="1"/>
  <c r="Y253" i="1"/>
  <c r="Z253" i="1"/>
  <c r="AA253" i="1"/>
  <c r="AB253" i="1"/>
  <c r="AC253" i="1"/>
  <c r="AD253" i="1"/>
  <c r="AE253" i="1"/>
  <c r="V254" i="1"/>
  <c r="W254" i="1"/>
  <c r="X254" i="1"/>
  <c r="Y254" i="1"/>
  <c r="Z254" i="1"/>
  <c r="AA254" i="1"/>
  <c r="AB254" i="1"/>
  <c r="AC254" i="1"/>
  <c r="AD254" i="1"/>
  <c r="AE254" i="1"/>
  <c r="V255" i="1"/>
  <c r="W255" i="1"/>
  <c r="X255" i="1"/>
  <c r="Y255" i="1"/>
  <c r="Z255" i="1"/>
  <c r="AA255" i="1"/>
  <c r="AB255" i="1"/>
  <c r="AC255" i="1"/>
  <c r="AD255" i="1"/>
  <c r="AE255" i="1"/>
  <c r="V256" i="1"/>
  <c r="W256" i="1"/>
  <c r="X256" i="1"/>
  <c r="Y256" i="1"/>
  <c r="Z256" i="1"/>
  <c r="AA256" i="1"/>
  <c r="AB256" i="1"/>
  <c r="AC256" i="1"/>
  <c r="AD256" i="1"/>
  <c r="AE256" i="1"/>
  <c r="V257" i="1"/>
  <c r="W257" i="1"/>
  <c r="X257" i="1"/>
  <c r="Y257" i="1"/>
  <c r="Z257" i="1"/>
  <c r="AA257" i="1"/>
  <c r="AB257" i="1"/>
  <c r="AC257" i="1"/>
  <c r="AD257" i="1"/>
  <c r="AE257" i="1"/>
  <c r="V258" i="1"/>
  <c r="W258" i="1"/>
  <c r="X258" i="1"/>
  <c r="Y258" i="1"/>
  <c r="Z258" i="1"/>
  <c r="AA258" i="1"/>
  <c r="AB258" i="1"/>
  <c r="AC258" i="1"/>
  <c r="AD258" i="1"/>
  <c r="AE258" i="1"/>
  <c r="V259" i="1"/>
  <c r="W259" i="1"/>
  <c r="X259" i="1"/>
  <c r="Y259" i="1"/>
  <c r="Z259" i="1"/>
  <c r="AA259" i="1"/>
  <c r="AB259" i="1"/>
  <c r="AC259" i="1"/>
  <c r="AD259" i="1"/>
  <c r="AE259" i="1"/>
  <c r="V260" i="1"/>
  <c r="W260" i="1"/>
  <c r="X260" i="1"/>
  <c r="Y260" i="1"/>
  <c r="Z260" i="1"/>
  <c r="AA260" i="1"/>
  <c r="AB260" i="1"/>
  <c r="AC260" i="1"/>
  <c r="AD260" i="1"/>
  <c r="AE260" i="1"/>
  <c r="V261" i="1"/>
  <c r="W261" i="1"/>
  <c r="X261" i="1"/>
  <c r="Y261" i="1"/>
  <c r="Z261" i="1"/>
  <c r="AA261" i="1"/>
  <c r="AB261" i="1"/>
  <c r="AC261" i="1"/>
  <c r="AD261" i="1"/>
  <c r="AE261" i="1"/>
  <c r="V262" i="1"/>
  <c r="W262" i="1"/>
  <c r="X262" i="1"/>
  <c r="Y262" i="1"/>
  <c r="Z262" i="1"/>
  <c r="AA262" i="1"/>
  <c r="AB262" i="1"/>
  <c r="AC262" i="1"/>
  <c r="AD262" i="1"/>
  <c r="AE262" i="1"/>
  <c r="V263" i="1"/>
  <c r="W263" i="1"/>
  <c r="X263" i="1"/>
  <c r="Y263" i="1"/>
  <c r="Z263" i="1"/>
  <c r="AA263" i="1"/>
  <c r="AB263" i="1"/>
  <c r="AC263" i="1"/>
  <c r="AD263" i="1"/>
  <c r="AE263" i="1"/>
  <c r="V264" i="1"/>
  <c r="W264" i="1"/>
  <c r="X264" i="1"/>
  <c r="Y264" i="1"/>
  <c r="Z264" i="1"/>
  <c r="AA264" i="1"/>
  <c r="AB264" i="1"/>
  <c r="AC264" i="1"/>
  <c r="AD264" i="1"/>
  <c r="AE264" i="1"/>
  <c r="V265" i="1"/>
  <c r="W265" i="1"/>
  <c r="X265" i="1"/>
  <c r="Y265" i="1"/>
  <c r="Z265" i="1"/>
  <c r="AA265" i="1"/>
  <c r="AB265" i="1"/>
  <c r="AC265" i="1"/>
  <c r="AD265" i="1"/>
  <c r="AE265" i="1"/>
  <c r="V266" i="1"/>
  <c r="W266" i="1"/>
  <c r="X266" i="1"/>
  <c r="Y266" i="1"/>
  <c r="Z266" i="1"/>
  <c r="AA266" i="1"/>
  <c r="AB266" i="1"/>
  <c r="AC266" i="1"/>
  <c r="AD266" i="1"/>
  <c r="AE266" i="1"/>
  <c r="V267" i="1"/>
  <c r="W267" i="1"/>
  <c r="X267" i="1"/>
  <c r="Y267" i="1"/>
  <c r="Z267" i="1"/>
  <c r="AA267" i="1"/>
  <c r="AB267" i="1"/>
  <c r="AC267" i="1"/>
  <c r="AD267" i="1"/>
  <c r="AE267" i="1"/>
  <c r="V268" i="1"/>
  <c r="W268" i="1"/>
  <c r="X268" i="1"/>
  <c r="Y268" i="1"/>
  <c r="Z268" i="1"/>
  <c r="AA268" i="1"/>
  <c r="AB268" i="1"/>
  <c r="AC268" i="1"/>
  <c r="AD268" i="1"/>
  <c r="AE268" i="1"/>
  <c r="V269" i="1"/>
  <c r="W269" i="1"/>
  <c r="X269" i="1"/>
  <c r="Y269" i="1"/>
  <c r="Z269" i="1"/>
  <c r="AA269" i="1"/>
  <c r="AB269" i="1"/>
  <c r="AC269" i="1"/>
  <c r="AD269" i="1"/>
  <c r="AE269" i="1"/>
  <c r="V270" i="1"/>
  <c r="W270" i="1"/>
  <c r="X270" i="1"/>
  <c r="Y270" i="1"/>
  <c r="Z270" i="1"/>
  <c r="AA270" i="1"/>
  <c r="AB270" i="1"/>
  <c r="AC270" i="1"/>
  <c r="AD270" i="1"/>
  <c r="AE270" i="1"/>
  <c r="V271" i="1"/>
  <c r="W271" i="1"/>
  <c r="X271" i="1"/>
  <c r="Y271" i="1"/>
  <c r="Z271" i="1"/>
  <c r="AA271" i="1"/>
  <c r="AB271" i="1"/>
  <c r="AC271" i="1"/>
  <c r="AD271" i="1"/>
  <c r="AE271" i="1"/>
  <c r="V272" i="1"/>
  <c r="W272" i="1"/>
  <c r="X272" i="1"/>
  <c r="Y272" i="1"/>
  <c r="Z272" i="1"/>
  <c r="AA272" i="1"/>
  <c r="AB272" i="1"/>
  <c r="AC272" i="1"/>
  <c r="AD272" i="1"/>
  <c r="AE272" i="1"/>
  <c r="V273" i="1"/>
  <c r="W273" i="1"/>
  <c r="X273" i="1"/>
  <c r="Y273" i="1"/>
  <c r="Z273" i="1"/>
  <c r="AA273" i="1"/>
  <c r="AB273" i="1"/>
  <c r="AC273" i="1"/>
  <c r="AD273" i="1"/>
  <c r="AE273" i="1"/>
  <c r="V274" i="1"/>
  <c r="W274" i="1"/>
  <c r="X274" i="1"/>
  <c r="Y274" i="1"/>
  <c r="Z274" i="1"/>
  <c r="AA274" i="1"/>
  <c r="AB274" i="1"/>
  <c r="AC274" i="1"/>
  <c r="AD274" i="1"/>
  <c r="AE274" i="1"/>
  <c r="V275" i="1"/>
  <c r="W275" i="1"/>
  <c r="X275" i="1"/>
  <c r="Y275" i="1"/>
  <c r="Z275" i="1"/>
  <c r="AA275" i="1"/>
  <c r="AB275" i="1"/>
  <c r="AC275" i="1"/>
  <c r="AD275" i="1"/>
  <c r="AE275" i="1"/>
  <c r="V276" i="1"/>
  <c r="W276" i="1"/>
  <c r="X276" i="1"/>
  <c r="Y276" i="1"/>
  <c r="Z276" i="1"/>
  <c r="AA276" i="1"/>
  <c r="AB276" i="1"/>
  <c r="AC276" i="1"/>
  <c r="AD276" i="1"/>
  <c r="AE276" i="1"/>
  <c r="V277" i="1"/>
  <c r="W277" i="1"/>
  <c r="X277" i="1"/>
  <c r="Y277" i="1"/>
  <c r="Z277" i="1"/>
  <c r="AA277" i="1"/>
  <c r="AB277" i="1"/>
  <c r="AC277" i="1"/>
  <c r="AD277" i="1"/>
  <c r="AE277" i="1"/>
  <c r="V278" i="1"/>
  <c r="W278" i="1"/>
  <c r="X278" i="1"/>
  <c r="Y278" i="1"/>
  <c r="Z278" i="1"/>
  <c r="AA278" i="1"/>
  <c r="AB278" i="1"/>
  <c r="AC278" i="1"/>
  <c r="AD278" i="1"/>
  <c r="AE278" i="1"/>
  <c r="V279" i="1"/>
  <c r="W279" i="1"/>
  <c r="X279" i="1"/>
  <c r="Y279" i="1"/>
  <c r="Z279" i="1"/>
  <c r="AA279" i="1"/>
  <c r="AB279" i="1"/>
  <c r="AC279" i="1"/>
  <c r="AD279" i="1"/>
  <c r="AE279" i="1"/>
  <c r="V280" i="1"/>
  <c r="W280" i="1"/>
  <c r="X280" i="1"/>
  <c r="Y280" i="1"/>
  <c r="Z280" i="1"/>
  <c r="AA280" i="1"/>
  <c r="AB280" i="1"/>
  <c r="AC280" i="1"/>
  <c r="AD280" i="1"/>
  <c r="AE280" i="1"/>
  <c r="V281" i="1"/>
  <c r="W281" i="1"/>
  <c r="X281" i="1"/>
  <c r="Y281" i="1"/>
  <c r="Z281" i="1"/>
  <c r="AA281" i="1"/>
  <c r="AB281" i="1"/>
  <c r="AC281" i="1"/>
  <c r="AD281" i="1"/>
  <c r="AE281" i="1"/>
  <c r="V282" i="1"/>
  <c r="W282" i="1"/>
  <c r="X282" i="1"/>
  <c r="Y282" i="1"/>
  <c r="Z282" i="1"/>
  <c r="AA282" i="1"/>
  <c r="AB282" i="1"/>
  <c r="AC282" i="1"/>
  <c r="AD282" i="1"/>
  <c r="AE282" i="1"/>
  <c r="V283" i="1"/>
  <c r="W283" i="1"/>
  <c r="X283" i="1"/>
  <c r="Y283" i="1"/>
  <c r="Z283" i="1"/>
  <c r="AA283" i="1"/>
  <c r="AB283" i="1"/>
  <c r="AC283" i="1"/>
  <c r="AD283" i="1"/>
  <c r="AE283" i="1"/>
  <c r="V284" i="1"/>
  <c r="W284" i="1"/>
  <c r="X284" i="1"/>
  <c r="Y284" i="1"/>
  <c r="Z284" i="1"/>
  <c r="AA284" i="1"/>
  <c r="AB284" i="1"/>
  <c r="AC284" i="1"/>
  <c r="AD284" i="1"/>
  <c r="AE284" i="1"/>
  <c r="V285" i="1"/>
  <c r="W285" i="1"/>
  <c r="X285" i="1"/>
  <c r="Y285" i="1"/>
  <c r="Z285" i="1"/>
  <c r="AA285" i="1"/>
  <c r="AB285" i="1"/>
  <c r="AC285" i="1"/>
  <c r="AD285" i="1"/>
  <c r="AE285" i="1"/>
  <c r="V286" i="1"/>
  <c r="W286" i="1"/>
  <c r="X286" i="1"/>
  <c r="Y286" i="1"/>
  <c r="Z286" i="1"/>
  <c r="AA286" i="1"/>
  <c r="AB286" i="1"/>
  <c r="AC286" i="1"/>
  <c r="AD286" i="1"/>
  <c r="AE286" i="1"/>
  <c r="V287" i="1"/>
  <c r="W287" i="1"/>
  <c r="X287" i="1"/>
  <c r="Y287" i="1"/>
  <c r="Z287" i="1"/>
  <c r="AA287" i="1"/>
  <c r="AB287" i="1"/>
  <c r="AC287" i="1"/>
  <c r="AD287" i="1"/>
  <c r="AE287" i="1"/>
  <c r="V288" i="1"/>
  <c r="W288" i="1"/>
  <c r="X288" i="1"/>
  <c r="Y288" i="1"/>
  <c r="Z288" i="1"/>
  <c r="AA288" i="1"/>
  <c r="AB288" i="1"/>
  <c r="AC288" i="1"/>
  <c r="AD288" i="1"/>
  <c r="AE288" i="1"/>
  <c r="V289" i="1"/>
  <c r="W289" i="1"/>
  <c r="X289" i="1"/>
  <c r="Y289" i="1"/>
  <c r="Z289" i="1"/>
  <c r="AA289" i="1"/>
  <c r="AB289" i="1"/>
  <c r="AC289" i="1"/>
  <c r="AD289" i="1"/>
  <c r="AE289" i="1"/>
  <c r="V290" i="1"/>
  <c r="W290" i="1"/>
  <c r="X290" i="1"/>
  <c r="Y290" i="1"/>
  <c r="Z290" i="1"/>
  <c r="AA290" i="1"/>
  <c r="AB290" i="1"/>
  <c r="AC290" i="1"/>
  <c r="AD290" i="1"/>
  <c r="AE290" i="1"/>
  <c r="V291" i="1"/>
  <c r="W291" i="1"/>
  <c r="X291" i="1"/>
  <c r="Y291" i="1"/>
  <c r="Z291" i="1"/>
  <c r="AA291" i="1"/>
  <c r="AB291" i="1"/>
  <c r="AC291" i="1"/>
  <c r="AD291" i="1"/>
  <c r="AE291" i="1"/>
  <c r="V292" i="1"/>
  <c r="W292" i="1"/>
  <c r="X292" i="1"/>
  <c r="Y292" i="1"/>
  <c r="Z292" i="1"/>
  <c r="AA292" i="1"/>
  <c r="AB292" i="1"/>
  <c r="AC292" i="1"/>
  <c r="AD292" i="1"/>
  <c r="AE292" i="1"/>
  <c r="V293" i="1"/>
  <c r="W293" i="1"/>
  <c r="X293" i="1"/>
  <c r="Y293" i="1"/>
  <c r="Z293" i="1"/>
  <c r="AA293" i="1"/>
  <c r="AB293" i="1"/>
  <c r="AC293" i="1"/>
  <c r="AD293" i="1"/>
  <c r="AE293" i="1"/>
  <c r="V294" i="1"/>
  <c r="W294" i="1"/>
  <c r="X294" i="1"/>
  <c r="Y294" i="1"/>
  <c r="Z294" i="1"/>
  <c r="AA294" i="1"/>
  <c r="AB294" i="1"/>
  <c r="AC294" i="1"/>
  <c r="AD294" i="1"/>
  <c r="AE294" i="1"/>
  <c r="V295" i="1"/>
  <c r="W295" i="1"/>
  <c r="X295" i="1"/>
  <c r="Y295" i="1"/>
  <c r="Z295" i="1"/>
  <c r="AA295" i="1"/>
  <c r="AB295" i="1"/>
  <c r="AC295" i="1"/>
  <c r="AD295" i="1"/>
  <c r="AE295" i="1"/>
  <c r="V296" i="1"/>
  <c r="W296" i="1"/>
  <c r="X296" i="1"/>
  <c r="Y296" i="1"/>
  <c r="Z296" i="1"/>
  <c r="AA296" i="1"/>
  <c r="AB296" i="1"/>
  <c r="AC296" i="1"/>
  <c r="AD296" i="1"/>
  <c r="AE296" i="1"/>
  <c r="V297" i="1"/>
  <c r="W297" i="1"/>
  <c r="X297" i="1"/>
  <c r="Y297" i="1"/>
  <c r="Z297" i="1"/>
  <c r="AA297" i="1"/>
  <c r="AB297" i="1"/>
  <c r="AC297" i="1"/>
  <c r="AD297" i="1"/>
  <c r="AE297" i="1"/>
  <c r="V298" i="1"/>
  <c r="W298" i="1"/>
  <c r="X298" i="1"/>
  <c r="Y298" i="1"/>
  <c r="Z298" i="1"/>
  <c r="AA298" i="1"/>
  <c r="AB298" i="1"/>
  <c r="AC298" i="1"/>
  <c r="AD298" i="1"/>
  <c r="AE298" i="1"/>
  <c r="V299" i="1"/>
  <c r="W299" i="1"/>
  <c r="X299" i="1"/>
  <c r="Y299" i="1"/>
  <c r="Z299" i="1"/>
  <c r="AA299" i="1"/>
  <c r="AB299" i="1"/>
  <c r="AC299" i="1"/>
  <c r="AD299" i="1"/>
  <c r="AE299" i="1"/>
  <c r="V300" i="1"/>
  <c r="W300" i="1"/>
  <c r="X300" i="1"/>
  <c r="Y300" i="1"/>
  <c r="Z300" i="1"/>
  <c r="AA300" i="1"/>
  <c r="AB300" i="1"/>
  <c r="AC300" i="1"/>
  <c r="AD300" i="1"/>
  <c r="AE300" i="1"/>
  <c r="V301" i="1"/>
  <c r="W301" i="1"/>
  <c r="X301" i="1"/>
  <c r="Y301" i="1"/>
  <c r="Z301" i="1"/>
  <c r="AA301" i="1"/>
  <c r="AB301" i="1"/>
  <c r="AC301" i="1"/>
  <c r="AD301" i="1"/>
  <c r="AE301" i="1"/>
  <c r="V302" i="1"/>
  <c r="W302" i="1"/>
  <c r="X302" i="1"/>
  <c r="Y302" i="1"/>
  <c r="Z302" i="1"/>
  <c r="AA302" i="1"/>
  <c r="AB302" i="1"/>
  <c r="AC302" i="1"/>
  <c r="AD302" i="1"/>
  <c r="AE302" i="1"/>
  <c r="V303" i="1"/>
  <c r="W303" i="1"/>
  <c r="X303" i="1"/>
  <c r="Y303" i="1"/>
  <c r="Z303" i="1"/>
  <c r="AA303" i="1"/>
  <c r="AB303" i="1"/>
  <c r="AC303" i="1"/>
  <c r="AD303" i="1"/>
  <c r="AE303" i="1"/>
  <c r="V304" i="1"/>
  <c r="W304" i="1"/>
  <c r="X304" i="1"/>
  <c r="Y304" i="1"/>
  <c r="Z304" i="1"/>
  <c r="AA304" i="1"/>
  <c r="AB304" i="1"/>
  <c r="AC304" i="1"/>
  <c r="AD304" i="1"/>
  <c r="AE304" i="1"/>
  <c r="V305" i="1"/>
  <c r="W305" i="1"/>
  <c r="X305" i="1"/>
  <c r="Y305" i="1"/>
  <c r="Z305" i="1"/>
  <c r="AA305" i="1"/>
  <c r="AB305" i="1"/>
  <c r="AC305" i="1"/>
  <c r="AD305" i="1"/>
  <c r="AE305" i="1"/>
  <c r="V306" i="1"/>
  <c r="W306" i="1"/>
  <c r="X306" i="1"/>
  <c r="Y306" i="1"/>
  <c r="Z306" i="1"/>
  <c r="AA306" i="1"/>
  <c r="AB306" i="1"/>
  <c r="AC306" i="1"/>
  <c r="AD306" i="1"/>
  <c r="AE306" i="1"/>
  <c r="V307" i="1"/>
  <c r="W307" i="1"/>
  <c r="X307" i="1"/>
  <c r="Y307" i="1"/>
  <c r="Z307" i="1"/>
  <c r="AA307" i="1"/>
  <c r="AB307" i="1"/>
  <c r="AC307" i="1"/>
  <c r="AD307" i="1"/>
  <c r="AE307" i="1"/>
  <c r="V308" i="1"/>
  <c r="W308" i="1"/>
  <c r="X308" i="1"/>
  <c r="Y308" i="1"/>
  <c r="Z308" i="1"/>
  <c r="AA308" i="1"/>
  <c r="AB308" i="1"/>
  <c r="AC308" i="1"/>
  <c r="AD308" i="1"/>
  <c r="AE308" i="1"/>
  <c r="V309" i="1"/>
  <c r="W309" i="1"/>
  <c r="X309" i="1"/>
  <c r="Y309" i="1"/>
  <c r="Z309" i="1"/>
  <c r="AA309" i="1"/>
  <c r="AB309" i="1"/>
  <c r="AC309" i="1"/>
  <c r="AD309" i="1"/>
  <c r="AE309" i="1"/>
  <c r="V310" i="1"/>
  <c r="W310" i="1"/>
  <c r="X310" i="1"/>
  <c r="Y310" i="1"/>
  <c r="Z310" i="1"/>
  <c r="AA310" i="1"/>
  <c r="AB310" i="1"/>
  <c r="AC310" i="1"/>
  <c r="AD310" i="1"/>
  <c r="AE310" i="1"/>
  <c r="V311" i="1"/>
  <c r="W311" i="1"/>
  <c r="X311" i="1"/>
  <c r="Y311" i="1"/>
  <c r="Z311" i="1"/>
  <c r="AA311" i="1"/>
  <c r="AB311" i="1"/>
  <c r="AC311" i="1"/>
  <c r="AD311" i="1"/>
  <c r="AE311" i="1"/>
  <c r="V312" i="1"/>
  <c r="W312" i="1"/>
  <c r="X312" i="1"/>
  <c r="Y312" i="1"/>
  <c r="Z312" i="1"/>
  <c r="AA312" i="1"/>
  <c r="AB312" i="1"/>
  <c r="AC312" i="1"/>
  <c r="AD312" i="1"/>
  <c r="AE312" i="1"/>
  <c r="V313" i="1"/>
  <c r="W313" i="1"/>
  <c r="X313" i="1"/>
  <c r="Y313" i="1"/>
  <c r="Z313" i="1"/>
  <c r="AA313" i="1"/>
  <c r="AB313" i="1"/>
  <c r="AC313" i="1"/>
  <c r="AD313" i="1"/>
  <c r="AE313" i="1"/>
  <c r="V314" i="1"/>
  <c r="W314" i="1"/>
  <c r="X314" i="1"/>
  <c r="Y314" i="1"/>
  <c r="Z314" i="1"/>
  <c r="AA314" i="1"/>
  <c r="AB314" i="1"/>
  <c r="AC314" i="1"/>
  <c r="AD314" i="1"/>
  <c r="AE314" i="1"/>
  <c r="V315" i="1"/>
  <c r="W315" i="1"/>
  <c r="X315" i="1"/>
  <c r="Y315" i="1"/>
  <c r="Z315" i="1"/>
  <c r="AA315" i="1"/>
  <c r="AB315" i="1"/>
  <c r="AC315" i="1"/>
  <c r="AD315" i="1"/>
  <c r="AE315" i="1"/>
  <c r="V316" i="1"/>
  <c r="W316" i="1"/>
  <c r="X316" i="1"/>
  <c r="Y316" i="1"/>
  <c r="Z316" i="1"/>
  <c r="AA316" i="1"/>
  <c r="AB316" i="1"/>
  <c r="AC316" i="1"/>
  <c r="AD316" i="1"/>
  <c r="AE316" i="1"/>
  <c r="V317" i="1"/>
  <c r="W317" i="1"/>
  <c r="X317" i="1"/>
  <c r="Y317" i="1"/>
  <c r="Z317" i="1"/>
  <c r="AA317" i="1"/>
  <c r="AB317" i="1"/>
  <c r="AC317" i="1"/>
  <c r="AD317" i="1"/>
  <c r="AE317" i="1"/>
  <c r="V318" i="1"/>
  <c r="W318" i="1"/>
  <c r="X318" i="1"/>
  <c r="Y318" i="1"/>
  <c r="Z318" i="1"/>
  <c r="AA318" i="1"/>
  <c r="AB318" i="1"/>
  <c r="AC318" i="1"/>
  <c r="AD318" i="1"/>
  <c r="AE318" i="1"/>
  <c r="V319" i="1"/>
  <c r="W319" i="1"/>
  <c r="X319" i="1"/>
  <c r="Y319" i="1"/>
  <c r="Z319" i="1"/>
  <c r="AA319" i="1"/>
  <c r="AB319" i="1"/>
  <c r="AC319" i="1"/>
  <c r="AD319" i="1"/>
  <c r="AE319" i="1"/>
  <c r="V320" i="1"/>
  <c r="W320" i="1"/>
  <c r="X320" i="1"/>
  <c r="Y320" i="1"/>
  <c r="Z320" i="1"/>
  <c r="AA320" i="1"/>
  <c r="AB320" i="1"/>
  <c r="AC320" i="1"/>
  <c r="AD320" i="1"/>
  <c r="AE320" i="1"/>
  <c r="V321" i="1"/>
  <c r="W321" i="1"/>
  <c r="X321" i="1"/>
  <c r="Y321" i="1"/>
  <c r="Z321" i="1"/>
  <c r="AA321" i="1"/>
  <c r="AB321" i="1"/>
  <c r="AC321" i="1"/>
  <c r="AD321" i="1"/>
  <c r="AE321" i="1"/>
  <c r="V322" i="1"/>
  <c r="W322" i="1"/>
  <c r="X322" i="1"/>
  <c r="Y322" i="1"/>
  <c r="Z322" i="1"/>
  <c r="AA322" i="1"/>
  <c r="AB322" i="1"/>
  <c r="AC322" i="1"/>
  <c r="AD322" i="1"/>
  <c r="AE322" i="1"/>
  <c r="V323" i="1"/>
  <c r="W323" i="1"/>
  <c r="X323" i="1"/>
  <c r="Y323" i="1"/>
  <c r="Z323" i="1"/>
  <c r="AA323" i="1"/>
  <c r="AB323" i="1"/>
  <c r="AC323" i="1"/>
  <c r="AD323" i="1"/>
  <c r="AE323" i="1"/>
  <c r="V324" i="1"/>
  <c r="W324" i="1"/>
  <c r="X324" i="1"/>
  <c r="Y324" i="1"/>
  <c r="Z324" i="1"/>
  <c r="AA324" i="1"/>
  <c r="AB324" i="1"/>
  <c r="AC324" i="1"/>
  <c r="AD324" i="1"/>
  <c r="AE324" i="1"/>
  <c r="V325" i="1"/>
  <c r="W325" i="1"/>
  <c r="X325" i="1"/>
  <c r="Y325" i="1"/>
  <c r="Z325" i="1"/>
  <c r="AA325" i="1"/>
  <c r="AB325" i="1"/>
  <c r="AC325" i="1"/>
  <c r="AD325" i="1"/>
  <c r="AE325" i="1"/>
  <c r="V326" i="1"/>
  <c r="W326" i="1"/>
  <c r="X326" i="1"/>
  <c r="Y326" i="1"/>
  <c r="Z326" i="1"/>
  <c r="AA326" i="1"/>
  <c r="AB326" i="1"/>
  <c r="AC326" i="1"/>
  <c r="AD326" i="1"/>
  <c r="AE326" i="1"/>
  <c r="V327" i="1"/>
  <c r="W327" i="1"/>
  <c r="X327" i="1"/>
  <c r="Y327" i="1"/>
  <c r="Z327" i="1"/>
  <c r="AA327" i="1"/>
  <c r="AB327" i="1"/>
  <c r="AC327" i="1"/>
  <c r="AD327" i="1"/>
  <c r="AE327" i="1"/>
  <c r="V328" i="1"/>
  <c r="W328" i="1"/>
  <c r="X328" i="1"/>
  <c r="Y328" i="1"/>
  <c r="Z328" i="1"/>
  <c r="AA328" i="1"/>
  <c r="AB328" i="1"/>
  <c r="AC328" i="1"/>
  <c r="AD328" i="1"/>
  <c r="AE328" i="1"/>
  <c r="V329" i="1"/>
  <c r="W329" i="1"/>
  <c r="X329" i="1"/>
  <c r="Y329" i="1"/>
  <c r="Z329" i="1"/>
  <c r="AA329" i="1"/>
  <c r="AB329" i="1"/>
  <c r="AC329" i="1"/>
  <c r="AD329" i="1"/>
  <c r="AE329" i="1"/>
  <c r="V330" i="1"/>
  <c r="W330" i="1"/>
  <c r="X330" i="1"/>
  <c r="Y330" i="1"/>
  <c r="Z330" i="1"/>
  <c r="AA330" i="1"/>
  <c r="AB330" i="1"/>
  <c r="AC330" i="1"/>
  <c r="AD330" i="1"/>
  <c r="AE330" i="1"/>
  <c r="V331" i="1"/>
  <c r="W331" i="1"/>
  <c r="X331" i="1"/>
  <c r="Y331" i="1"/>
  <c r="Z331" i="1"/>
  <c r="AA331" i="1"/>
  <c r="AB331" i="1"/>
  <c r="AC331" i="1"/>
  <c r="AD331" i="1"/>
  <c r="AE331" i="1"/>
  <c r="V332" i="1"/>
  <c r="W332" i="1"/>
  <c r="X332" i="1"/>
  <c r="Y332" i="1"/>
  <c r="Z332" i="1"/>
  <c r="AA332" i="1"/>
  <c r="AB332" i="1"/>
  <c r="AC332" i="1"/>
  <c r="AD332" i="1"/>
  <c r="AE332" i="1"/>
  <c r="V333" i="1"/>
  <c r="W333" i="1"/>
  <c r="X333" i="1"/>
  <c r="Y333" i="1"/>
  <c r="Z333" i="1"/>
  <c r="AA333" i="1"/>
  <c r="AB333" i="1"/>
  <c r="AC333" i="1"/>
  <c r="AD333" i="1"/>
  <c r="AE333" i="1"/>
  <c r="V334" i="1"/>
  <c r="W334" i="1"/>
  <c r="X334" i="1"/>
  <c r="Y334" i="1"/>
  <c r="Z334" i="1"/>
  <c r="AA334" i="1"/>
  <c r="AB334" i="1"/>
  <c r="AC334" i="1"/>
  <c r="AD334" i="1"/>
  <c r="AE334" i="1"/>
  <c r="V335" i="1"/>
  <c r="W335" i="1"/>
  <c r="X335" i="1"/>
  <c r="Y335" i="1"/>
  <c r="Z335" i="1"/>
  <c r="AA335" i="1"/>
  <c r="AB335" i="1"/>
  <c r="AC335" i="1"/>
  <c r="AD335" i="1"/>
  <c r="AE335" i="1"/>
  <c r="V336" i="1"/>
  <c r="W336" i="1"/>
  <c r="X336" i="1"/>
  <c r="Y336" i="1"/>
  <c r="Z336" i="1"/>
  <c r="AA336" i="1"/>
  <c r="AB336" i="1"/>
  <c r="AC336" i="1"/>
  <c r="AD336" i="1"/>
  <c r="AE336" i="1"/>
  <c r="V337" i="1"/>
  <c r="W337" i="1"/>
  <c r="X337" i="1"/>
  <c r="Y337" i="1"/>
  <c r="Z337" i="1"/>
  <c r="AA337" i="1"/>
  <c r="AB337" i="1"/>
  <c r="AC337" i="1"/>
  <c r="AD337" i="1"/>
  <c r="AE337" i="1"/>
  <c r="V338" i="1"/>
  <c r="W338" i="1"/>
  <c r="X338" i="1"/>
  <c r="Y338" i="1"/>
  <c r="Z338" i="1"/>
  <c r="AA338" i="1"/>
  <c r="AB338" i="1"/>
  <c r="AC338" i="1"/>
  <c r="AD338" i="1"/>
  <c r="AE338" i="1"/>
  <c r="V339" i="1"/>
  <c r="W339" i="1"/>
  <c r="X339" i="1"/>
  <c r="Y339" i="1"/>
  <c r="Z339" i="1"/>
  <c r="AA339" i="1"/>
  <c r="AB339" i="1"/>
  <c r="AC339" i="1"/>
  <c r="AD339" i="1"/>
  <c r="AE339" i="1"/>
  <c r="V340" i="1"/>
  <c r="W340" i="1"/>
  <c r="X340" i="1"/>
  <c r="Y340" i="1"/>
  <c r="Z340" i="1"/>
  <c r="AA340" i="1"/>
  <c r="AB340" i="1"/>
  <c r="AC340" i="1"/>
  <c r="AD340" i="1"/>
  <c r="AE340" i="1"/>
  <c r="V341" i="1"/>
  <c r="W341" i="1"/>
  <c r="X341" i="1"/>
  <c r="Y341" i="1"/>
  <c r="Z341" i="1"/>
  <c r="AA341" i="1"/>
  <c r="AB341" i="1"/>
  <c r="AC341" i="1"/>
  <c r="AD341" i="1"/>
  <c r="AE341" i="1"/>
  <c r="V342" i="1"/>
  <c r="W342" i="1"/>
  <c r="X342" i="1"/>
  <c r="Y342" i="1"/>
  <c r="Z342" i="1"/>
  <c r="AA342" i="1"/>
  <c r="AB342" i="1"/>
  <c r="AC342" i="1"/>
  <c r="AD342" i="1"/>
  <c r="AE342" i="1"/>
  <c r="V343" i="1"/>
  <c r="W343" i="1"/>
  <c r="X343" i="1"/>
  <c r="Y343" i="1"/>
  <c r="Z343" i="1"/>
  <c r="AA343" i="1"/>
  <c r="AB343" i="1"/>
  <c r="AC343" i="1"/>
  <c r="AD343" i="1"/>
  <c r="AE343" i="1"/>
  <c r="V344" i="1"/>
  <c r="W344" i="1"/>
  <c r="X344" i="1"/>
  <c r="Y344" i="1"/>
  <c r="Z344" i="1"/>
  <c r="AA344" i="1"/>
  <c r="AB344" i="1"/>
  <c r="AC344" i="1"/>
  <c r="AD344" i="1"/>
  <c r="AE344" i="1"/>
  <c r="V345" i="1"/>
  <c r="W345" i="1"/>
  <c r="X345" i="1"/>
  <c r="Y345" i="1"/>
  <c r="Z345" i="1"/>
  <c r="AA345" i="1"/>
  <c r="AB345" i="1"/>
  <c r="AC345" i="1"/>
  <c r="AD345" i="1"/>
  <c r="AE345" i="1"/>
  <c r="V346" i="1"/>
  <c r="W346" i="1"/>
  <c r="X346" i="1"/>
  <c r="Y346" i="1"/>
  <c r="Z346" i="1"/>
  <c r="AA346" i="1"/>
  <c r="AB346" i="1"/>
  <c r="AC346" i="1"/>
  <c r="AD346" i="1"/>
  <c r="AE346" i="1"/>
  <c r="V347" i="1"/>
  <c r="W347" i="1"/>
  <c r="X347" i="1"/>
  <c r="Y347" i="1"/>
  <c r="Z347" i="1"/>
  <c r="AA347" i="1"/>
  <c r="AB347" i="1"/>
  <c r="AC347" i="1"/>
  <c r="AD347" i="1"/>
  <c r="AE347" i="1"/>
  <c r="V348" i="1"/>
  <c r="W348" i="1"/>
  <c r="X348" i="1"/>
  <c r="Y348" i="1"/>
  <c r="Z348" i="1"/>
  <c r="AA348" i="1"/>
  <c r="AB348" i="1"/>
  <c r="AC348" i="1"/>
  <c r="AD348" i="1"/>
  <c r="AE348" i="1"/>
  <c r="V349" i="1"/>
  <c r="W349" i="1"/>
  <c r="X349" i="1"/>
  <c r="Y349" i="1"/>
  <c r="Z349" i="1"/>
  <c r="AA349" i="1"/>
  <c r="AB349" i="1"/>
  <c r="AC349" i="1"/>
  <c r="AD349" i="1"/>
  <c r="AE349" i="1"/>
  <c r="V350" i="1"/>
  <c r="W350" i="1"/>
  <c r="X350" i="1"/>
  <c r="Y350" i="1"/>
  <c r="Z350" i="1"/>
  <c r="AA350" i="1"/>
  <c r="AB350" i="1"/>
  <c r="AC350" i="1"/>
  <c r="AD350" i="1"/>
  <c r="AE350" i="1"/>
  <c r="V351" i="1"/>
  <c r="W351" i="1"/>
  <c r="X351" i="1"/>
  <c r="Y351" i="1"/>
  <c r="Z351" i="1"/>
  <c r="AA351" i="1"/>
  <c r="AB351" i="1"/>
  <c r="AC351" i="1"/>
  <c r="AD351" i="1"/>
  <c r="AE351" i="1"/>
  <c r="V352" i="1"/>
  <c r="W352" i="1"/>
  <c r="X352" i="1"/>
  <c r="Y352" i="1"/>
  <c r="Z352" i="1"/>
  <c r="AA352" i="1"/>
  <c r="AB352" i="1"/>
  <c r="AC352" i="1"/>
  <c r="AD352" i="1"/>
  <c r="AE352" i="1"/>
  <c r="V353" i="1"/>
  <c r="W353" i="1"/>
  <c r="X353" i="1"/>
  <c r="Y353" i="1"/>
  <c r="Z353" i="1"/>
  <c r="AA353" i="1"/>
  <c r="AB353" i="1"/>
  <c r="AC353" i="1"/>
  <c r="AD353" i="1"/>
  <c r="AE353" i="1"/>
  <c r="V354" i="1"/>
  <c r="W354" i="1"/>
  <c r="X354" i="1"/>
  <c r="Y354" i="1"/>
  <c r="Z354" i="1"/>
  <c r="AA354" i="1"/>
  <c r="AB354" i="1"/>
  <c r="AC354" i="1"/>
  <c r="AD354" i="1"/>
  <c r="AE354" i="1"/>
  <c r="V355" i="1"/>
  <c r="W355" i="1"/>
  <c r="X355" i="1"/>
  <c r="Y355" i="1"/>
  <c r="Z355" i="1"/>
  <c r="AA355" i="1"/>
  <c r="AB355" i="1"/>
  <c r="AC355" i="1"/>
  <c r="AD355" i="1"/>
  <c r="AE355" i="1"/>
  <c r="V356" i="1"/>
  <c r="W356" i="1"/>
  <c r="X356" i="1"/>
  <c r="Y356" i="1"/>
  <c r="Z356" i="1"/>
  <c r="AA356" i="1"/>
  <c r="AB356" i="1"/>
  <c r="AC356" i="1"/>
  <c r="AD356" i="1"/>
  <c r="AE356" i="1"/>
  <c r="V357" i="1"/>
  <c r="W357" i="1"/>
  <c r="X357" i="1"/>
  <c r="Y357" i="1"/>
  <c r="Z357" i="1"/>
  <c r="AA357" i="1"/>
  <c r="AB357" i="1"/>
  <c r="AC357" i="1"/>
  <c r="AD357" i="1"/>
  <c r="AE357" i="1"/>
  <c r="V358" i="1"/>
  <c r="W358" i="1"/>
  <c r="X358" i="1"/>
  <c r="Y358" i="1"/>
  <c r="Z358" i="1"/>
  <c r="AA358" i="1"/>
  <c r="AB358" i="1"/>
  <c r="AC358" i="1"/>
  <c r="AD358" i="1"/>
  <c r="AE358" i="1"/>
  <c r="V359" i="1"/>
  <c r="W359" i="1"/>
  <c r="X359" i="1"/>
  <c r="Y359" i="1"/>
  <c r="Z359" i="1"/>
  <c r="AA359" i="1"/>
  <c r="AB359" i="1"/>
  <c r="AC359" i="1"/>
  <c r="AD359" i="1"/>
  <c r="AE359" i="1"/>
  <c r="V360" i="1"/>
  <c r="W360" i="1"/>
  <c r="X360" i="1"/>
  <c r="Y360" i="1"/>
  <c r="Z360" i="1"/>
  <c r="AA360" i="1"/>
  <c r="AB360" i="1"/>
  <c r="AC360" i="1"/>
  <c r="AD360" i="1"/>
  <c r="AE360" i="1"/>
  <c r="V361" i="1"/>
  <c r="W361" i="1"/>
  <c r="X361" i="1"/>
  <c r="Y361" i="1"/>
  <c r="Z361" i="1"/>
  <c r="AA361" i="1"/>
  <c r="AB361" i="1"/>
  <c r="AC361" i="1"/>
  <c r="AD361" i="1"/>
  <c r="AE361" i="1"/>
  <c r="V362" i="1"/>
  <c r="W362" i="1"/>
  <c r="X362" i="1"/>
  <c r="Y362" i="1"/>
  <c r="Z362" i="1"/>
  <c r="AA362" i="1"/>
  <c r="AB362" i="1"/>
  <c r="AC362" i="1"/>
  <c r="AD362" i="1"/>
  <c r="AE362" i="1"/>
  <c r="V363" i="1"/>
  <c r="W363" i="1"/>
  <c r="X363" i="1"/>
  <c r="Y363" i="1"/>
  <c r="Z363" i="1"/>
  <c r="AA363" i="1"/>
  <c r="AB363" i="1"/>
  <c r="AC363" i="1"/>
  <c r="AD363" i="1"/>
  <c r="AE363" i="1"/>
  <c r="V364" i="1"/>
  <c r="W364" i="1"/>
  <c r="X364" i="1"/>
  <c r="Y364" i="1"/>
  <c r="Z364" i="1"/>
  <c r="AA364" i="1"/>
  <c r="AB364" i="1"/>
  <c r="AC364" i="1"/>
  <c r="AD364" i="1"/>
  <c r="AE364" i="1"/>
  <c r="V365" i="1"/>
  <c r="W365" i="1"/>
  <c r="X365" i="1"/>
  <c r="Y365" i="1"/>
  <c r="Z365" i="1"/>
  <c r="AA365" i="1"/>
  <c r="AB365" i="1"/>
  <c r="AC365" i="1"/>
  <c r="AD365" i="1"/>
  <c r="AE365" i="1"/>
  <c r="V366" i="1"/>
  <c r="W366" i="1"/>
  <c r="X366" i="1"/>
  <c r="Y366" i="1"/>
  <c r="Z366" i="1"/>
  <c r="AA366" i="1"/>
  <c r="AB366" i="1"/>
  <c r="AC366" i="1"/>
  <c r="AD366" i="1"/>
  <c r="AE366" i="1"/>
  <c r="V367" i="1"/>
  <c r="W367" i="1"/>
  <c r="X367" i="1"/>
  <c r="Y367" i="1"/>
  <c r="Z367" i="1"/>
  <c r="AA367" i="1"/>
  <c r="AB367" i="1"/>
  <c r="AC367" i="1"/>
  <c r="AD367" i="1"/>
  <c r="AE367" i="1"/>
  <c r="V368" i="1"/>
  <c r="W368" i="1"/>
  <c r="X368" i="1"/>
  <c r="Y368" i="1"/>
  <c r="Z368" i="1"/>
  <c r="AA368" i="1"/>
  <c r="AB368" i="1"/>
  <c r="AC368" i="1"/>
  <c r="AD368" i="1"/>
  <c r="AE368" i="1"/>
  <c r="V369" i="1"/>
  <c r="W369" i="1"/>
  <c r="X369" i="1"/>
  <c r="Y369" i="1"/>
  <c r="Z369" i="1"/>
  <c r="AA369" i="1"/>
  <c r="AB369" i="1"/>
  <c r="AC369" i="1"/>
  <c r="AD369" i="1"/>
  <c r="AE369" i="1"/>
  <c r="V370" i="1"/>
  <c r="W370" i="1"/>
  <c r="X370" i="1"/>
  <c r="Y370" i="1"/>
  <c r="Z370" i="1"/>
  <c r="AA370" i="1"/>
  <c r="AB370" i="1"/>
  <c r="AC370" i="1"/>
  <c r="AD370" i="1"/>
  <c r="AE370" i="1"/>
  <c r="V371" i="1"/>
  <c r="W371" i="1"/>
  <c r="X371" i="1"/>
  <c r="Y371" i="1"/>
  <c r="Z371" i="1"/>
  <c r="AA371" i="1"/>
  <c r="AB371" i="1"/>
  <c r="AC371" i="1"/>
  <c r="AD371" i="1"/>
  <c r="AE371" i="1"/>
  <c r="V372" i="1"/>
  <c r="W372" i="1"/>
  <c r="X372" i="1"/>
  <c r="Y372" i="1"/>
  <c r="Z372" i="1"/>
  <c r="AA372" i="1"/>
  <c r="AB372" i="1"/>
  <c r="AC372" i="1"/>
  <c r="AD372" i="1"/>
  <c r="AE372" i="1"/>
  <c r="V373" i="1"/>
  <c r="W373" i="1"/>
  <c r="X373" i="1"/>
  <c r="Y373" i="1"/>
  <c r="Z373" i="1"/>
  <c r="AA373" i="1"/>
  <c r="AB373" i="1"/>
  <c r="AC373" i="1"/>
  <c r="AD373" i="1"/>
  <c r="AE373" i="1"/>
  <c r="V374" i="1"/>
  <c r="W374" i="1"/>
  <c r="X374" i="1"/>
  <c r="Y374" i="1"/>
  <c r="Z374" i="1"/>
  <c r="AA374" i="1"/>
  <c r="AB374" i="1"/>
  <c r="AC374" i="1"/>
  <c r="AD374" i="1"/>
  <c r="AE374" i="1"/>
  <c r="V375" i="1"/>
  <c r="W375" i="1"/>
  <c r="X375" i="1"/>
  <c r="Y375" i="1"/>
  <c r="Z375" i="1"/>
  <c r="AA375" i="1"/>
  <c r="AB375" i="1"/>
  <c r="AC375" i="1"/>
  <c r="AD375" i="1"/>
  <c r="AE375" i="1"/>
  <c r="V376" i="1"/>
  <c r="W376" i="1"/>
  <c r="X376" i="1"/>
  <c r="Y376" i="1"/>
  <c r="Z376" i="1"/>
  <c r="AA376" i="1"/>
  <c r="AB376" i="1"/>
  <c r="AC376" i="1"/>
  <c r="AD376" i="1"/>
  <c r="AE376" i="1"/>
  <c r="V377" i="1"/>
  <c r="W377" i="1"/>
  <c r="X377" i="1"/>
  <c r="Y377" i="1"/>
  <c r="Z377" i="1"/>
  <c r="AA377" i="1"/>
  <c r="AB377" i="1"/>
  <c r="AC377" i="1"/>
  <c r="AD377" i="1"/>
  <c r="AE377" i="1"/>
  <c r="V378" i="1"/>
  <c r="W378" i="1"/>
  <c r="X378" i="1"/>
  <c r="Y378" i="1"/>
  <c r="Z378" i="1"/>
  <c r="AA378" i="1"/>
  <c r="AB378" i="1"/>
  <c r="AC378" i="1"/>
  <c r="AD378" i="1"/>
  <c r="AE378" i="1"/>
  <c r="V379" i="1"/>
  <c r="W379" i="1"/>
  <c r="X379" i="1"/>
  <c r="Y379" i="1"/>
  <c r="Z379" i="1"/>
  <c r="AA379" i="1"/>
  <c r="AB379" i="1"/>
  <c r="AC379" i="1"/>
  <c r="AD379" i="1"/>
  <c r="AE379" i="1"/>
  <c r="V380" i="1"/>
  <c r="W380" i="1"/>
  <c r="X380" i="1"/>
  <c r="Y380" i="1"/>
  <c r="Z380" i="1"/>
  <c r="AA380" i="1"/>
  <c r="AB380" i="1"/>
  <c r="AC380" i="1"/>
  <c r="AD380" i="1"/>
  <c r="AE380" i="1"/>
  <c r="V381" i="1"/>
  <c r="W381" i="1"/>
  <c r="X381" i="1"/>
  <c r="Y381" i="1"/>
  <c r="Z381" i="1"/>
  <c r="AA381" i="1"/>
  <c r="AB381" i="1"/>
  <c r="AC381" i="1"/>
  <c r="AD381" i="1"/>
  <c r="AE381" i="1"/>
  <c r="V382" i="1"/>
  <c r="W382" i="1"/>
  <c r="X382" i="1"/>
  <c r="Y382" i="1"/>
  <c r="Z382" i="1"/>
  <c r="AA382" i="1"/>
  <c r="AB382" i="1"/>
  <c r="AC382" i="1"/>
  <c r="AD382" i="1"/>
  <c r="AE382" i="1"/>
  <c r="V383" i="1"/>
  <c r="W383" i="1"/>
  <c r="X383" i="1"/>
  <c r="Y383" i="1"/>
  <c r="Z383" i="1"/>
  <c r="AA383" i="1"/>
  <c r="AB383" i="1"/>
  <c r="AC383" i="1"/>
  <c r="AD383" i="1"/>
  <c r="AE383" i="1"/>
  <c r="V384" i="1"/>
  <c r="W384" i="1"/>
  <c r="X384" i="1"/>
  <c r="Y384" i="1"/>
  <c r="Z384" i="1"/>
  <c r="AA384" i="1"/>
  <c r="AB384" i="1"/>
  <c r="AC384" i="1"/>
  <c r="AD384" i="1"/>
  <c r="AE384" i="1"/>
  <c r="V385" i="1"/>
  <c r="W385" i="1"/>
  <c r="X385" i="1"/>
  <c r="Y385" i="1"/>
  <c r="Z385" i="1"/>
  <c r="AA385" i="1"/>
  <c r="AB385" i="1"/>
  <c r="AC385" i="1"/>
  <c r="AD385" i="1"/>
  <c r="AE385" i="1"/>
  <c r="V386" i="1"/>
  <c r="W386" i="1"/>
  <c r="X386" i="1"/>
  <c r="Y386" i="1"/>
  <c r="Z386" i="1"/>
  <c r="AA386" i="1"/>
  <c r="AB386" i="1"/>
  <c r="AC386" i="1"/>
  <c r="AD386" i="1"/>
  <c r="AE386" i="1"/>
  <c r="V387" i="1"/>
  <c r="W387" i="1"/>
  <c r="X387" i="1"/>
  <c r="Y387" i="1"/>
  <c r="Z387" i="1"/>
  <c r="AA387" i="1"/>
  <c r="AB387" i="1"/>
  <c r="AC387" i="1"/>
  <c r="AD387" i="1"/>
  <c r="AE387" i="1"/>
  <c r="V388" i="1"/>
  <c r="W388" i="1"/>
  <c r="X388" i="1"/>
  <c r="Y388" i="1"/>
  <c r="Z388" i="1"/>
  <c r="AA388" i="1"/>
  <c r="AB388" i="1"/>
  <c r="AC388" i="1"/>
  <c r="AD388" i="1"/>
  <c r="AE388" i="1"/>
  <c r="V389" i="1"/>
  <c r="W389" i="1"/>
  <c r="X389" i="1"/>
  <c r="Y389" i="1"/>
  <c r="Z389" i="1"/>
  <c r="AA389" i="1"/>
  <c r="AB389" i="1"/>
  <c r="AC389" i="1"/>
  <c r="AD389" i="1"/>
  <c r="AE389" i="1"/>
  <c r="V390" i="1"/>
  <c r="W390" i="1"/>
  <c r="X390" i="1"/>
  <c r="Y390" i="1"/>
  <c r="Z390" i="1"/>
  <c r="AA390" i="1"/>
  <c r="AB390" i="1"/>
  <c r="AC390" i="1"/>
  <c r="AD390" i="1"/>
  <c r="AE390" i="1"/>
  <c r="V391" i="1"/>
  <c r="W391" i="1"/>
  <c r="X391" i="1"/>
  <c r="Y391" i="1"/>
  <c r="Z391" i="1"/>
  <c r="AA391" i="1"/>
  <c r="AB391" i="1"/>
  <c r="AC391" i="1"/>
  <c r="AD391" i="1"/>
  <c r="AE391" i="1"/>
  <c r="V392" i="1"/>
  <c r="W392" i="1"/>
  <c r="X392" i="1"/>
  <c r="Y392" i="1"/>
  <c r="Z392" i="1"/>
  <c r="AA392" i="1"/>
  <c r="AB392" i="1"/>
  <c r="AC392" i="1"/>
  <c r="AD392" i="1"/>
  <c r="AE392" i="1"/>
  <c r="V393" i="1"/>
  <c r="W393" i="1"/>
  <c r="X393" i="1"/>
  <c r="Y393" i="1"/>
  <c r="Z393" i="1"/>
  <c r="AA393" i="1"/>
  <c r="AB393" i="1"/>
  <c r="AC393" i="1"/>
  <c r="AD393" i="1"/>
  <c r="AE393" i="1"/>
  <c r="V394" i="1"/>
  <c r="W394" i="1"/>
  <c r="X394" i="1"/>
  <c r="Y394" i="1"/>
  <c r="Z394" i="1"/>
  <c r="AA394" i="1"/>
  <c r="AB394" i="1"/>
  <c r="AC394" i="1"/>
  <c r="AD394" i="1"/>
  <c r="AE394" i="1"/>
  <c r="V395" i="1"/>
  <c r="W395" i="1"/>
  <c r="X395" i="1"/>
  <c r="Y395" i="1"/>
  <c r="Z395" i="1"/>
  <c r="AA395" i="1"/>
  <c r="AB395" i="1"/>
  <c r="AC395" i="1"/>
  <c r="AD395" i="1"/>
  <c r="AE395" i="1"/>
  <c r="V396" i="1"/>
  <c r="W396" i="1"/>
  <c r="X396" i="1"/>
  <c r="Y396" i="1"/>
  <c r="Z396" i="1"/>
  <c r="AA396" i="1"/>
  <c r="AB396" i="1"/>
  <c r="AC396" i="1"/>
  <c r="AD396" i="1"/>
  <c r="AE396" i="1"/>
  <c r="V397" i="1"/>
  <c r="W397" i="1"/>
  <c r="X397" i="1"/>
  <c r="Y397" i="1"/>
  <c r="Z397" i="1"/>
  <c r="AA397" i="1"/>
  <c r="AB397" i="1"/>
  <c r="AC397" i="1"/>
  <c r="AD397" i="1"/>
  <c r="AE397" i="1"/>
  <c r="V398" i="1"/>
  <c r="W398" i="1"/>
  <c r="X398" i="1"/>
  <c r="Y398" i="1"/>
  <c r="Z398" i="1"/>
  <c r="AA398" i="1"/>
  <c r="AB398" i="1"/>
  <c r="AC398" i="1"/>
  <c r="AD398" i="1"/>
  <c r="AE398" i="1"/>
  <c r="V399" i="1"/>
  <c r="W399" i="1"/>
  <c r="X399" i="1"/>
  <c r="Y399" i="1"/>
  <c r="Z399" i="1"/>
  <c r="AA399" i="1"/>
  <c r="AB399" i="1"/>
  <c r="AC399" i="1"/>
  <c r="AD399" i="1"/>
  <c r="AE399" i="1"/>
  <c r="V400" i="1"/>
  <c r="W400" i="1"/>
  <c r="X400" i="1"/>
  <c r="Y400" i="1"/>
  <c r="Z400" i="1"/>
  <c r="AA400" i="1"/>
  <c r="AB400" i="1"/>
  <c r="AC400" i="1"/>
  <c r="AD400" i="1"/>
  <c r="AE400" i="1"/>
  <c r="V401" i="1"/>
  <c r="W401" i="1"/>
  <c r="X401" i="1"/>
  <c r="Y401" i="1"/>
  <c r="Z401" i="1"/>
  <c r="AA401" i="1"/>
  <c r="AB401" i="1"/>
  <c r="AC401" i="1"/>
  <c r="AD401" i="1"/>
  <c r="AE401" i="1"/>
  <c r="V402" i="1"/>
  <c r="W402" i="1"/>
  <c r="X402" i="1"/>
  <c r="Y402" i="1"/>
  <c r="Z402" i="1"/>
  <c r="AA402" i="1"/>
  <c r="AB402" i="1"/>
  <c r="AC402" i="1"/>
  <c r="AD402" i="1"/>
  <c r="AE402" i="1"/>
  <c r="V403" i="1"/>
  <c r="W403" i="1"/>
  <c r="X403" i="1"/>
  <c r="Y403" i="1"/>
  <c r="Z403" i="1"/>
  <c r="AA403" i="1"/>
  <c r="AB403" i="1"/>
  <c r="AC403" i="1"/>
  <c r="AD403" i="1"/>
  <c r="AE403" i="1"/>
  <c r="V404" i="1"/>
  <c r="W404" i="1"/>
  <c r="X404" i="1"/>
  <c r="Y404" i="1"/>
  <c r="Z404" i="1"/>
  <c r="AA404" i="1"/>
  <c r="AB404" i="1"/>
  <c r="AC404" i="1"/>
  <c r="AD404" i="1"/>
  <c r="AE404" i="1"/>
  <c r="V405" i="1"/>
  <c r="W405" i="1"/>
  <c r="X405" i="1"/>
  <c r="Y405" i="1"/>
  <c r="Z405" i="1"/>
  <c r="AA405" i="1"/>
  <c r="AB405" i="1"/>
  <c r="AC405" i="1"/>
  <c r="AD405" i="1"/>
  <c r="AE405" i="1"/>
  <c r="V406" i="1"/>
  <c r="W406" i="1"/>
  <c r="X406" i="1"/>
  <c r="Y406" i="1"/>
  <c r="Z406" i="1"/>
  <c r="AA406" i="1"/>
  <c r="AB406" i="1"/>
  <c r="AC406" i="1"/>
  <c r="AD406" i="1"/>
  <c r="AE406" i="1"/>
  <c r="V407" i="1"/>
  <c r="W407" i="1"/>
  <c r="X407" i="1"/>
  <c r="Y407" i="1"/>
  <c r="Z407" i="1"/>
  <c r="AA407" i="1"/>
  <c r="AB407" i="1"/>
  <c r="AC407" i="1"/>
  <c r="AD407" i="1"/>
  <c r="AE407" i="1"/>
  <c r="V408" i="1"/>
  <c r="W408" i="1"/>
  <c r="X408" i="1"/>
  <c r="Y408" i="1"/>
  <c r="Z408" i="1"/>
  <c r="AA408" i="1"/>
  <c r="AB408" i="1"/>
  <c r="AC408" i="1"/>
  <c r="AD408" i="1"/>
  <c r="AE408" i="1"/>
  <c r="V409" i="1"/>
  <c r="W409" i="1"/>
  <c r="X409" i="1"/>
  <c r="Y409" i="1"/>
  <c r="Z409" i="1"/>
  <c r="AA409" i="1"/>
  <c r="AB409" i="1"/>
  <c r="AC409" i="1"/>
  <c r="AD409" i="1"/>
  <c r="AE409" i="1"/>
  <c r="V410" i="1"/>
  <c r="W410" i="1"/>
  <c r="X410" i="1"/>
  <c r="Y410" i="1"/>
  <c r="Z410" i="1"/>
  <c r="AA410" i="1"/>
  <c r="AB410" i="1"/>
  <c r="AC410" i="1"/>
  <c r="AD410" i="1"/>
  <c r="AE410" i="1"/>
  <c r="V411" i="1"/>
  <c r="W411" i="1"/>
  <c r="X411" i="1"/>
  <c r="Y411" i="1"/>
  <c r="Z411" i="1"/>
  <c r="AA411" i="1"/>
  <c r="AB411" i="1"/>
  <c r="AC411" i="1"/>
  <c r="AD411" i="1"/>
  <c r="AE411" i="1"/>
  <c r="V412" i="1"/>
  <c r="W412" i="1"/>
  <c r="X412" i="1"/>
  <c r="Y412" i="1"/>
  <c r="Z412" i="1"/>
  <c r="AA412" i="1"/>
  <c r="AB412" i="1"/>
  <c r="AC412" i="1"/>
  <c r="AD412" i="1"/>
  <c r="AE412" i="1"/>
  <c r="V413" i="1"/>
  <c r="W413" i="1"/>
  <c r="X413" i="1"/>
  <c r="Y413" i="1"/>
  <c r="Z413" i="1"/>
  <c r="AA413" i="1"/>
  <c r="AB413" i="1"/>
  <c r="AC413" i="1"/>
  <c r="AD413" i="1"/>
  <c r="AE413" i="1"/>
  <c r="V414" i="1"/>
  <c r="W414" i="1"/>
  <c r="X414" i="1"/>
  <c r="Y414" i="1"/>
  <c r="Z414" i="1"/>
  <c r="AA414" i="1"/>
  <c r="AB414" i="1"/>
  <c r="AC414" i="1"/>
  <c r="AD414" i="1"/>
  <c r="AE414" i="1"/>
  <c r="V415" i="1"/>
  <c r="W415" i="1"/>
  <c r="X415" i="1"/>
  <c r="Y415" i="1"/>
  <c r="Z415" i="1"/>
  <c r="AA415" i="1"/>
  <c r="AB415" i="1"/>
  <c r="AC415" i="1"/>
  <c r="AD415" i="1"/>
  <c r="AE415" i="1"/>
  <c r="V416" i="1"/>
  <c r="W416" i="1"/>
  <c r="X416" i="1"/>
  <c r="Y416" i="1"/>
  <c r="Z416" i="1"/>
  <c r="AA416" i="1"/>
  <c r="AB416" i="1"/>
  <c r="AC416" i="1"/>
  <c r="AD416" i="1"/>
  <c r="AE416" i="1"/>
  <c r="V417" i="1"/>
  <c r="W417" i="1"/>
  <c r="X417" i="1"/>
  <c r="Y417" i="1"/>
  <c r="Z417" i="1"/>
  <c r="AA417" i="1"/>
  <c r="AB417" i="1"/>
  <c r="AC417" i="1"/>
  <c r="AD417" i="1"/>
  <c r="AE417" i="1"/>
  <c r="V418" i="1"/>
  <c r="W418" i="1"/>
  <c r="X418" i="1"/>
  <c r="Y418" i="1"/>
  <c r="Z418" i="1"/>
  <c r="AA418" i="1"/>
  <c r="AB418" i="1"/>
  <c r="AC418" i="1"/>
  <c r="AD418" i="1"/>
  <c r="AE418" i="1"/>
  <c r="V419" i="1"/>
  <c r="W419" i="1"/>
  <c r="X419" i="1"/>
  <c r="Y419" i="1"/>
  <c r="Z419" i="1"/>
  <c r="AA419" i="1"/>
  <c r="AB419" i="1"/>
  <c r="AC419" i="1"/>
  <c r="AD419" i="1"/>
  <c r="AE419" i="1"/>
  <c r="V420" i="1"/>
  <c r="W420" i="1"/>
  <c r="X420" i="1"/>
  <c r="Y420" i="1"/>
  <c r="Z420" i="1"/>
  <c r="AA420" i="1"/>
  <c r="AB420" i="1"/>
  <c r="AC420" i="1"/>
  <c r="AD420" i="1"/>
  <c r="AE420" i="1"/>
  <c r="V421" i="1"/>
  <c r="W421" i="1"/>
  <c r="X421" i="1"/>
  <c r="Y421" i="1"/>
  <c r="Z421" i="1"/>
  <c r="AA421" i="1"/>
  <c r="AB421" i="1"/>
  <c r="AC421" i="1"/>
  <c r="AD421" i="1"/>
  <c r="AE421" i="1"/>
  <c r="V422" i="1"/>
  <c r="W422" i="1"/>
  <c r="X422" i="1"/>
  <c r="Y422" i="1"/>
  <c r="Z422" i="1"/>
  <c r="AA422" i="1"/>
  <c r="AB422" i="1"/>
  <c r="AC422" i="1"/>
  <c r="AD422" i="1"/>
  <c r="AE422" i="1"/>
  <c r="V423" i="1"/>
  <c r="W423" i="1"/>
  <c r="X423" i="1"/>
  <c r="Y423" i="1"/>
  <c r="Z423" i="1"/>
  <c r="AA423" i="1"/>
  <c r="AB423" i="1"/>
  <c r="AC423" i="1"/>
  <c r="AD423" i="1"/>
  <c r="AE423" i="1"/>
  <c r="V424" i="1"/>
  <c r="W424" i="1"/>
  <c r="X424" i="1"/>
  <c r="Y424" i="1"/>
  <c r="Z424" i="1"/>
  <c r="AA424" i="1"/>
  <c r="AB424" i="1"/>
  <c r="AC424" i="1"/>
  <c r="AD424" i="1"/>
  <c r="AE424" i="1"/>
  <c r="V425" i="1"/>
  <c r="W425" i="1"/>
  <c r="X425" i="1"/>
  <c r="Y425" i="1"/>
  <c r="Z425" i="1"/>
  <c r="AA425" i="1"/>
  <c r="AB425" i="1"/>
  <c r="AC425" i="1"/>
  <c r="AD425" i="1"/>
  <c r="AE425" i="1"/>
  <c r="V426" i="1"/>
  <c r="W426" i="1"/>
  <c r="X426" i="1"/>
  <c r="Y426" i="1"/>
  <c r="Z426" i="1"/>
  <c r="AA426" i="1"/>
  <c r="AB426" i="1"/>
  <c r="AC426" i="1"/>
  <c r="AD426" i="1"/>
  <c r="AE426" i="1"/>
  <c r="V427" i="1"/>
  <c r="W427" i="1"/>
  <c r="X427" i="1"/>
  <c r="Y427" i="1"/>
  <c r="Z427" i="1"/>
  <c r="AA427" i="1"/>
  <c r="AB427" i="1"/>
  <c r="AC427" i="1"/>
  <c r="AD427" i="1"/>
  <c r="AE427" i="1"/>
  <c r="V428" i="1"/>
  <c r="W428" i="1"/>
  <c r="X428" i="1"/>
  <c r="Y428" i="1"/>
  <c r="Z428" i="1"/>
  <c r="AA428" i="1"/>
  <c r="AB428" i="1"/>
  <c r="AC428" i="1"/>
  <c r="AD428" i="1"/>
  <c r="AE428" i="1"/>
  <c r="V429" i="1"/>
  <c r="W429" i="1"/>
  <c r="X429" i="1"/>
  <c r="Y429" i="1"/>
  <c r="Z429" i="1"/>
  <c r="AA429" i="1"/>
  <c r="AB429" i="1"/>
  <c r="AC429" i="1"/>
  <c r="AD429" i="1"/>
  <c r="AE429" i="1"/>
  <c r="V430" i="1"/>
  <c r="W430" i="1"/>
  <c r="X430" i="1"/>
  <c r="Y430" i="1"/>
  <c r="Z430" i="1"/>
  <c r="AA430" i="1"/>
  <c r="AB430" i="1"/>
  <c r="AC430" i="1"/>
  <c r="AD430" i="1"/>
  <c r="AE430" i="1"/>
  <c r="V431" i="1"/>
  <c r="W431" i="1"/>
  <c r="X431" i="1"/>
  <c r="Y431" i="1"/>
  <c r="Z431" i="1"/>
  <c r="AA431" i="1"/>
  <c r="AB431" i="1"/>
  <c r="AC431" i="1"/>
  <c r="AD431" i="1"/>
  <c r="AE431" i="1"/>
  <c r="V432" i="1"/>
  <c r="W432" i="1"/>
  <c r="X432" i="1"/>
  <c r="Y432" i="1"/>
  <c r="Z432" i="1"/>
  <c r="AA432" i="1"/>
  <c r="AB432" i="1"/>
  <c r="AC432" i="1"/>
  <c r="AD432" i="1"/>
  <c r="AE432" i="1"/>
  <c r="V433" i="1"/>
  <c r="W433" i="1"/>
  <c r="X433" i="1"/>
  <c r="Y433" i="1"/>
  <c r="Z433" i="1"/>
  <c r="AA433" i="1"/>
  <c r="AB433" i="1"/>
  <c r="AC433" i="1"/>
  <c r="AD433" i="1"/>
  <c r="AE433" i="1"/>
  <c r="V434" i="1"/>
  <c r="W434" i="1"/>
  <c r="X434" i="1"/>
  <c r="Y434" i="1"/>
  <c r="Z434" i="1"/>
  <c r="AA434" i="1"/>
  <c r="AB434" i="1"/>
  <c r="AC434" i="1"/>
  <c r="AD434" i="1"/>
  <c r="AE434" i="1"/>
  <c r="V435" i="1"/>
  <c r="W435" i="1"/>
  <c r="X435" i="1"/>
  <c r="Y435" i="1"/>
  <c r="Z435" i="1"/>
  <c r="AA435" i="1"/>
  <c r="AB435" i="1"/>
  <c r="AC435" i="1"/>
  <c r="AD435" i="1"/>
  <c r="AE435" i="1"/>
  <c r="V436" i="1"/>
  <c r="W436" i="1"/>
  <c r="X436" i="1"/>
  <c r="Y436" i="1"/>
  <c r="Z436" i="1"/>
  <c r="AA436" i="1"/>
  <c r="AB436" i="1"/>
  <c r="AC436" i="1"/>
  <c r="AD436" i="1"/>
  <c r="AE436" i="1"/>
  <c r="V437" i="1"/>
  <c r="W437" i="1"/>
  <c r="X437" i="1"/>
  <c r="Y437" i="1"/>
  <c r="Z437" i="1"/>
  <c r="AA437" i="1"/>
  <c r="AB437" i="1"/>
  <c r="AC437" i="1"/>
  <c r="AD437" i="1"/>
  <c r="AE437" i="1"/>
  <c r="V438" i="1"/>
  <c r="W438" i="1"/>
  <c r="X438" i="1"/>
  <c r="Y438" i="1"/>
  <c r="Z438" i="1"/>
  <c r="AA438" i="1"/>
  <c r="AB438" i="1"/>
  <c r="AC438" i="1"/>
  <c r="AD438" i="1"/>
  <c r="AE438" i="1"/>
  <c r="V439" i="1"/>
  <c r="W439" i="1"/>
  <c r="X439" i="1"/>
  <c r="Y439" i="1"/>
  <c r="Z439" i="1"/>
  <c r="AA439" i="1"/>
  <c r="AB439" i="1"/>
  <c r="AC439" i="1"/>
  <c r="AD439" i="1"/>
  <c r="AE439" i="1"/>
  <c r="V440" i="1"/>
  <c r="W440" i="1"/>
  <c r="X440" i="1"/>
  <c r="Y440" i="1"/>
  <c r="Z440" i="1"/>
  <c r="AA440" i="1"/>
  <c r="AB440" i="1"/>
  <c r="AC440" i="1"/>
  <c r="AD440" i="1"/>
  <c r="AE440" i="1"/>
  <c r="V441" i="1"/>
  <c r="W441" i="1"/>
  <c r="X441" i="1"/>
  <c r="Y441" i="1"/>
  <c r="Z441" i="1"/>
  <c r="AA441" i="1"/>
  <c r="AB441" i="1"/>
  <c r="AC441" i="1"/>
  <c r="AD441" i="1"/>
  <c r="AE441" i="1"/>
  <c r="V442" i="1"/>
  <c r="W442" i="1"/>
  <c r="X442" i="1"/>
  <c r="Y442" i="1"/>
  <c r="Z442" i="1"/>
  <c r="AA442" i="1"/>
  <c r="AB442" i="1"/>
  <c r="AC442" i="1"/>
  <c r="AD442" i="1"/>
  <c r="AE442" i="1"/>
  <c r="V443" i="1"/>
  <c r="W443" i="1"/>
  <c r="X443" i="1"/>
  <c r="Y443" i="1"/>
  <c r="Z443" i="1"/>
  <c r="AA443" i="1"/>
  <c r="AB443" i="1"/>
  <c r="AC443" i="1"/>
  <c r="AD443" i="1"/>
  <c r="AE443" i="1"/>
  <c r="V444" i="1"/>
  <c r="W444" i="1"/>
  <c r="X444" i="1"/>
  <c r="Y444" i="1"/>
  <c r="Z444" i="1"/>
  <c r="AA444" i="1"/>
  <c r="AB444" i="1"/>
  <c r="AC444" i="1"/>
  <c r="AD444" i="1"/>
  <c r="AE444" i="1"/>
  <c r="V445" i="1"/>
  <c r="W445" i="1"/>
  <c r="X445" i="1"/>
  <c r="Y445" i="1"/>
  <c r="Z445" i="1"/>
  <c r="AA445" i="1"/>
  <c r="AB445" i="1"/>
  <c r="AC445" i="1"/>
  <c r="AD445" i="1"/>
  <c r="AE445" i="1"/>
  <c r="V446" i="1"/>
  <c r="W446" i="1"/>
  <c r="X446" i="1"/>
  <c r="Y446" i="1"/>
  <c r="Z446" i="1"/>
  <c r="AA446" i="1"/>
  <c r="AB446" i="1"/>
  <c r="AC446" i="1"/>
  <c r="AD446" i="1"/>
  <c r="AE446" i="1"/>
  <c r="V447" i="1"/>
  <c r="W447" i="1"/>
  <c r="X447" i="1"/>
  <c r="Y447" i="1"/>
  <c r="Z447" i="1"/>
  <c r="AA447" i="1"/>
  <c r="AB447" i="1"/>
  <c r="AC447" i="1"/>
  <c r="AD447" i="1"/>
  <c r="AE447" i="1"/>
  <c r="V448" i="1"/>
  <c r="W448" i="1"/>
  <c r="X448" i="1"/>
  <c r="Y448" i="1"/>
  <c r="Z448" i="1"/>
  <c r="AA448" i="1"/>
  <c r="AB448" i="1"/>
  <c r="AC448" i="1"/>
  <c r="AD448" i="1"/>
  <c r="AE448" i="1"/>
  <c r="V449" i="1"/>
  <c r="W449" i="1"/>
  <c r="X449" i="1"/>
  <c r="Y449" i="1"/>
  <c r="Z449" i="1"/>
  <c r="AA449" i="1"/>
  <c r="AB449" i="1"/>
  <c r="AC449" i="1"/>
  <c r="AD449" i="1"/>
  <c r="AE449" i="1"/>
  <c r="V450" i="1"/>
  <c r="W450" i="1"/>
  <c r="X450" i="1"/>
  <c r="Y450" i="1"/>
  <c r="Z450" i="1"/>
  <c r="AA450" i="1"/>
  <c r="AB450" i="1"/>
  <c r="AC450" i="1"/>
  <c r="AD450" i="1"/>
  <c r="AE450" i="1"/>
  <c r="V451" i="1"/>
  <c r="W451" i="1"/>
  <c r="X451" i="1"/>
  <c r="Y451" i="1"/>
  <c r="Z451" i="1"/>
  <c r="AA451" i="1"/>
  <c r="AB451" i="1"/>
  <c r="AC451" i="1"/>
  <c r="AD451" i="1"/>
  <c r="AE451" i="1"/>
  <c r="V452" i="1"/>
  <c r="W452" i="1"/>
  <c r="X452" i="1"/>
  <c r="Y452" i="1"/>
  <c r="Z452" i="1"/>
  <c r="AA452" i="1"/>
  <c r="AB452" i="1"/>
  <c r="AC452" i="1"/>
  <c r="AD452" i="1"/>
  <c r="AE452" i="1"/>
  <c r="V453" i="1"/>
  <c r="W453" i="1"/>
  <c r="X453" i="1"/>
  <c r="Y453" i="1"/>
  <c r="Z453" i="1"/>
  <c r="AA453" i="1"/>
  <c r="AB453" i="1"/>
  <c r="AC453" i="1"/>
  <c r="AD453" i="1"/>
  <c r="AE453" i="1"/>
  <c r="V454" i="1"/>
  <c r="W454" i="1"/>
  <c r="X454" i="1"/>
  <c r="Y454" i="1"/>
  <c r="Z454" i="1"/>
  <c r="AA454" i="1"/>
  <c r="AB454" i="1"/>
  <c r="AC454" i="1"/>
  <c r="AD454" i="1"/>
  <c r="AE454" i="1"/>
  <c r="V455" i="1"/>
  <c r="W455" i="1"/>
  <c r="X455" i="1"/>
  <c r="Y455" i="1"/>
  <c r="Z455" i="1"/>
  <c r="AA455" i="1"/>
  <c r="AB455" i="1"/>
  <c r="AC455" i="1"/>
  <c r="AD455" i="1"/>
  <c r="AE455" i="1"/>
  <c r="V456" i="1"/>
  <c r="W456" i="1"/>
  <c r="X456" i="1"/>
  <c r="Y456" i="1"/>
  <c r="Z456" i="1"/>
  <c r="AA456" i="1"/>
  <c r="AB456" i="1"/>
  <c r="AC456" i="1"/>
  <c r="AD456" i="1"/>
  <c r="AE456" i="1"/>
  <c r="V457" i="1"/>
  <c r="W457" i="1"/>
  <c r="X457" i="1"/>
  <c r="Y457" i="1"/>
  <c r="Z457" i="1"/>
  <c r="AA457" i="1"/>
  <c r="AB457" i="1"/>
  <c r="AC457" i="1"/>
  <c r="AD457" i="1"/>
  <c r="AE457" i="1"/>
  <c r="V458" i="1"/>
  <c r="W458" i="1"/>
  <c r="X458" i="1"/>
  <c r="Y458" i="1"/>
  <c r="Z458" i="1"/>
  <c r="AA458" i="1"/>
  <c r="AB458" i="1"/>
  <c r="AC458" i="1"/>
  <c r="AD458" i="1"/>
  <c r="AE458" i="1"/>
  <c r="V459" i="1"/>
  <c r="W459" i="1"/>
  <c r="X459" i="1"/>
  <c r="Y459" i="1"/>
  <c r="Z459" i="1"/>
  <c r="AA459" i="1"/>
  <c r="AB459" i="1"/>
  <c r="AC459" i="1"/>
  <c r="AD459" i="1"/>
  <c r="AE459" i="1"/>
  <c r="V460" i="1"/>
  <c r="W460" i="1"/>
  <c r="X460" i="1"/>
  <c r="Y460" i="1"/>
  <c r="Z460" i="1"/>
  <c r="AA460" i="1"/>
  <c r="AB460" i="1"/>
  <c r="AC460" i="1"/>
  <c r="AD460" i="1"/>
  <c r="AE460" i="1"/>
  <c r="V461" i="1"/>
  <c r="W461" i="1"/>
  <c r="X461" i="1"/>
  <c r="Y461" i="1"/>
  <c r="Z461" i="1"/>
  <c r="AA461" i="1"/>
  <c r="AB461" i="1"/>
  <c r="AC461" i="1"/>
  <c r="AD461" i="1"/>
  <c r="AE461" i="1"/>
  <c r="V462" i="1"/>
  <c r="W462" i="1"/>
  <c r="X462" i="1"/>
  <c r="Y462" i="1"/>
  <c r="Z462" i="1"/>
  <c r="AA462" i="1"/>
  <c r="AB462" i="1"/>
  <c r="AC462" i="1"/>
  <c r="AD462" i="1"/>
  <c r="AE462" i="1"/>
  <c r="V463" i="1"/>
  <c r="W463" i="1"/>
  <c r="X463" i="1"/>
  <c r="Y463" i="1"/>
  <c r="Z463" i="1"/>
  <c r="AA463" i="1"/>
  <c r="AB463" i="1"/>
  <c r="AC463" i="1"/>
  <c r="AD463" i="1"/>
  <c r="AE463" i="1"/>
  <c r="V464" i="1"/>
  <c r="W464" i="1"/>
  <c r="X464" i="1"/>
  <c r="Y464" i="1"/>
  <c r="Z464" i="1"/>
  <c r="AA464" i="1"/>
  <c r="AB464" i="1"/>
  <c r="AC464" i="1"/>
  <c r="AD464" i="1"/>
  <c r="AE464" i="1"/>
  <c r="V465" i="1"/>
  <c r="W465" i="1"/>
  <c r="X465" i="1"/>
  <c r="Y465" i="1"/>
  <c r="Z465" i="1"/>
  <c r="AA465" i="1"/>
  <c r="AB465" i="1"/>
  <c r="AC465" i="1"/>
  <c r="AD465" i="1"/>
  <c r="AE465" i="1"/>
  <c r="V466" i="1"/>
  <c r="W466" i="1"/>
  <c r="X466" i="1"/>
  <c r="Y466" i="1"/>
  <c r="Z466" i="1"/>
  <c r="AA466" i="1"/>
  <c r="AB466" i="1"/>
  <c r="AC466" i="1"/>
  <c r="AD466" i="1"/>
  <c r="AE466" i="1"/>
  <c r="V467" i="1"/>
  <c r="W467" i="1"/>
  <c r="X467" i="1"/>
  <c r="Y467" i="1"/>
  <c r="Z467" i="1"/>
  <c r="AA467" i="1"/>
  <c r="AB467" i="1"/>
  <c r="AC467" i="1"/>
  <c r="AD467" i="1"/>
  <c r="AE467" i="1"/>
  <c r="V468" i="1"/>
  <c r="W468" i="1"/>
  <c r="X468" i="1"/>
  <c r="Y468" i="1"/>
  <c r="Z468" i="1"/>
  <c r="AA468" i="1"/>
  <c r="AB468" i="1"/>
  <c r="AC468" i="1"/>
  <c r="AD468" i="1"/>
  <c r="AE468" i="1"/>
  <c r="V469" i="1"/>
  <c r="W469" i="1"/>
  <c r="X469" i="1"/>
  <c r="Y469" i="1"/>
  <c r="Z469" i="1"/>
  <c r="AA469" i="1"/>
  <c r="AB469" i="1"/>
  <c r="AC469" i="1"/>
  <c r="AD469" i="1"/>
  <c r="AE469" i="1"/>
  <c r="V470" i="1"/>
  <c r="W470" i="1"/>
  <c r="X470" i="1"/>
  <c r="Y470" i="1"/>
  <c r="Z470" i="1"/>
  <c r="AA470" i="1"/>
  <c r="AB470" i="1"/>
  <c r="AC470" i="1"/>
  <c r="AD470" i="1"/>
  <c r="AE470" i="1"/>
  <c r="V471" i="1"/>
  <c r="W471" i="1"/>
  <c r="X471" i="1"/>
  <c r="Y471" i="1"/>
  <c r="Z471" i="1"/>
  <c r="AA471" i="1"/>
  <c r="AB471" i="1"/>
  <c r="AC471" i="1"/>
  <c r="AD471" i="1"/>
  <c r="AE471" i="1"/>
  <c r="V472" i="1"/>
  <c r="W472" i="1"/>
  <c r="X472" i="1"/>
  <c r="Y472" i="1"/>
  <c r="Z472" i="1"/>
  <c r="AA472" i="1"/>
  <c r="AB472" i="1"/>
  <c r="AC472" i="1"/>
  <c r="AD472" i="1"/>
  <c r="AE472" i="1"/>
  <c r="V473" i="1"/>
  <c r="W473" i="1"/>
  <c r="X473" i="1"/>
  <c r="Y473" i="1"/>
  <c r="Z473" i="1"/>
  <c r="AA473" i="1"/>
  <c r="AB473" i="1"/>
  <c r="AC473" i="1"/>
  <c r="AD473" i="1"/>
  <c r="AE473" i="1"/>
  <c r="V474" i="1"/>
  <c r="W474" i="1"/>
  <c r="X474" i="1"/>
  <c r="Y474" i="1"/>
  <c r="Z474" i="1"/>
  <c r="AA474" i="1"/>
  <c r="AB474" i="1"/>
  <c r="AC474" i="1"/>
  <c r="AD474" i="1"/>
  <c r="AE474" i="1"/>
  <c r="V475" i="1"/>
  <c r="W475" i="1"/>
  <c r="X475" i="1"/>
  <c r="Y475" i="1"/>
  <c r="Z475" i="1"/>
  <c r="AA475" i="1"/>
  <c r="AB475" i="1"/>
  <c r="AC475" i="1"/>
  <c r="AD475" i="1"/>
  <c r="AE475" i="1"/>
  <c r="V476" i="1"/>
  <c r="W476" i="1"/>
  <c r="X476" i="1"/>
  <c r="Y476" i="1"/>
  <c r="Z476" i="1"/>
  <c r="AA476" i="1"/>
  <c r="AB476" i="1"/>
  <c r="AC476" i="1"/>
  <c r="AD476" i="1"/>
  <c r="AE476" i="1"/>
  <c r="V477" i="1"/>
  <c r="W477" i="1"/>
  <c r="X477" i="1"/>
  <c r="Y477" i="1"/>
  <c r="Z477" i="1"/>
  <c r="AA477" i="1"/>
  <c r="AB477" i="1"/>
  <c r="AC477" i="1"/>
  <c r="AD477" i="1"/>
  <c r="AE477" i="1"/>
  <c r="V478" i="1"/>
  <c r="W478" i="1"/>
  <c r="X478" i="1"/>
  <c r="Y478" i="1"/>
  <c r="Z478" i="1"/>
  <c r="AA478" i="1"/>
  <c r="AB478" i="1"/>
  <c r="AC478" i="1"/>
  <c r="AD478" i="1"/>
  <c r="AE478" i="1"/>
  <c r="V479" i="1"/>
  <c r="W479" i="1"/>
  <c r="X479" i="1"/>
  <c r="Y479" i="1"/>
  <c r="Z479" i="1"/>
  <c r="AA479" i="1"/>
  <c r="AB479" i="1"/>
  <c r="AC479" i="1"/>
  <c r="AD479" i="1"/>
  <c r="AE479" i="1"/>
  <c r="V480" i="1"/>
  <c r="W480" i="1"/>
  <c r="X480" i="1"/>
  <c r="Y480" i="1"/>
  <c r="Z480" i="1"/>
  <c r="AA480" i="1"/>
  <c r="AB480" i="1"/>
  <c r="AC480" i="1"/>
  <c r="AD480" i="1"/>
  <c r="AE480" i="1"/>
  <c r="V481" i="1"/>
  <c r="W481" i="1"/>
  <c r="X481" i="1"/>
  <c r="Y481" i="1"/>
  <c r="Z481" i="1"/>
  <c r="AA481" i="1"/>
  <c r="AB481" i="1"/>
  <c r="AC481" i="1"/>
  <c r="AD481" i="1"/>
  <c r="AE481" i="1"/>
  <c r="V482" i="1"/>
  <c r="W482" i="1"/>
  <c r="X482" i="1"/>
  <c r="Y482" i="1"/>
  <c r="Z482" i="1"/>
  <c r="AA482" i="1"/>
  <c r="AB482" i="1"/>
  <c r="AC482" i="1"/>
  <c r="AD482" i="1"/>
  <c r="AE482" i="1"/>
  <c r="V483" i="1"/>
  <c r="W483" i="1"/>
  <c r="X483" i="1"/>
  <c r="Y483" i="1"/>
  <c r="Z483" i="1"/>
  <c r="AA483" i="1"/>
  <c r="AB483" i="1"/>
  <c r="AC483" i="1"/>
  <c r="AD483" i="1"/>
  <c r="AE483" i="1"/>
  <c r="V484" i="1"/>
  <c r="W484" i="1"/>
  <c r="X484" i="1"/>
  <c r="Y484" i="1"/>
  <c r="Z484" i="1"/>
  <c r="AA484" i="1"/>
  <c r="AB484" i="1"/>
  <c r="AC484" i="1"/>
  <c r="AD484" i="1"/>
  <c r="AE484" i="1"/>
  <c r="V485" i="1"/>
  <c r="W485" i="1"/>
  <c r="X485" i="1"/>
  <c r="Y485" i="1"/>
  <c r="Z485" i="1"/>
  <c r="AA485" i="1"/>
  <c r="AB485" i="1"/>
  <c r="AC485" i="1"/>
  <c r="AD485" i="1"/>
  <c r="AE485" i="1"/>
  <c r="V486" i="1"/>
  <c r="W486" i="1"/>
  <c r="X486" i="1"/>
  <c r="Y486" i="1"/>
  <c r="Z486" i="1"/>
  <c r="AA486" i="1"/>
  <c r="AB486" i="1"/>
  <c r="AC486" i="1"/>
  <c r="AD486" i="1"/>
  <c r="AE486" i="1"/>
  <c r="V487" i="1"/>
  <c r="W487" i="1"/>
  <c r="X487" i="1"/>
  <c r="Y487" i="1"/>
  <c r="Z487" i="1"/>
  <c r="AA487" i="1"/>
  <c r="AB487" i="1"/>
  <c r="AC487" i="1"/>
  <c r="AD487" i="1"/>
  <c r="AE487" i="1"/>
  <c r="V488" i="1"/>
  <c r="W488" i="1"/>
  <c r="X488" i="1"/>
  <c r="Y488" i="1"/>
  <c r="Z488" i="1"/>
  <c r="AA488" i="1"/>
  <c r="AB488" i="1"/>
  <c r="AC488" i="1"/>
  <c r="AD488" i="1"/>
  <c r="AE488" i="1"/>
  <c r="V489" i="1"/>
  <c r="W489" i="1"/>
  <c r="X489" i="1"/>
  <c r="Y489" i="1"/>
  <c r="Z489" i="1"/>
  <c r="AA489" i="1"/>
  <c r="AB489" i="1"/>
  <c r="AC489" i="1"/>
  <c r="AD489" i="1"/>
  <c r="AE489" i="1"/>
  <c r="V490" i="1"/>
  <c r="W490" i="1"/>
  <c r="X490" i="1"/>
  <c r="Y490" i="1"/>
  <c r="Z490" i="1"/>
  <c r="AA490" i="1"/>
  <c r="AB490" i="1"/>
  <c r="AC490" i="1"/>
  <c r="AD490" i="1"/>
  <c r="AE490" i="1"/>
  <c r="V491" i="1"/>
  <c r="W491" i="1"/>
  <c r="X491" i="1"/>
  <c r="Y491" i="1"/>
  <c r="Z491" i="1"/>
  <c r="AA491" i="1"/>
  <c r="AB491" i="1"/>
  <c r="AC491" i="1"/>
  <c r="AD491" i="1"/>
  <c r="AE491" i="1"/>
  <c r="V492" i="1"/>
  <c r="W492" i="1"/>
  <c r="X492" i="1"/>
  <c r="Y492" i="1"/>
  <c r="Z492" i="1"/>
  <c r="AA492" i="1"/>
  <c r="AB492" i="1"/>
  <c r="AC492" i="1"/>
  <c r="AD492" i="1"/>
  <c r="AE492" i="1"/>
  <c r="V493" i="1"/>
  <c r="W493" i="1"/>
  <c r="X493" i="1"/>
  <c r="Y493" i="1"/>
  <c r="Z493" i="1"/>
  <c r="AA493" i="1"/>
  <c r="AB493" i="1"/>
  <c r="AC493" i="1"/>
  <c r="AD493" i="1"/>
  <c r="AE493" i="1"/>
  <c r="V494" i="1"/>
  <c r="W494" i="1"/>
  <c r="X494" i="1"/>
  <c r="Y494" i="1"/>
  <c r="Z494" i="1"/>
  <c r="AA494" i="1"/>
  <c r="AB494" i="1"/>
  <c r="AC494" i="1"/>
  <c r="AD494" i="1"/>
  <c r="AE494" i="1"/>
  <c r="V495" i="1"/>
  <c r="W495" i="1"/>
  <c r="X495" i="1"/>
  <c r="Y495" i="1"/>
  <c r="Z495" i="1"/>
  <c r="AA495" i="1"/>
  <c r="AB495" i="1"/>
  <c r="AC495" i="1"/>
  <c r="AD495" i="1"/>
  <c r="AE495" i="1"/>
  <c r="V496" i="1"/>
  <c r="W496" i="1"/>
  <c r="X496" i="1"/>
  <c r="Y496" i="1"/>
  <c r="Z496" i="1"/>
  <c r="AA496" i="1"/>
  <c r="AB496" i="1"/>
  <c r="AC496" i="1"/>
  <c r="AD496" i="1"/>
  <c r="AE496" i="1"/>
  <c r="V497" i="1"/>
  <c r="W497" i="1"/>
  <c r="X497" i="1"/>
  <c r="Y497" i="1"/>
  <c r="Z497" i="1"/>
  <c r="AA497" i="1"/>
  <c r="AB497" i="1"/>
  <c r="AC497" i="1"/>
  <c r="AD497" i="1"/>
  <c r="AE497" i="1"/>
  <c r="V498" i="1"/>
  <c r="W498" i="1"/>
  <c r="X498" i="1"/>
  <c r="Y498" i="1"/>
  <c r="Z498" i="1"/>
  <c r="AA498" i="1"/>
  <c r="AB498" i="1"/>
  <c r="AC498" i="1"/>
  <c r="AD498" i="1"/>
  <c r="AE498" i="1"/>
  <c r="V499" i="1"/>
  <c r="W499" i="1"/>
  <c r="X499" i="1"/>
  <c r="Y499" i="1"/>
  <c r="Z499" i="1"/>
  <c r="AA499" i="1"/>
  <c r="AB499" i="1"/>
  <c r="AC499" i="1"/>
  <c r="AD499" i="1"/>
  <c r="AE499" i="1"/>
  <c r="V500" i="1"/>
  <c r="W500" i="1"/>
  <c r="X500" i="1"/>
  <c r="Y500" i="1"/>
  <c r="Z500" i="1"/>
  <c r="AA500" i="1"/>
  <c r="AB500" i="1"/>
  <c r="AC500" i="1"/>
  <c r="AD500" i="1"/>
  <c r="AE500" i="1"/>
  <c r="V501" i="1"/>
  <c r="W501" i="1"/>
  <c r="X501" i="1"/>
  <c r="Y501" i="1"/>
  <c r="Z501" i="1"/>
  <c r="AA501" i="1"/>
  <c r="AB501" i="1"/>
  <c r="AC501" i="1"/>
  <c r="AD501" i="1"/>
  <c r="AE501" i="1"/>
  <c r="V502" i="1"/>
  <c r="W502" i="1"/>
  <c r="X502" i="1"/>
  <c r="Y502" i="1"/>
  <c r="Z502" i="1"/>
  <c r="AA502" i="1"/>
  <c r="AB502" i="1"/>
  <c r="AC502" i="1"/>
  <c r="AD502" i="1"/>
  <c r="AE502" i="1"/>
  <c r="V503" i="1"/>
  <c r="W503" i="1"/>
  <c r="X503" i="1"/>
  <c r="Y503" i="1"/>
  <c r="Z503" i="1"/>
  <c r="AA503" i="1"/>
  <c r="AB503" i="1"/>
  <c r="AC503" i="1"/>
  <c r="AD503" i="1"/>
  <c r="AE503" i="1"/>
  <c r="V504" i="1"/>
  <c r="W504" i="1"/>
  <c r="X504" i="1"/>
  <c r="Y504" i="1"/>
  <c r="Z504" i="1"/>
  <c r="AA504" i="1"/>
  <c r="AB504" i="1"/>
  <c r="AC504" i="1"/>
  <c r="AD504" i="1"/>
  <c r="AE504" i="1"/>
  <c r="V505" i="1"/>
  <c r="W505" i="1"/>
  <c r="X505" i="1"/>
  <c r="Y505" i="1"/>
  <c r="Z505" i="1"/>
  <c r="AA505" i="1"/>
  <c r="AB505" i="1"/>
  <c r="AC505" i="1"/>
  <c r="AD505" i="1"/>
  <c r="AE505" i="1"/>
  <c r="V506" i="1"/>
  <c r="W506" i="1"/>
  <c r="X506" i="1"/>
  <c r="Y506" i="1"/>
  <c r="Z506" i="1"/>
  <c r="AA506" i="1"/>
  <c r="AB506" i="1"/>
  <c r="AC506" i="1"/>
  <c r="AD506" i="1"/>
  <c r="AE506" i="1"/>
  <c r="V507" i="1"/>
  <c r="W507" i="1"/>
  <c r="X507" i="1"/>
  <c r="Y507" i="1"/>
  <c r="Z507" i="1"/>
  <c r="AA507" i="1"/>
  <c r="AB507" i="1"/>
  <c r="AC507" i="1"/>
  <c r="AD507" i="1"/>
  <c r="AE507" i="1"/>
  <c r="V508" i="1"/>
  <c r="W508" i="1"/>
  <c r="X508" i="1"/>
  <c r="Y508" i="1"/>
  <c r="Z508" i="1"/>
  <c r="AA508" i="1"/>
  <c r="AB508" i="1"/>
  <c r="AC508" i="1"/>
  <c r="AD508" i="1"/>
  <c r="AE508" i="1"/>
  <c r="V509" i="1"/>
  <c r="W509" i="1"/>
  <c r="X509" i="1"/>
  <c r="Y509" i="1"/>
  <c r="Z509" i="1"/>
  <c r="AA509" i="1"/>
  <c r="AB509" i="1"/>
  <c r="AC509" i="1"/>
  <c r="AD509" i="1"/>
  <c r="AE509" i="1"/>
  <c r="V510" i="1"/>
  <c r="W510" i="1"/>
  <c r="X510" i="1"/>
  <c r="Y510" i="1"/>
  <c r="Z510" i="1"/>
  <c r="AA510" i="1"/>
  <c r="AB510" i="1"/>
  <c r="AC510" i="1"/>
  <c r="AD510" i="1"/>
  <c r="AE510" i="1"/>
  <c r="V511" i="1"/>
  <c r="W511" i="1"/>
  <c r="X511" i="1"/>
  <c r="Y511" i="1"/>
  <c r="Z511" i="1"/>
  <c r="AA511" i="1"/>
  <c r="AB511" i="1"/>
  <c r="AC511" i="1"/>
  <c r="AD511" i="1"/>
  <c r="AE511" i="1"/>
  <c r="V512" i="1"/>
  <c r="W512" i="1"/>
  <c r="X512" i="1"/>
  <c r="Y512" i="1"/>
  <c r="Z512" i="1"/>
  <c r="AA512" i="1"/>
  <c r="AB512" i="1"/>
  <c r="AC512" i="1"/>
  <c r="AD512" i="1"/>
  <c r="AE512" i="1"/>
  <c r="V513" i="1"/>
  <c r="W513" i="1"/>
  <c r="X513" i="1"/>
  <c r="Y513" i="1"/>
  <c r="Z513" i="1"/>
  <c r="AA513" i="1"/>
  <c r="AB513" i="1"/>
  <c r="AC513" i="1"/>
  <c r="AD513" i="1"/>
  <c r="AE513" i="1"/>
  <c r="V514" i="1"/>
  <c r="W514" i="1"/>
  <c r="X514" i="1"/>
  <c r="Y514" i="1"/>
  <c r="Z514" i="1"/>
  <c r="AA514" i="1"/>
  <c r="AB514" i="1"/>
  <c r="AC514" i="1"/>
  <c r="AD514" i="1"/>
  <c r="AE514" i="1"/>
  <c r="V515" i="1"/>
  <c r="W515" i="1"/>
  <c r="X515" i="1"/>
  <c r="Y515" i="1"/>
  <c r="Z515" i="1"/>
  <c r="AA515" i="1"/>
  <c r="AB515" i="1"/>
  <c r="AC515" i="1"/>
  <c r="AD515" i="1"/>
  <c r="AE515" i="1"/>
  <c r="V516" i="1"/>
  <c r="W516" i="1"/>
  <c r="X516" i="1"/>
  <c r="Y516" i="1"/>
  <c r="Z516" i="1"/>
  <c r="AA516" i="1"/>
  <c r="AB516" i="1"/>
  <c r="AC516" i="1"/>
  <c r="AD516" i="1"/>
  <c r="AE516" i="1"/>
  <c r="V517" i="1"/>
  <c r="W517" i="1"/>
  <c r="X517" i="1"/>
  <c r="Y517" i="1"/>
  <c r="Z517" i="1"/>
  <c r="AA517" i="1"/>
  <c r="AB517" i="1"/>
  <c r="AC517" i="1"/>
  <c r="AD517" i="1"/>
  <c r="AE517" i="1"/>
  <c r="V518" i="1"/>
  <c r="W518" i="1"/>
  <c r="X518" i="1"/>
  <c r="Y518" i="1"/>
  <c r="Z518" i="1"/>
  <c r="AA518" i="1"/>
  <c r="AB518" i="1"/>
  <c r="AC518" i="1"/>
  <c r="AD518" i="1"/>
  <c r="AE518" i="1"/>
  <c r="V519" i="1"/>
  <c r="W519" i="1"/>
  <c r="X519" i="1"/>
  <c r="Y519" i="1"/>
  <c r="Z519" i="1"/>
  <c r="AA519" i="1"/>
  <c r="AB519" i="1"/>
  <c r="AC519" i="1"/>
  <c r="AD519" i="1"/>
  <c r="AE519" i="1"/>
  <c r="V520" i="1"/>
  <c r="W520" i="1"/>
  <c r="X520" i="1"/>
  <c r="Y520" i="1"/>
  <c r="Z520" i="1"/>
  <c r="AA520" i="1"/>
  <c r="AB520" i="1"/>
  <c r="AC520" i="1"/>
  <c r="AD520" i="1"/>
  <c r="AE520" i="1"/>
  <c r="V521" i="1"/>
  <c r="W521" i="1"/>
  <c r="X521" i="1"/>
  <c r="Y521" i="1"/>
  <c r="Z521" i="1"/>
  <c r="AA521" i="1"/>
  <c r="AB521" i="1"/>
  <c r="AC521" i="1"/>
  <c r="AD521" i="1"/>
  <c r="AE521" i="1"/>
  <c r="V522" i="1"/>
  <c r="W522" i="1"/>
  <c r="X522" i="1"/>
  <c r="Y522" i="1"/>
  <c r="Z522" i="1"/>
  <c r="AA522" i="1"/>
  <c r="AB522" i="1"/>
  <c r="AC522" i="1"/>
  <c r="AD522" i="1"/>
  <c r="AE522" i="1"/>
  <c r="V523" i="1"/>
  <c r="W523" i="1"/>
  <c r="X523" i="1"/>
  <c r="Y523" i="1"/>
  <c r="Z523" i="1"/>
  <c r="AA523" i="1"/>
  <c r="AB523" i="1"/>
  <c r="AC523" i="1"/>
  <c r="AD523" i="1"/>
  <c r="AE523" i="1"/>
  <c r="V524" i="1"/>
  <c r="W524" i="1"/>
  <c r="X524" i="1"/>
  <c r="Y524" i="1"/>
  <c r="Z524" i="1"/>
  <c r="AA524" i="1"/>
  <c r="AB524" i="1"/>
  <c r="AC524" i="1"/>
  <c r="AD524" i="1"/>
  <c r="AE524" i="1"/>
  <c r="V525" i="1"/>
  <c r="W525" i="1"/>
  <c r="X525" i="1"/>
  <c r="Y525" i="1"/>
  <c r="Z525" i="1"/>
  <c r="AA525" i="1"/>
  <c r="AB525" i="1"/>
  <c r="AC525" i="1"/>
  <c r="AD525" i="1"/>
  <c r="AE525" i="1"/>
  <c r="V526" i="1"/>
  <c r="W526" i="1"/>
  <c r="X526" i="1"/>
  <c r="Y526" i="1"/>
  <c r="Z526" i="1"/>
  <c r="AA526" i="1"/>
  <c r="AB526" i="1"/>
  <c r="AC526" i="1"/>
  <c r="AD526" i="1"/>
  <c r="AE526" i="1"/>
  <c r="V527" i="1"/>
  <c r="W527" i="1"/>
  <c r="X527" i="1"/>
  <c r="Y527" i="1"/>
  <c r="Z527" i="1"/>
  <c r="AA527" i="1"/>
  <c r="AB527" i="1"/>
  <c r="AC527" i="1"/>
  <c r="AD527" i="1"/>
  <c r="AE527" i="1"/>
  <c r="V528" i="1"/>
  <c r="W528" i="1"/>
  <c r="X528" i="1"/>
  <c r="Y528" i="1"/>
  <c r="Z528" i="1"/>
  <c r="AA528" i="1"/>
  <c r="AB528" i="1"/>
  <c r="AC528" i="1"/>
  <c r="AD528" i="1"/>
  <c r="AE528" i="1"/>
  <c r="V529" i="1"/>
  <c r="W529" i="1"/>
  <c r="X529" i="1"/>
  <c r="Y529" i="1"/>
  <c r="Z529" i="1"/>
  <c r="AA529" i="1"/>
  <c r="AB529" i="1"/>
  <c r="AC529" i="1"/>
  <c r="AD529" i="1"/>
  <c r="AE529" i="1"/>
  <c r="V530" i="1"/>
  <c r="W530" i="1"/>
  <c r="X530" i="1"/>
  <c r="Y530" i="1"/>
  <c r="Z530" i="1"/>
  <c r="AA530" i="1"/>
  <c r="AB530" i="1"/>
  <c r="AC530" i="1"/>
  <c r="AD530" i="1"/>
  <c r="AE530" i="1"/>
  <c r="V531" i="1"/>
  <c r="W531" i="1"/>
  <c r="X531" i="1"/>
  <c r="Y531" i="1"/>
  <c r="Z531" i="1"/>
  <c r="AA531" i="1"/>
  <c r="AB531" i="1"/>
  <c r="AC531" i="1"/>
  <c r="AD531" i="1"/>
  <c r="AE531" i="1"/>
  <c r="V532" i="1"/>
  <c r="W532" i="1"/>
  <c r="X532" i="1"/>
  <c r="Y532" i="1"/>
  <c r="Z532" i="1"/>
  <c r="AA532" i="1"/>
  <c r="AB532" i="1"/>
  <c r="AC532" i="1"/>
  <c r="AD532" i="1"/>
  <c r="AE532" i="1"/>
  <c r="V533" i="1"/>
  <c r="W533" i="1"/>
  <c r="X533" i="1"/>
  <c r="Y533" i="1"/>
  <c r="Z533" i="1"/>
  <c r="AA533" i="1"/>
  <c r="AB533" i="1"/>
  <c r="AC533" i="1"/>
  <c r="AD533" i="1"/>
  <c r="AE533" i="1"/>
  <c r="V534" i="1"/>
  <c r="W534" i="1"/>
  <c r="X534" i="1"/>
  <c r="Y534" i="1"/>
  <c r="Z534" i="1"/>
  <c r="AA534" i="1"/>
  <c r="AB534" i="1"/>
  <c r="AC534" i="1"/>
  <c r="AD534" i="1"/>
  <c r="AE534" i="1"/>
  <c r="V535" i="1"/>
  <c r="W535" i="1"/>
  <c r="X535" i="1"/>
  <c r="Y535" i="1"/>
  <c r="Z535" i="1"/>
  <c r="AA535" i="1"/>
  <c r="AB535" i="1"/>
  <c r="AC535" i="1"/>
  <c r="AD535" i="1"/>
  <c r="AE535" i="1"/>
  <c r="V536" i="1"/>
  <c r="W536" i="1"/>
  <c r="X536" i="1"/>
  <c r="Y536" i="1"/>
  <c r="Z536" i="1"/>
  <c r="AA536" i="1"/>
  <c r="AB536" i="1"/>
  <c r="AC536" i="1"/>
  <c r="AD536" i="1"/>
  <c r="AE536" i="1"/>
  <c r="V537" i="1"/>
  <c r="W537" i="1"/>
  <c r="X537" i="1"/>
  <c r="Y537" i="1"/>
  <c r="Z537" i="1"/>
  <c r="AA537" i="1"/>
  <c r="AB537" i="1"/>
  <c r="AC537" i="1"/>
  <c r="AD537" i="1"/>
  <c r="AE537" i="1"/>
  <c r="V538" i="1"/>
  <c r="W538" i="1"/>
  <c r="X538" i="1"/>
  <c r="Y538" i="1"/>
  <c r="Z538" i="1"/>
  <c r="AA538" i="1"/>
  <c r="AB538" i="1"/>
  <c r="AC538" i="1"/>
  <c r="AD538" i="1"/>
  <c r="AE538" i="1"/>
  <c r="V539" i="1"/>
  <c r="W539" i="1"/>
  <c r="X539" i="1"/>
  <c r="Y539" i="1"/>
  <c r="Z539" i="1"/>
  <c r="AA539" i="1"/>
  <c r="AB539" i="1"/>
  <c r="AC539" i="1"/>
  <c r="AD539" i="1"/>
  <c r="AE539" i="1"/>
  <c r="V540" i="1"/>
  <c r="W540" i="1"/>
  <c r="X540" i="1"/>
  <c r="Y540" i="1"/>
  <c r="Z540" i="1"/>
  <c r="AA540" i="1"/>
  <c r="AB540" i="1"/>
  <c r="AC540" i="1"/>
  <c r="AD540" i="1"/>
  <c r="AE540" i="1"/>
  <c r="V541" i="1"/>
  <c r="W541" i="1"/>
  <c r="X541" i="1"/>
  <c r="Y541" i="1"/>
  <c r="Z541" i="1"/>
  <c r="AA541" i="1"/>
  <c r="AB541" i="1"/>
  <c r="AC541" i="1"/>
  <c r="AD541" i="1"/>
  <c r="AE541" i="1"/>
  <c r="V542" i="1"/>
  <c r="W542" i="1"/>
  <c r="X542" i="1"/>
  <c r="Y542" i="1"/>
  <c r="Z542" i="1"/>
  <c r="AA542" i="1"/>
  <c r="AB542" i="1"/>
  <c r="AC542" i="1"/>
  <c r="AD542" i="1"/>
  <c r="AE542" i="1"/>
  <c r="V543" i="1"/>
  <c r="W543" i="1"/>
  <c r="X543" i="1"/>
  <c r="Y543" i="1"/>
  <c r="Z543" i="1"/>
  <c r="AA543" i="1"/>
  <c r="AB543" i="1"/>
  <c r="AC543" i="1"/>
  <c r="AD543" i="1"/>
  <c r="AE543" i="1"/>
  <c r="V544" i="1"/>
  <c r="W544" i="1"/>
  <c r="X544" i="1"/>
  <c r="Y544" i="1"/>
  <c r="Z544" i="1"/>
  <c r="AA544" i="1"/>
  <c r="AB544" i="1"/>
  <c r="AC544" i="1"/>
  <c r="AD544" i="1"/>
  <c r="AE544" i="1"/>
  <c r="V545" i="1"/>
  <c r="W545" i="1"/>
  <c r="X545" i="1"/>
  <c r="Y545" i="1"/>
  <c r="Z545" i="1"/>
  <c r="AA545" i="1"/>
  <c r="AB545" i="1"/>
  <c r="AC545" i="1"/>
  <c r="AD545" i="1"/>
  <c r="AE545" i="1"/>
  <c r="V546" i="1"/>
  <c r="W546" i="1"/>
  <c r="X546" i="1"/>
  <c r="Y546" i="1"/>
  <c r="Z546" i="1"/>
  <c r="AA546" i="1"/>
  <c r="AB546" i="1"/>
  <c r="AC546" i="1"/>
  <c r="AD546" i="1"/>
  <c r="AE546" i="1"/>
  <c r="V547" i="1"/>
  <c r="W547" i="1"/>
  <c r="X547" i="1"/>
  <c r="Y547" i="1"/>
  <c r="Z547" i="1"/>
  <c r="AA547" i="1"/>
  <c r="AB547" i="1"/>
  <c r="AC547" i="1"/>
  <c r="AD547" i="1"/>
  <c r="AE547" i="1"/>
  <c r="V548" i="1"/>
  <c r="W548" i="1"/>
  <c r="X548" i="1"/>
  <c r="Y548" i="1"/>
  <c r="Z548" i="1"/>
  <c r="AA548" i="1"/>
  <c r="AB548" i="1"/>
  <c r="AC548" i="1"/>
  <c r="AD548" i="1"/>
  <c r="AE548" i="1"/>
  <c r="V549" i="1"/>
  <c r="W549" i="1"/>
  <c r="X549" i="1"/>
  <c r="Y549" i="1"/>
  <c r="Z549" i="1"/>
  <c r="AA549" i="1"/>
  <c r="AB549" i="1"/>
  <c r="AC549" i="1"/>
  <c r="AD549" i="1"/>
  <c r="AE549" i="1"/>
  <c r="V550" i="1"/>
  <c r="W550" i="1"/>
  <c r="X550" i="1"/>
  <c r="Y550" i="1"/>
  <c r="Z550" i="1"/>
  <c r="AA550" i="1"/>
  <c r="AB550" i="1"/>
  <c r="AC550" i="1"/>
  <c r="AD550" i="1"/>
  <c r="AE550" i="1"/>
  <c r="V551" i="1"/>
  <c r="W551" i="1"/>
  <c r="X551" i="1"/>
  <c r="Y551" i="1"/>
  <c r="Z551" i="1"/>
  <c r="AA551" i="1"/>
  <c r="AB551" i="1"/>
  <c r="AC551" i="1"/>
  <c r="AD551" i="1"/>
  <c r="AE551" i="1"/>
  <c r="V552" i="1"/>
  <c r="W552" i="1"/>
  <c r="X552" i="1"/>
  <c r="Y552" i="1"/>
  <c r="Z552" i="1"/>
  <c r="AA552" i="1"/>
  <c r="AB552" i="1"/>
  <c r="AC552" i="1"/>
  <c r="AD552" i="1"/>
  <c r="AE552" i="1"/>
  <c r="V553" i="1"/>
  <c r="W553" i="1"/>
  <c r="X553" i="1"/>
  <c r="Y553" i="1"/>
  <c r="Z553" i="1"/>
  <c r="AA553" i="1"/>
  <c r="AB553" i="1"/>
  <c r="AC553" i="1"/>
  <c r="AD553" i="1"/>
  <c r="AE553" i="1"/>
  <c r="V554" i="1"/>
  <c r="W554" i="1"/>
  <c r="X554" i="1"/>
  <c r="Y554" i="1"/>
  <c r="Z554" i="1"/>
  <c r="AA554" i="1"/>
  <c r="AB554" i="1"/>
  <c r="AC554" i="1"/>
  <c r="AD554" i="1"/>
  <c r="AE554" i="1"/>
  <c r="V555" i="1"/>
  <c r="W555" i="1"/>
  <c r="X555" i="1"/>
  <c r="Y555" i="1"/>
  <c r="Z555" i="1"/>
  <c r="AA555" i="1"/>
  <c r="AB555" i="1"/>
  <c r="AC555" i="1"/>
  <c r="AD555" i="1"/>
  <c r="AE555" i="1"/>
  <c r="V556" i="1"/>
  <c r="W556" i="1"/>
  <c r="X556" i="1"/>
  <c r="Y556" i="1"/>
  <c r="Z556" i="1"/>
  <c r="AA556" i="1"/>
  <c r="AB556" i="1"/>
  <c r="AC556" i="1"/>
  <c r="AD556" i="1"/>
  <c r="AE556" i="1"/>
  <c r="V557" i="1"/>
  <c r="W557" i="1"/>
  <c r="X557" i="1"/>
  <c r="Y557" i="1"/>
  <c r="Z557" i="1"/>
  <c r="AA557" i="1"/>
  <c r="AB557" i="1"/>
  <c r="AC557" i="1"/>
  <c r="AD557" i="1"/>
  <c r="AE557" i="1"/>
  <c r="V558" i="1"/>
  <c r="W558" i="1"/>
  <c r="X558" i="1"/>
  <c r="Y558" i="1"/>
  <c r="Z558" i="1"/>
  <c r="AA558" i="1"/>
  <c r="AB558" i="1"/>
  <c r="AC558" i="1"/>
  <c r="AD558" i="1"/>
  <c r="AE558" i="1"/>
  <c r="V559" i="1"/>
  <c r="W559" i="1"/>
  <c r="X559" i="1"/>
  <c r="Y559" i="1"/>
  <c r="Z559" i="1"/>
  <c r="AA559" i="1"/>
  <c r="AB559" i="1"/>
  <c r="AC559" i="1"/>
  <c r="AD559" i="1"/>
  <c r="AE559" i="1"/>
  <c r="V560" i="1"/>
  <c r="W560" i="1"/>
  <c r="X560" i="1"/>
  <c r="Y560" i="1"/>
  <c r="Z560" i="1"/>
  <c r="AA560" i="1"/>
  <c r="AB560" i="1"/>
  <c r="AC560" i="1"/>
  <c r="AD560" i="1"/>
  <c r="AE560" i="1"/>
  <c r="V561" i="1"/>
  <c r="W561" i="1"/>
  <c r="X561" i="1"/>
  <c r="Y561" i="1"/>
  <c r="Z561" i="1"/>
  <c r="AA561" i="1"/>
  <c r="AB561" i="1"/>
  <c r="AC561" i="1"/>
  <c r="AD561" i="1"/>
  <c r="AE561" i="1"/>
  <c r="V562" i="1"/>
  <c r="W562" i="1"/>
  <c r="X562" i="1"/>
  <c r="Y562" i="1"/>
  <c r="Z562" i="1"/>
  <c r="AA562" i="1"/>
  <c r="AB562" i="1"/>
  <c r="AC562" i="1"/>
  <c r="AD562" i="1"/>
  <c r="AE562" i="1"/>
  <c r="V563" i="1"/>
  <c r="W563" i="1"/>
  <c r="X563" i="1"/>
  <c r="Y563" i="1"/>
  <c r="Z563" i="1"/>
  <c r="AA563" i="1"/>
  <c r="AB563" i="1"/>
  <c r="AC563" i="1"/>
  <c r="AD563" i="1"/>
  <c r="AE563" i="1"/>
  <c r="V564" i="1"/>
  <c r="W564" i="1"/>
  <c r="X564" i="1"/>
  <c r="Y564" i="1"/>
  <c r="Z564" i="1"/>
  <c r="AA564" i="1"/>
  <c r="AB564" i="1"/>
  <c r="AC564" i="1"/>
  <c r="AD564" i="1"/>
  <c r="AE564" i="1"/>
  <c r="V565" i="1"/>
  <c r="W565" i="1"/>
  <c r="X565" i="1"/>
  <c r="Y565" i="1"/>
  <c r="Z565" i="1"/>
  <c r="AA565" i="1"/>
  <c r="AB565" i="1"/>
  <c r="AC565" i="1"/>
  <c r="AD565" i="1"/>
  <c r="AE565" i="1"/>
  <c r="V566" i="1"/>
  <c r="W566" i="1"/>
  <c r="X566" i="1"/>
  <c r="Y566" i="1"/>
  <c r="Z566" i="1"/>
  <c r="AA566" i="1"/>
  <c r="AB566" i="1"/>
  <c r="AC566" i="1"/>
  <c r="AD566" i="1"/>
  <c r="AE566" i="1"/>
  <c r="V567" i="1"/>
  <c r="W567" i="1"/>
  <c r="X567" i="1"/>
  <c r="Y567" i="1"/>
  <c r="Z567" i="1"/>
  <c r="AA567" i="1"/>
  <c r="AB567" i="1"/>
  <c r="AC567" i="1"/>
  <c r="AD567" i="1"/>
  <c r="AE567" i="1"/>
  <c r="V568" i="1"/>
  <c r="W568" i="1"/>
  <c r="X568" i="1"/>
  <c r="Y568" i="1"/>
  <c r="Z568" i="1"/>
  <c r="AA568" i="1"/>
  <c r="AB568" i="1"/>
  <c r="AC568" i="1"/>
  <c r="AD568" i="1"/>
  <c r="AE568" i="1"/>
  <c r="V569" i="1"/>
  <c r="W569" i="1"/>
  <c r="X569" i="1"/>
  <c r="Y569" i="1"/>
  <c r="Z569" i="1"/>
  <c r="AA569" i="1"/>
  <c r="AB569" i="1"/>
  <c r="AC569" i="1"/>
  <c r="AD569" i="1"/>
  <c r="AE569" i="1"/>
  <c r="V570" i="1"/>
  <c r="W570" i="1"/>
  <c r="X570" i="1"/>
  <c r="Y570" i="1"/>
  <c r="Z570" i="1"/>
  <c r="AA570" i="1"/>
  <c r="AB570" i="1"/>
  <c r="AC570" i="1"/>
  <c r="AD570" i="1"/>
  <c r="AE570" i="1"/>
  <c r="V571" i="1"/>
  <c r="W571" i="1"/>
  <c r="X571" i="1"/>
  <c r="Y571" i="1"/>
  <c r="Z571" i="1"/>
  <c r="AA571" i="1"/>
  <c r="AB571" i="1"/>
  <c r="AC571" i="1"/>
  <c r="AD571" i="1"/>
  <c r="AE571" i="1"/>
  <c r="V572" i="1"/>
  <c r="W572" i="1"/>
  <c r="X572" i="1"/>
  <c r="Y572" i="1"/>
  <c r="Z572" i="1"/>
  <c r="AA572" i="1"/>
  <c r="AB572" i="1"/>
  <c r="AC572" i="1"/>
  <c r="AD572" i="1"/>
  <c r="AE572" i="1"/>
  <c r="V573" i="1"/>
  <c r="W573" i="1"/>
  <c r="X573" i="1"/>
  <c r="Y573" i="1"/>
  <c r="Z573" i="1"/>
  <c r="AA573" i="1"/>
  <c r="AB573" i="1"/>
  <c r="AC573" i="1"/>
  <c r="AD573" i="1"/>
  <c r="AE573" i="1"/>
  <c r="V574" i="1"/>
  <c r="W574" i="1"/>
  <c r="X574" i="1"/>
  <c r="Y574" i="1"/>
  <c r="Z574" i="1"/>
  <c r="AA574" i="1"/>
  <c r="AB574" i="1"/>
  <c r="AC574" i="1"/>
  <c r="AD574" i="1"/>
  <c r="AE574" i="1"/>
  <c r="V575" i="1"/>
  <c r="W575" i="1"/>
  <c r="X575" i="1"/>
  <c r="Y575" i="1"/>
  <c r="Z575" i="1"/>
  <c r="AA575" i="1"/>
  <c r="AB575" i="1"/>
  <c r="AC575" i="1"/>
  <c r="AD575" i="1"/>
  <c r="AE575" i="1"/>
  <c r="V576" i="1"/>
  <c r="W576" i="1"/>
  <c r="X576" i="1"/>
  <c r="Y576" i="1"/>
  <c r="Z576" i="1"/>
  <c r="AA576" i="1"/>
  <c r="AB576" i="1"/>
  <c r="AC576" i="1"/>
  <c r="AD576" i="1"/>
  <c r="AE576" i="1"/>
  <c r="V577" i="1"/>
  <c r="W577" i="1"/>
  <c r="X577" i="1"/>
  <c r="Y577" i="1"/>
  <c r="Z577" i="1"/>
  <c r="AA577" i="1"/>
  <c r="AB577" i="1"/>
  <c r="AC577" i="1"/>
  <c r="AD577" i="1"/>
  <c r="AE577" i="1"/>
  <c r="V578" i="1"/>
  <c r="W578" i="1"/>
  <c r="X578" i="1"/>
  <c r="Y578" i="1"/>
  <c r="Z578" i="1"/>
  <c r="AA578" i="1"/>
  <c r="AB578" i="1"/>
  <c r="AC578" i="1"/>
  <c r="AD578" i="1"/>
  <c r="AE578" i="1"/>
  <c r="V579" i="1"/>
  <c r="W579" i="1"/>
  <c r="X579" i="1"/>
  <c r="Y579" i="1"/>
  <c r="Z579" i="1"/>
  <c r="AA579" i="1"/>
  <c r="AB579" i="1"/>
  <c r="AC579" i="1"/>
  <c r="AD579" i="1"/>
  <c r="AE579" i="1"/>
  <c r="V580" i="1"/>
  <c r="W580" i="1"/>
  <c r="X580" i="1"/>
  <c r="Y580" i="1"/>
  <c r="Z580" i="1"/>
  <c r="AA580" i="1"/>
  <c r="AB580" i="1"/>
  <c r="AC580" i="1"/>
  <c r="AD580" i="1"/>
  <c r="AE580" i="1"/>
  <c r="V581" i="1"/>
  <c r="W581" i="1"/>
  <c r="X581" i="1"/>
  <c r="Y581" i="1"/>
  <c r="Z581" i="1"/>
  <c r="AA581" i="1"/>
  <c r="AB581" i="1"/>
  <c r="AC581" i="1"/>
  <c r="AD581" i="1"/>
  <c r="AE581" i="1"/>
  <c r="V582" i="1"/>
  <c r="W582" i="1"/>
  <c r="X582" i="1"/>
  <c r="Y582" i="1"/>
  <c r="Z582" i="1"/>
  <c r="AA582" i="1"/>
  <c r="AB582" i="1"/>
  <c r="AC582" i="1"/>
  <c r="AD582" i="1"/>
  <c r="AE582" i="1"/>
  <c r="V583" i="1"/>
  <c r="W583" i="1"/>
  <c r="X583" i="1"/>
  <c r="Y583" i="1"/>
  <c r="Z583" i="1"/>
  <c r="AA583" i="1"/>
  <c r="AB583" i="1"/>
  <c r="AC583" i="1"/>
  <c r="AD583" i="1"/>
  <c r="AE583" i="1"/>
  <c r="V584" i="1"/>
  <c r="W584" i="1"/>
  <c r="X584" i="1"/>
  <c r="Y584" i="1"/>
  <c r="Z584" i="1"/>
  <c r="AA584" i="1"/>
  <c r="AB584" i="1"/>
  <c r="AC584" i="1"/>
  <c r="AD584" i="1"/>
  <c r="AE584" i="1"/>
  <c r="V585" i="1"/>
  <c r="W585" i="1"/>
  <c r="X585" i="1"/>
  <c r="Y585" i="1"/>
  <c r="Z585" i="1"/>
  <c r="AA585" i="1"/>
  <c r="AB585" i="1"/>
  <c r="AC585" i="1"/>
  <c r="AD585" i="1"/>
  <c r="AE585" i="1"/>
  <c r="V586" i="1"/>
  <c r="W586" i="1"/>
  <c r="X586" i="1"/>
  <c r="Y586" i="1"/>
  <c r="Z586" i="1"/>
  <c r="AA586" i="1"/>
  <c r="AB586" i="1"/>
  <c r="AC586" i="1"/>
  <c r="AD586" i="1"/>
  <c r="AE586" i="1"/>
  <c r="V587" i="1"/>
  <c r="W587" i="1"/>
  <c r="X587" i="1"/>
  <c r="Y587" i="1"/>
  <c r="Z587" i="1"/>
  <c r="AA587" i="1"/>
  <c r="AB587" i="1"/>
  <c r="AC587" i="1"/>
  <c r="AD587" i="1"/>
  <c r="AE587" i="1"/>
  <c r="V588" i="1"/>
  <c r="W588" i="1"/>
  <c r="X588" i="1"/>
  <c r="Y588" i="1"/>
  <c r="Z588" i="1"/>
  <c r="AA588" i="1"/>
  <c r="AB588" i="1"/>
  <c r="AC588" i="1"/>
  <c r="AD588" i="1"/>
  <c r="AE588" i="1"/>
  <c r="V589" i="1"/>
  <c r="W589" i="1"/>
  <c r="X589" i="1"/>
  <c r="Y589" i="1"/>
  <c r="Z589" i="1"/>
  <c r="AA589" i="1"/>
  <c r="AB589" i="1"/>
  <c r="AC589" i="1"/>
  <c r="AD589" i="1"/>
  <c r="AE589" i="1"/>
  <c r="V590" i="1"/>
  <c r="W590" i="1"/>
  <c r="X590" i="1"/>
  <c r="Y590" i="1"/>
  <c r="Z590" i="1"/>
  <c r="AA590" i="1"/>
  <c r="AB590" i="1"/>
  <c r="AC590" i="1"/>
  <c r="AD590" i="1"/>
  <c r="AE590" i="1"/>
  <c r="V591" i="1"/>
  <c r="W591" i="1"/>
  <c r="X591" i="1"/>
  <c r="Y591" i="1"/>
  <c r="Z591" i="1"/>
  <c r="AA591" i="1"/>
  <c r="AB591" i="1"/>
  <c r="AC591" i="1"/>
  <c r="AD591" i="1"/>
  <c r="AE591" i="1"/>
  <c r="V592" i="1"/>
  <c r="W592" i="1"/>
  <c r="X592" i="1"/>
  <c r="Y592" i="1"/>
  <c r="Z592" i="1"/>
  <c r="AA592" i="1"/>
  <c r="AB592" i="1"/>
  <c r="AC592" i="1"/>
  <c r="AD592" i="1"/>
  <c r="AE592" i="1"/>
  <c r="V593" i="1"/>
  <c r="W593" i="1"/>
  <c r="X593" i="1"/>
  <c r="Y593" i="1"/>
  <c r="Z593" i="1"/>
  <c r="AA593" i="1"/>
  <c r="AB593" i="1"/>
  <c r="AC593" i="1"/>
  <c r="AD593" i="1"/>
  <c r="AE593" i="1"/>
  <c r="V594" i="1"/>
  <c r="W594" i="1"/>
  <c r="X594" i="1"/>
  <c r="Y594" i="1"/>
  <c r="Z594" i="1"/>
  <c r="AA594" i="1"/>
  <c r="AB594" i="1"/>
  <c r="AC594" i="1"/>
  <c r="AD594" i="1"/>
  <c r="AE594" i="1"/>
  <c r="V595" i="1"/>
  <c r="W595" i="1"/>
  <c r="X595" i="1"/>
  <c r="Y595" i="1"/>
  <c r="Z595" i="1"/>
  <c r="AA595" i="1"/>
  <c r="AB595" i="1"/>
  <c r="AC595" i="1"/>
  <c r="AD595" i="1"/>
  <c r="AE595" i="1"/>
  <c r="V596" i="1"/>
  <c r="W596" i="1"/>
  <c r="X596" i="1"/>
  <c r="Y596" i="1"/>
  <c r="Z596" i="1"/>
  <c r="AA596" i="1"/>
  <c r="AB596" i="1"/>
  <c r="AC596" i="1"/>
  <c r="AD596" i="1"/>
  <c r="AE596" i="1"/>
  <c r="V597" i="1"/>
  <c r="W597" i="1"/>
  <c r="X597" i="1"/>
  <c r="Y597" i="1"/>
  <c r="Z597" i="1"/>
  <c r="AA597" i="1"/>
  <c r="AB597" i="1"/>
  <c r="AC597" i="1"/>
  <c r="AD597" i="1"/>
  <c r="AE597" i="1"/>
  <c r="V598" i="1"/>
  <c r="W598" i="1"/>
  <c r="X598" i="1"/>
  <c r="Y598" i="1"/>
  <c r="Z598" i="1"/>
  <c r="AA598" i="1"/>
  <c r="AB598" i="1"/>
  <c r="AC598" i="1"/>
  <c r="AD598" i="1"/>
  <c r="AE598" i="1"/>
  <c r="V599" i="1"/>
  <c r="W599" i="1"/>
  <c r="X599" i="1"/>
  <c r="Y599" i="1"/>
  <c r="Z599" i="1"/>
  <c r="AA599" i="1"/>
  <c r="AB599" i="1"/>
  <c r="AC599" i="1"/>
  <c r="AD599" i="1"/>
  <c r="AE599" i="1"/>
  <c r="V600" i="1"/>
  <c r="W600" i="1"/>
  <c r="X600" i="1"/>
  <c r="Y600" i="1"/>
  <c r="Z600" i="1"/>
  <c r="AA600" i="1"/>
  <c r="AB600" i="1"/>
  <c r="AC600" i="1"/>
  <c r="AD600" i="1"/>
  <c r="AE600" i="1"/>
  <c r="V601" i="1"/>
  <c r="W601" i="1"/>
  <c r="X601" i="1"/>
  <c r="Y601" i="1"/>
  <c r="Z601" i="1"/>
  <c r="AA601" i="1"/>
  <c r="AB601" i="1"/>
  <c r="AC601" i="1"/>
  <c r="AD601" i="1"/>
  <c r="AE601" i="1"/>
  <c r="V602" i="1"/>
  <c r="W602" i="1"/>
  <c r="X602" i="1"/>
  <c r="Y602" i="1"/>
  <c r="Z602" i="1"/>
  <c r="AA602" i="1"/>
  <c r="AB602" i="1"/>
  <c r="AC602" i="1"/>
  <c r="AD602" i="1"/>
  <c r="AE602" i="1"/>
  <c r="V603" i="1"/>
  <c r="W603" i="1"/>
  <c r="X603" i="1"/>
  <c r="Y603" i="1"/>
  <c r="Z603" i="1"/>
  <c r="AA603" i="1"/>
  <c r="AB603" i="1"/>
  <c r="AC603" i="1"/>
  <c r="AD603" i="1"/>
  <c r="AE603" i="1"/>
  <c r="V604" i="1"/>
  <c r="W604" i="1"/>
  <c r="X604" i="1"/>
  <c r="Y604" i="1"/>
  <c r="Z604" i="1"/>
  <c r="AA604" i="1"/>
  <c r="AB604" i="1"/>
  <c r="AC604" i="1"/>
  <c r="AD604" i="1"/>
  <c r="AE604" i="1"/>
  <c r="V605" i="1"/>
  <c r="W605" i="1"/>
  <c r="X605" i="1"/>
  <c r="Y605" i="1"/>
  <c r="Z605" i="1"/>
  <c r="AA605" i="1"/>
  <c r="AB605" i="1"/>
  <c r="AC605" i="1"/>
  <c r="AD605" i="1"/>
  <c r="AE605" i="1"/>
  <c r="V606" i="1"/>
  <c r="W606" i="1"/>
  <c r="X606" i="1"/>
  <c r="Y606" i="1"/>
  <c r="Z606" i="1"/>
  <c r="AA606" i="1"/>
  <c r="AB606" i="1"/>
  <c r="AC606" i="1"/>
  <c r="AD606" i="1"/>
  <c r="AE606" i="1"/>
  <c r="V607" i="1"/>
  <c r="W607" i="1"/>
  <c r="X607" i="1"/>
  <c r="Y607" i="1"/>
  <c r="Z607" i="1"/>
  <c r="AA607" i="1"/>
  <c r="AB607" i="1"/>
  <c r="AC607" i="1"/>
  <c r="AD607" i="1"/>
  <c r="AE607" i="1"/>
  <c r="V608" i="1"/>
  <c r="W608" i="1"/>
  <c r="X608" i="1"/>
  <c r="Y608" i="1"/>
  <c r="Z608" i="1"/>
  <c r="AA608" i="1"/>
  <c r="AB608" i="1"/>
  <c r="AC608" i="1"/>
  <c r="AD608" i="1"/>
  <c r="AE608" i="1"/>
  <c r="V609" i="1"/>
  <c r="W609" i="1"/>
  <c r="X609" i="1"/>
  <c r="Y609" i="1"/>
  <c r="Z609" i="1"/>
  <c r="AA609" i="1"/>
  <c r="AB609" i="1"/>
  <c r="AC609" i="1"/>
  <c r="AD609" i="1"/>
  <c r="AE609" i="1"/>
  <c r="V610" i="1"/>
  <c r="W610" i="1"/>
  <c r="X610" i="1"/>
  <c r="Y610" i="1"/>
  <c r="Z610" i="1"/>
  <c r="AA610" i="1"/>
  <c r="AB610" i="1"/>
  <c r="AC610" i="1"/>
  <c r="AD610" i="1"/>
  <c r="AE610" i="1"/>
  <c r="V611" i="1"/>
  <c r="W611" i="1"/>
  <c r="X611" i="1"/>
  <c r="Y611" i="1"/>
  <c r="Z611" i="1"/>
  <c r="AA611" i="1"/>
  <c r="AB611" i="1"/>
  <c r="AC611" i="1"/>
  <c r="AD611" i="1"/>
  <c r="AE611" i="1"/>
  <c r="V612" i="1"/>
  <c r="W612" i="1"/>
  <c r="X612" i="1"/>
  <c r="Y612" i="1"/>
  <c r="Z612" i="1"/>
  <c r="AA612" i="1"/>
  <c r="AB612" i="1"/>
  <c r="AC612" i="1"/>
  <c r="AD612" i="1"/>
  <c r="AE612" i="1"/>
  <c r="V613" i="1"/>
  <c r="W613" i="1"/>
  <c r="X613" i="1"/>
  <c r="Y613" i="1"/>
  <c r="Z613" i="1"/>
  <c r="AA613" i="1"/>
  <c r="AB613" i="1"/>
  <c r="AC613" i="1"/>
  <c r="AD613" i="1"/>
  <c r="AE613" i="1"/>
  <c r="V614" i="1"/>
  <c r="W614" i="1"/>
  <c r="X614" i="1"/>
  <c r="Y614" i="1"/>
  <c r="Z614" i="1"/>
  <c r="AA614" i="1"/>
  <c r="AB614" i="1"/>
  <c r="AC614" i="1"/>
  <c r="AD614" i="1"/>
  <c r="AE614" i="1"/>
  <c r="V615" i="1"/>
  <c r="W615" i="1"/>
  <c r="X615" i="1"/>
  <c r="Y615" i="1"/>
  <c r="Z615" i="1"/>
  <c r="AA615" i="1"/>
  <c r="AB615" i="1"/>
  <c r="AC615" i="1"/>
  <c r="AD615" i="1"/>
  <c r="AE615" i="1"/>
  <c r="V616" i="1"/>
  <c r="W616" i="1"/>
  <c r="X616" i="1"/>
  <c r="Y616" i="1"/>
  <c r="Z616" i="1"/>
  <c r="AA616" i="1"/>
  <c r="AB616" i="1"/>
  <c r="AC616" i="1"/>
  <c r="AD616" i="1"/>
  <c r="AE616" i="1"/>
  <c r="V617" i="1"/>
  <c r="W617" i="1"/>
  <c r="X617" i="1"/>
  <c r="Y617" i="1"/>
  <c r="Z617" i="1"/>
  <c r="AA617" i="1"/>
  <c r="AB617" i="1"/>
  <c r="AC617" i="1"/>
  <c r="AD617" i="1"/>
  <c r="AE617" i="1"/>
  <c r="V618" i="1"/>
  <c r="W618" i="1"/>
  <c r="X618" i="1"/>
  <c r="Y618" i="1"/>
  <c r="Z618" i="1"/>
  <c r="AA618" i="1"/>
  <c r="AB618" i="1"/>
  <c r="AC618" i="1"/>
  <c r="AD618" i="1"/>
  <c r="AE618" i="1"/>
  <c r="V619" i="1"/>
  <c r="W619" i="1"/>
  <c r="X619" i="1"/>
  <c r="Y619" i="1"/>
  <c r="Z619" i="1"/>
  <c r="AA619" i="1"/>
  <c r="AB619" i="1"/>
  <c r="AC619" i="1"/>
  <c r="AD619" i="1"/>
  <c r="AE619" i="1"/>
  <c r="V620" i="1"/>
  <c r="W620" i="1"/>
  <c r="X620" i="1"/>
  <c r="Y620" i="1"/>
  <c r="Z620" i="1"/>
  <c r="AA620" i="1"/>
  <c r="AB620" i="1"/>
  <c r="AC620" i="1"/>
  <c r="AD620" i="1"/>
  <c r="AE620" i="1"/>
  <c r="V621" i="1"/>
  <c r="W621" i="1"/>
  <c r="X621" i="1"/>
  <c r="Y621" i="1"/>
  <c r="Z621" i="1"/>
  <c r="AA621" i="1"/>
  <c r="AB621" i="1"/>
  <c r="AC621" i="1"/>
  <c r="AD621" i="1"/>
  <c r="AE621" i="1"/>
  <c r="V622" i="1"/>
  <c r="W622" i="1"/>
  <c r="X622" i="1"/>
  <c r="Y622" i="1"/>
  <c r="Z622" i="1"/>
  <c r="AA622" i="1"/>
  <c r="AB622" i="1"/>
  <c r="AC622" i="1"/>
  <c r="AD622" i="1"/>
  <c r="AE622" i="1"/>
  <c r="V623" i="1"/>
  <c r="W623" i="1"/>
  <c r="X623" i="1"/>
  <c r="Y623" i="1"/>
  <c r="Z623" i="1"/>
  <c r="AA623" i="1"/>
  <c r="AB623" i="1"/>
  <c r="AC623" i="1"/>
  <c r="AD623" i="1"/>
  <c r="AE623" i="1"/>
  <c r="V624" i="1"/>
  <c r="W624" i="1"/>
  <c r="X624" i="1"/>
  <c r="Y624" i="1"/>
  <c r="Z624" i="1"/>
  <c r="AA624" i="1"/>
  <c r="AB624" i="1"/>
  <c r="AC624" i="1"/>
  <c r="AD624" i="1"/>
  <c r="AE624" i="1"/>
  <c r="V625" i="1"/>
  <c r="W625" i="1"/>
  <c r="X625" i="1"/>
  <c r="Y625" i="1"/>
  <c r="Z625" i="1"/>
  <c r="AA625" i="1"/>
  <c r="AB625" i="1"/>
  <c r="AC625" i="1"/>
  <c r="AD625" i="1"/>
  <c r="AE625" i="1"/>
  <c r="V626" i="1"/>
  <c r="W626" i="1"/>
  <c r="X626" i="1"/>
  <c r="Y626" i="1"/>
  <c r="Z626" i="1"/>
  <c r="AA626" i="1"/>
  <c r="AB626" i="1"/>
  <c r="AC626" i="1"/>
  <c r="AD626" i="1"/>
  <c r="AE626" i="1"/>
  <c r="V627" i="1"/>
  <c r="W627" i="1"/>
  <c r="X627" i="1"/>
  <c r="Y627" i="1"/>
  <c r="Z627" i="1"/>
  <c r="AA627" i="1"/>
  <c r="AB627" i="1"/>
  <c r="AC627" i="1"/>
  <c r="AD627" i="1"/>
  <c r="AE627" i="1"/>
  <c r="V628" i="1"/>
  <c r="W628" i="1"/>
  <c r="X628" i="1"/>
  <c r="Y628" i="1"/>
  <c r="Z628" i="1"/>
  <c r="AA628" i="1"/>
  <c r="AB628" i="1"/>
  <c r="AC628" i="1"/>
  <c r="AD628" i="1"/>
  <c r="AE628" i="1"/>
  <c r="V629" i="1"/>
  <c r="W629" i="1"/>
  <c r="X629" i="1"/>
  <c r="Y629" i="1"/>
  <c r="Z629" i="1"/>
  <c r="AA629" i="1"/>
  <c r="AB629" i="1"/>
  <c r="AC629" i="1"/>
  <c r="AD629" i="1"/>
  <c r="AE629" i="1"/>
  <c r="V630" i="1"/>
  <c r="W630" i="1"/>
  <c r="X630" i="1"/>
  <c r="Y630" i="1"/>
  <c r="Z630" i="1"/>
  <c r="AA630" i="1"/>
  <c r="AB630" i="1"/>
  <c r="AC630" i="1"/>
  <c r="AD630" i="1"/>
  <c r="AE630" i="1"/>
  <c r="V631" i="1"/>
  <c r="W631" i="1"/>
  <c r="X631" i="1"/>
  <c r="Y631" i="1"/>
  <c r="Z631" i="1"/>
  <c r="AA631" i="1"/>
  <c r="AB631" i="1"/>
  <c r="AC631" i="1"/>
  <c r="AD631" i="1"/>
  <c r="AE631" i="1"/>
  <c r="V632" i="1"/>
  <c r="W632" i="1"/>
  <c r="X632" i="1"/>
  <c r="Y632" i="1"/>
  <c r="Z632" i="1"/>
  <c r="AA632" i="1"/>
  <c r="AB632" i="1"/>
  <c r="AC632" i="1"/>
  <c r="AD632" i="1"/>
  <c r="AE632" i="1"/>
  <c r="V633" i="1"/>
  <c r="W633" i="1"/>
  <c r="X633" i="1"/>
  <c r="Y633" i="1"/>
  <c r="Z633" i="1"/>
  <c r="AA633" i="1"/>
  <c r="AB633" i="1"/>
  <c r="AC633" i="1"/>
  <c r="AD633" i="1"/>
  <c r="AE633" i="1"/>
  <c r="V634" i="1"/>
  <c r="W634" i="1"/>
  <c r="X634" i="1"/>
  <c r="Y634" i="1"/>
  <c r="Z634" i="1"/>
  <c r="AA634" i="1"/>
  <c r="AB634" i="1"/>
  <c r="AC634" i="1"/>
  <c r="AD634" i="1"/>
  <c r="AE634" i="1"/>
  <c r="V635" i="1"/>
  <c r="W635" i="1"/>
  <c r="X635" i="1"/>
  <c r="Y635" i="1"/>
  <c r="Z635" i="1"/>
  <c r="AA635" i="1"/>
  <c r="AB635" i="1"/>
  <c r="AC635" i="1"/>
  <c r="AD635" i="1"/>
  <c r="AE635" i="1"/>
  <c r="V636" i="1"/>
  <c r="W636" i="1"/>
  <c r="X636" i="1"/>
  <c r="Y636" i="1"/>
  <c r="Z636" i="1"/>
  <c r="AA636" i="1"/>
  <c r="AB636" i="1"/>
  <c r="AC636" i="1"/>
  <c r="AD636" i="1"/>
  <c r="AE636" i="1"/>
  <c r="V637" i="1"/>
  <c r="W637" i="1"/>
  <c r="X637" i="1"/>
  <c r="Y637" i="1"/>
  <c r="Z637" i="1"/>
  <c r="AA637" i="1"/>
  <c r="AB637" i="1"/>
  <c r="AC637" i="1"/>
  <c r="AD637" i="1"/>
  <c r="AE637" i="1"/>
  <c r="V638" i="1"/>
  <c r="W638" i="1"/>
  <c r="X638" i="1"/>
  <c r="Y638" i="1"/>
  <c r="Z638" i="1"/>
  <c r="AA638" i="1"/>
  <c r="AB638" i="1"/>
  <c r="AC638" i="1"/>
  <c r="AD638" i="1"/>
  <c r="AE638" i="1"/>
  <c r="V639" i="1"/>
  <c r="W639" i="1"/>
  <c r="X639" i="1"/>
  <c r="Y639" i="1"/>
  <c r="Z639" i="1"/>
  <c r="AA639" i="1"/>
  <c r="AB639" i="1"/>
  <c r="AC639" i="1"/>
  <c r="AD639" i="1"/>
  <c r="AE639" i="1"/>
  <c r="V640" i="1"/>
  <c r="W640" i="1"/>
  <c r="X640" i="1"/>
  <c r="Y640" i="1"/>
  <c r="Z640" i="1"/>
  <c r="AA640" i="1"/>
  <c r="AB640" i="1"/>
  <c r="AC640" i="1"/>
  <c r="AD640" i="1"/>
  <c r="AE640" i="1"/>
  <c r="V641" i="1"/>
  <c r="W641" i="1"/>
  <c r="X641" i="1"/>
  <c r="Y641" i="1"/>
  <c r="Z641" i="1"/>
  <c r="AA641" i="1"/>
  <c r="AB641" i="1"/>
  <c r="AC641" i="1"/>
  <c r="AD641" i="1"/>
  <c r="AE641" i="1"/>
  <c r="V642" i="1"/>
  <c r="W642" i="1"/>
  <c r="X642" i="1"/>
  <c r="Y642" i="1"/>
  <c r="Z642" i="1"/>
  <c r="AA642" i="1"/>
  <c r="AB642" i="1"/>
  <c r="AC642" i="1"/>
  <c r="AD642" i="1"/>
  <c r="AE642" i="1"/>
  <c r="V643" i="1"/>
  <c r="W643" i="1"/>
  <c r="X643" i="1"/>
  <c r="Y643" i="1"/>
  <c r="Z643" i="1"/>
  <c r="AA643" i="1"/>
  <c r="AB643" i="1"/>
  <c r="AC643" i="1"/>
  <c r="AD643" i="1"/>
  <c r="AE643" i="1"/>
  <c r="V644" i="1"/>
  <c r="W644" i="1"/>
  <c r="X644" i="1"/>
  <c r="Y644" i="1"/>
  <c r="Z644" i="1"/>
  <c r="AA644" i="1"/>
  <c r="AB644" i="1"/>
  <c r="AC644" i="1"/>
  <c r="AD644" i="1"/>
  <c r="AE644" i="1"/>
  <c r="V645" i="1"/>
  <c r="W645" i="1"/>
  <c r="X645" i="1"/>
  <c r="Y645" i="1"/>
  <c r="Z645" i="1"/>
  <c r="AA645" i="1"/>
  <c r="AB645" i="1"/>
  <c r="AC645" i="1"/>
  <c r="AD645" i="1"/>
  <c r="AE645" i="1"/>
  <c r="V646" i="1"/>
  <c r="W646" i="1"/>
  <c r="X646" i="1"/>
  <c r="Y646" i="1"/>
  <c r="Z646" i="1"/>
  <c r="AA646" i="1"/>
  <c r="AB646" i="1"/>
  <c r="AC646" i="1"/>
  <c r="AD646" i="1"/>
  <c r="AE646" i="1"/>
  <c r="V647" i="1"/>
  <c r="W647" i="1"/>
  <c r="X647" i="1"/>
  <c r="Y647" i="1"/>
  <c r="Z647" i="1"/>
  <c r="AA647" i="1"/>
  <c r="AB647" i="1"/>
  <c r="AC647" i="1"/>
  <c r="AD647" i="1"/>
  <c r="AE647" i="1"/>
  <c r="V648" i="1"/>
  <c r="W648" i="1"/>
  <c r="X648" i="1"/>
  <c r="Y648" i="1"/>
  <c r="Z648" i="1"/>
  <c r="AA648" i="1"/>
  <c r="AB648" i="1"/>
  <c r="AC648" i="1"/>
  <c r="AD648" i="1"/>
  <c r="AE648" i="1"/>
  <c r="V649" i="1"/>
  <c r="W649" i="1"/>
  <c r="X649" i="1"/>
  <c r="Y649" i="1"/>
  <c r="Z649" i="1"/>
  <c r="AA649" i="1"/>
  <c r="AB649" i="1"/>
  <c r="AC649" i="1"/>
  <c r="AD649" i="1"/>
  <c r="AE649" i="1"/>
  <c r="V650" i="1"/>
  <c r="W650" i="1"/>
  <c r="X650" i="1"/>
  <c r="Y650" i="1"/>
  <c r="Z650" i="1"/>
  <c r="AA650" i="1"/>
  <c r="AB650" i="1"/>
  <c r="AC650" i="1"/>
  <c r="AD650" i="1"/>
  <c r="AE650" i="1"/>
  <c r="V651" i="1"/>
  <c r="W651" i="1"/>
  <c r="X651" i="1"/>
  <c r="Y651" i="1"/>
  <c r="Z651" i="1"/>
  <c r="AA651" i="1"/>
  <c r="AB651" i="1"/>
  <c r="AC651" i="1"/>
  <c r="AD651" i="1"/>
  <c r="AE651" i="1"/>
  <c r="V652" i="1"/>
  <c r="W652" i="1"/>
  <c r="X652" i="1"/>
  <c r="Y652" i="1"/>
  <c r="Z652" i="1"/>
  <c r="AA652" i="1"/>
  <c r="AB652" i="1"/>
  <c r="AC652" i="1"/>
  <c r="AD652" i="1"/>
  <c r="AE652" i="1"/>
  <c r="V653" i="1"/>
  <c r="W653" i="1"/>
  <c r="X653" i="1"/>
  <c r="Y653" i="1"/>
  <c r="Z653" i="1"/>
  <c r="AA653" i="1"/>
  <c r="AB653" i="1"/>
  <c r="AC653" i="1"/>
  <c r="AD653" i="1"/>
  <c r="AE653" i="1"/>
  <c r="V654" i="1"/>
  <c r="W654" i="1"/>
  <c r="X654" i="1"/>
  <c r="Y654" i="1"/>
  <c r="Z654" i="1"/>
  <c r="AA654" i="1"/>
  <c r="AB654" i="1"/>
  <c r="AC654" i="1"/>
  <c r="AD654" i="1"/>
  <c r="AE654" i="1"/>
  <c r="V655" i="1"/>
  <c r="W655" i="1"/>
  <c r="X655" i="1"/>
  <c r="Y655" i="1"/>
  <c r="Z655" i="1"/>
  <c r="AA655" i="1"/>
  <c r="AB655" i="1"/>
  <c r="AC655" i="1"/>
  <c r="AD655" i="1"/>
  <c r="AE655" i="1"/>
  <c r="V656" i="1"/>
  <c r="W656" i="1"/>
  <c r="X656" i="1"/>
  <c r="Y656" i="1"/>
  <c r="Z656" i="1"/>
  <c r="AA656" i="1"/>
  <c r="AB656" i="1"/>
  <c r="AC656" i="1"/>
  <c r="AD656" i="1"/>
  <c r="AE656" i="1"/>
  <c r="V657" i="1"/>
  <c r="W657" i="1"/>
  <c r="X657" i="1"/>
  <c r="Y657" i="1"/>
  <c r="Z657" i="1"/>
  <c r="AA657" i="1"/>
  <c r="AB657" i="1"/>
  <c r="AC657" i="1"/>
  <c r="AD657" i="1"/>
  <c r="AE657" i="1"/>
  <c r="V658" i="1"/>
  <c r="W658" i="1"/>
  <c r="X658" i="1"/>
  <c r="Y658" i="1"/>
  <c r="Z658" i="1"/>
  <c r="AA658" i="1"/>
  <c r="AB658" i="1"/>
  <c r="AC658" i="1"/>
  <c r="AD658" i="1"/>
  <c r="AE658" i="1"/>
  <c r="V659" i="1"/>
  <c r="W659" i="1"/>
  <c r="X659" i="1"/>
  <c r="Y659" i="1"/>
  <c r="Z659" i="1"/>
  <c r="AA659" i="1"/>
  <c r="AB659" i="1"/>
  <c r="AC659" i="1"/>
  <c r="AD659" i="1"/>
  <c r="AE659" i="1"/>
  <c r="V660" i="1"/>
  <c r="W660" i="1"/>
  <c r="X660" i="1"/>
  <c r="Y660" i="1"/>
  <c r="Z660" i="1"/>
  <c r="AA660" i="1"/>
  <c r="AB660" i="1"/>
  <c r="AC660" i="1"/>
  <c r="AD660" i="1"/>
  <c r="AE660" i="1"/>
  <c r="V661" i="1"/>
  <c r="W661" i="1"/>
  <c r="X661" i="1"/>
  <c r="Y661" i="1"/>
  <c r="Z661" i="1"/>
  <c r="AA661" i="1"/>
  <c r="AB661" i="1"/>
  <c r="AC661" i="1"/>
  <c r="AD661" i="1"/>
  <c r="AE661" i="1"/>
  <c r="V662" i="1"/>
  <c r="W662" i="1"/>
  <c r="X662" i="1"/>
  <c r="Y662" i="1"/>
  <c r="Z662" i="1"/>
  <c r="AA662" i="1"/>
  <c r="AB662" i="1"/>
  <c r="AC662" i="1"/>
  <c r="AD662" i="1"/>
  <c r="AE662" i="1"/>
  <c r="V663" i="1"/>
  <c r="W663" i="1"/>
  <c r="X663" i="1"/>
  <c r="Y663" i="1"/>
  <c r="Z663" i="1"/>
  <c r="AA663" i="1"/>
  <c r="AB663" i="1"/>
  <c r="AC663" i="1"/>
  <c r="AD663" i="1"/>
  <c r="AE663" i="1"/>
  <c r="V664" i="1"/>
  <c r="W664" i="1"/>
  <c r="X664" i="1"/>
  <c r="Y664" i="1"/>
  <c r="Z664" i="1"/>
  <c r="AA664" i="1"/>
  <c r="AB664" i="1"/>
  <c r="AC664" i="1"/>
  <c r="AD664" i="1"/>
  <c r="AE664" i="1"/>
  <c r="V665" i="1"/>
  <c r="W665" i="1"/>
  <c r="X665" i="1"/>
  <c r="Y665" i="1"/>
  <c r="Z665" i="1"/>
  <c r="AA665" i="1"/>
  <c r="AB665" i="1"/>
  <c r="AC665" i="1"/>
  <c r="AD665" i="1"/>
  <c r="AE665" i="1"/>
  <c r="V666" i="1"/>
  <c r="W666" i="1"/>
  <c r="X666" i="1"/>
  <c r="Y666" i="1"/>
  <c r="Z666" i="1"/>
  <c r="AA666" i="1"/>
  <c r="AB666" i="1"/>
  <c r="AC666" i="1"/>
  <c r="AD666" i="1"/>
  <c r="AE666" i="1"/>
  <c r="V667" i="1"/>
  <c r="W667" i="1"/>
  <c r="X667" i="1"/>
  <c r="Y667" i="1"/>
  <c r="Z667" i="1"/>
  <c r="AA667" i="1"/>
  <c r="AB667" i="1"/>
  <c r="AC667" i="1"/>
  <c r="AD667" i="1"/>
  <c r="AE667" i="1"/>
  <c r="V668" i="1"/>
  <c r="W668" i="1"/>
  <c r="X668" i="1"/>
  <c r="Y668" i="1"/>
  <c r="Z668" i="1"/>
  <c r="AA668" i="1"/>
  <c r="AB668" i="1"/>
  <c r="AC668" i="1"/>
  <c r="AD668" i="1"/>
  <c r="AE668" i="1"/>
  <c r="V669" i="1"/>
  <c r="W669" i="1"/>
  <c r="X669" i="1"/>
  <c r="Y669" i="1"/>
  <c r="Z669" i="1"/>
  <c r="AA669" i="1"/>
  <c r="AB669" i="1"/>
  <c r="AC669" i="1"/>
  <c r="AD669" i="1"/>
  <c r="AE669" i="1"/>
  <c r="V670" i="1"/>
  <c r="W670" i="1"/>
  <c r="X670" i="1"/>
  <c r="Y670" i="1"/>
  <c r="Z670" i="1"/>
  <c r="AA670" i="1"/>
  <c r="AB670" i="1"/>
  <c r="AC670" i="1"/>
  <c r="AD670" i="1"/>
  <c r="AE670" i="1"/>
  <c r="V671" i="1"/>
  <c r="W671" i="1"/>
  <c r="X671" i="1"/>
  <c r="Y671" i="1"/>
  <c r="Z671" i="1"/>
  <c r="AA671" i="1"/>
  <c r="AB671" i="1"/>
  <c r="AC671" i="1"/>
  <c r="AD671" i="1"/>
  <c r="AE671" i="1"/>
  <c r="V672" i="1"/>
  <c r="W672" i="1"/>
  <c r="X672" i="1"/>
  <c r="Y672" i="1"/>
  <c r="Z672" i="1"/>
  <c r="AA672" i="1"/>
  <c r="AB672" i="1"/>
  <c r="AC672" i="1"/>
  <c r="AD672" i="1"/>
  <c r="AE672" i="1"/>
  <c r="V673" i="1"/>
  <c r="W673" i="1"/>
  <c r="X673" i="1"/>
  <c r="Y673" i="1"/>
  <c r="Z673" i="1"/>
  <c r="AA673" i="1"/>
  <c r="AB673" i="1"/>
  <c r="AC673" i="1"/>
  <c r="AD673" i="1"/>
  <c r="AE673" i="1"/>
  <c r="V674" i="1"/>
  <c r="W674" i="1"/>
  <c r="X674" i="1"/>
  <c r="Y674" i="1"/>
  <c r="Z674" i="1"/>
  <c r="AA674" i="1"/>
  <c r="AB674" i="1"/>
  <c r="AC674" i="1"/>
  <c r="AD674" i="1"/>
  <c r="AE674" i="1"/>
  <c r="V675" i="1"/>
  <c r="W675" i="1"/>
  <c r="X675" i="1"/>
  <c r="Y675" i="1"/>
  <c r="Z675" i="1"/>
  <c r="AA675" i="1"/>
  <c r="AB675" i="1"/>
  <c r="AC675" i="1"/>
  <c r="AD675" i="1"/>
  <c r="AE675" i="1"/>
  <c r="V676" i="1"/>
  <c r="W676" i="1"/>
  <c r="X676" i="1"/>
  <c r="Y676" i="1"/>
  <c r="Z676" i="1"/>
  <c r="AA676" i="1"/>
  <c r="AB676" i="1"/>
  <c r="AC676" i="1"/>
  <c r="AD676" i="1"/>
  <c r="AE676" i="1"/>
  <c r="V677" i="1"/>
  <c r="W677" i="1"/>
  <c r="X677" i="1"/>
  <c r="Y677" i="1"/>
  <c r="Z677" i="1"/>
  <c r="AA677" i="1"/>
  <c r="AB677" i="1"/>
  <c r="AC677" i="1"/>
  <c r="AD677" i="1"/>
  <c r="AE677" i="1"/>
  <c r="V678" i="1"/>
  <c r="W678" i="1"/>
  <c r="X678" i="1"/>
  <c r="Y678" i="1"/>
  <c r="Z678" i="1"/>
  <c r="AA678" i="1"/>
  <c r="AB678" i="1"/>
  <c r="AC678" i="1"/>
  <c r="AD678" i="1"/>
  <c r="AE678" i="1"/>
  <c r="V679" i="1"/>
  <c r="W679" i="1"/>
  <c r="X679" i="1"/>
  <c r="Y679" i="1"/>
  <c r="Z679" i="1"/>
  <c r="AA679" i="1"/>
  <c r="AB679" i="1"/>
  <c r="AC679" i="1"/>
  <c r="AD679" i="1"/>
  <c r="AE679" i="1"/>
  <c r="V680" i="1"/>
  <c r="W680" i="1"/>
  <c r="X680" i="1"/>
  <c r="Y680" i="1"/>
  <c r="Z680" i="1"/>
  <c r="AA680" i="1"/>
  <c r="AB680" i="1"/>
  <c r="AC680" i="1"/>
  <c r="AD680" i="1"/>
  <c r="AE680" i="1"/>
  <c r="V681" i="1"/>
  <c r="W681" i="1"/>
  <c r="X681" i="1"/>
  <c r="Y681" i="1"/>
  <c r="Z681" i="1"/>
  <c r="AA681" i="1"/>
  <c r="AB681" i="1"/>
  <c r="AC681" i="1"/>
  <c r="AD681" i="1"/>
  <c r="AE681" i="1"/>
  <c r="V682" i="1"/>
  <c r="W682" i="1"/>
  <c r="X682" i="1"/>
  <c r="Y682" i="1"/>
  <c r="Z682" i="1"/>
  <c r="AA682" i="1"/>
  <c r="AB682" i="1"/>
  <c r="AC682" i="1"/>
  <c r="AD682" i="1"/>
  <c r="AE682" i="1"/>
  <c r="V683" i="1"/>
  <c r="W683" i="1"/>
  <c r="X683" i="1"/>
  <c r="Y683" i="1"/>
  <c r="Z683" i="1"/>
  <c r="AA683" i="1"/>
  <c r="AB683" i="1"/>
  <c r="AC683" i="1"/>
  <c r="AD683" i="1"/>
  <c r="AE683" i="1"/>
  <c r="V684" i="1"/>
  <c r="W684" i="1"/>
  <c r="X684" i="1"/>
  <c r="Y684" i="1"/>
  <c r="Z684" i="1"/>
  <c r="AA684" i="1"/>
  <c r="AB684" i="1"/>
  <c r="AC684" i="1"/>
  <c r="AD684" i="1"/>
  <c r="AE684" i="1"/>
  <c r="V685" i="1"/>
  <c r="W685" i="1"/>
  <c r="X685" i="1"/>
  <c r="Y685" i="1"/>
  <c r="Z685" i="1"/>
  <c r="AA685" i="1"/>
  <c r="AB685" i="1"/>
  <c r="AC685" i="1"/>
  <c r="AD685" i="1"/>
  <c r="AE685" i="1"/>
  <c r="V686" i="1"/>
  <c r="W686" i="1"/>
  <c r="X686" i="1"/>
  <c r="Y686" i="1"/>
  <c r="Z686" i="1"/>
  <c r="AA686" i="1"/>
  <c r="AB686" i="1"/>
  <c r="AC686" i="1"/>
  <c r="AD686" i="1"/>
  <c r="AE686" i="1"/>
  <c r="V687" i="1"/>
  <c r="W687" i="1"/>
  <c r="X687" i="1"/>
  <c r="Y687" i="1"/>
  <c r="Z687" i="1"/>
  <c r="AA687" i="1"/>
  <c r="AB687" i="1"/>
  <c r="AC687" i="1"/>
  <c r="AD687" i="1"/>
  <c r="AE687" i="1"/>
  <c r="V688" i="1"/>
  <c r="W688" i="1"/>
  <c r="X688" i="1"/>
  <c r="Y688" i="1"/>
  <c r="Z688" i="1"/>
  <c r="AA688" i="1"/>
  <c r="AB688" i="1"/>
  <c r="AC688" i="1"/>
  <c r="AD688" i="1"/>
  <c r="AE688" i="1"/>
  <c r="V689" i="1"/>
  <c r="W689" i="1"/>
  <c r="X689" i="1"/>
  <c r="Y689" i="1"/>
  <c r="Z689" i="1"/>
  <c r="AA689" i="1"/>
  <c r="AB689" i="1"/>
  <c r="AC689" i="1"/>
  <c r="AD689" i="1"/>
  <c r="AE689" i="1"/>
  <c r="V690" i="1"/>
  <c r="W690" i="1"/>
  <c r="X690" i="1"/>
  <c r="Y690" i="1"/>
  <c r="Z690" i="1"/>
  <c r="AA690" i="1"/>
  <c r="AB690" i="1"/>
  <c r="AC690" i="1"/>
  <c r="AD690" i="1"/>
  <c r="AE690" i="1"/>
  <c r="V691" i="1"/>
  <c r="W691" i="1"/>
  <c r="X691" i="1"/>
  <c r="Y691" i="1"/>
  <c r="Z691" i="1"/>
  <c r="AA691" i="1"/>
  <c r="AB691" i="1"/>
  <c r="AC691" i="1"/>
  <c r="AD691" i="1"/>
  <c r="AE691" i="1"/>
  <c r="V692" i="1"/>
  <c r="W692" i="1"/>
  <c r="X692" i="1"/>
  <c r="Y692" i="1"/>
  <c r="Z692" i="1"/>
  <c r="AA692" i="1"/>
  <c r="AB692" i="1"/>
  <c r="AC692" i="1"/>
  <c r="AD692" i="1"/>
  <c r="AE692" i="1"/>
  <c r="V693" i="1"/>
  <c r="W693" i="1"/>
  <c r="X693" i="1"/>
  <c r="Y693" i="1"/>
  <c r="Z693" i="1"/>
  <c r="AA693" i="1"/>
  <c r="AB693" i="1"/>
  <c r="AC693" i="1"/>
  <c r="AD693" i="1"/>
  <c r="AE693" i="1"/>
  <c r="V694" i="1"/>
  <c r="W694" i="1"/>
  <c r="X694" i="1"/>
  <c r="Y694" i="1"/>
  <c r="Z694" i="1"/>
  <c r="AA694" i="1"/>
  <c r="AB694" i="1"/>
  <c r="AC694" i="1"/>
  <c r="AD694" i="1"/>
  <c r="AE694" i="1"/>
  <c r="V695" i="1"/>
  <c r="W695" i="1"/>
  <c r="X695" i="1"/>
  <c r="Y695" i="1"/>
  <c r="Z695" i="1"/>
  <c r="AA695" i="1"/>
  <c r="AB695" i="1"/>
  <c r="AC695" i="1"/>
  <c r="AD695" i="1"/>
  <c r="AE695" i="1"/>
  <c r="V696" i="1"/>
  <c r="W696" i="1"/>
  <c r="X696" i="1"/>
  <c r="Y696" i="1"/>
  <c r="Z696" i="1"/>
  <c r="AA696" i="1"/>
  <c r="AB696" i="1"/>
  <c r="AC696" i="1"/>
  <c r="AD696" i="1"/>
  <c r="AE696" i="1"/>
  <c r="V697" i="1"/>
  <c r="W697" i="1"/>
  <c r="X697" i="1"/>
  <c r="Y697" i="1"/>
  <c r="Z697" i="1"/>
  <c r="AA697" i="1"/>
  <c r="AB697" i="1"/>
  <c r="AC697" i="1"/>
  <c r="AD697" i="1"/>
  <c r="AE697" i="1"/>
  <c r="V698" i="1"/>
  <c r="W698" i="1"/>
  <c r="X698" i="1"/>
  <c r="Y698" i="1"/>
  <c r="Z698" i="1"/>
  <c r="AA698" i="1"/>
  <c r="AB698" i="1"/>
  <c r="AC698" i="1"/>
  <c r="AD698" i="1"/>
  <c r="AE698" i="1"/>
  <c r="V699" i="1"/>
  <c r="W699" i="1"/>
  <c r="X699" i="1"/>
  <c r="Y699" i="1"/>
  <c r="Z699" i="1"/>
  <c r="AA699" i="1"/>
  <c r="AB699" i="1"/>
  <c r="AC699" i="1"/>
  <c r="AD699" i="1"/>
  <c r="AE699" i="1"/>
  <c r="V700" i="1"/>
  <c r="W700" i="1"/>
  <c r="X700" i="1"/>
  <c r="Y700" i="1"/>
  <c r="Z700" i="1"/>
  <c r="AA700" i="1"/>
  <c r="AB700" i="1"/>
  <c r="AC700" i="1"/>
  <c r="AD700" i="1"/>
  <c r="AE700" i="1"/>
  <c r="V701" i="1"/>
  <c r="W701" i="1"/>
  <c r="X701" i="1"/>
  <c r="Y701" i="1"/>
  <c r="Z701" i="1"/>
  <c r="AA701" i="1"/>
  <c r="AB701" i="1"/>
  <c r="AC701" i="1"/>
  <c r="AD701" i="1"/>
  <c r="AE701" i="1"/>
  <c r="V702" i="1"/>
  <c r="W702" i="1"/>
  <c r="X702" i="1"/>
  <c r="Y702" i="1"/>
  <c r="Z702" i="1"/>
  <c r="AA702" i="1"/>
  <c r="AB702" i="1"/>
  <c r="AC702" i="1"/>
  <c r="AD702" i="1"/>
  <c r="AE702" i="1"/>
  <c r="V703" i="1"/>
  <c r="W703" i="1"/>
  <c r="X703" i="1"/>
  <c r="Y703" i="1"/>
  <c r="Z703" i="1"/>
  <c r="AA703" i="1"/>
  <c r="AB703" i="1"/>
  <c r="AC703" i="1"/>
  <c r="AD703" i="1"/>
  <c r="AE703" i="1"/>
  <c r="V704" i="1"/>
  <c r="W704" i="1"/>
  <c r="X704" i="1"/>
  <c r="Y704" i="1"/>
  <c r="Z704" i="1"/>
  <c r="AA704" i="1"/>
  <c r="AB704" i="1"/>
  <c r="AC704" i="1"/>
  <c r="AD704" i="1"/>
  <c r="AE704" i="1"/>
  <c r="V705" i="1"/>
  <c r="W705" i="1"/>
  <c r="X705" i="1"/>
  <c r="Y705" i="1"/>
  <c r="Z705" i="1"/>
  <c r="AA705" i="1"/>
  <c r="AB705" i="1"/>
  <c r="AC705" i="1"/>
  <c r="AD705" i="1"/>
  <c r="AE705" i="1"/>
  <c r="V706" i="1"/>
  <c r="W706" i="1"/>
  <c r="X706" i="1"/>
  <c r="Y706" i="1"/>
  <c r="Z706" i="1"/>
  <c r="AA706" i="1"/>
  <c r="AB706" i="1"/>
  <c r="AC706" i="1"/>
  <c r="AD706" i="1"/>
  <c r="AE706" i="1"/>
  <c r="V707" i="1"/>
  <c r="W707" i="1"/>
  <c r="X707" i="1"/>
  <c r="Y707" i="1"/>
  <c r="Z707" i="1"/>
  <c r="AA707" i="1"/>
  <c r="AB707" i="1"/>
  <c r="AC707" i="1"/>
  <c r="AD707" i="1"/>
  <c r="AE707" i="1"/>
  <c r="V708" i="1"/>
  <c r="W708" i="1"/>
  <c r="X708" i="1"/>
  <c r="Y708" i="1"/>
  <c r="Z708" i="1"/>
  <c r="AA708" i="1"/>
  <c r="AB708" i="1"/>
  <c r="AC708" i="1"/>
  <c r="AD708" i="1"/>
  <c r="AE708" i="1"/>
  <c r="V709" i="1"/>
  <c r="W709" i="1"/>
  <c r="X709" i="1"/>
  <c r="Y709" i="1"/>
  <c r="Z709" i="1"/>
  <c r="AA709" i="1"/>
  <c r="AB709" i="1"/>
  <c r="AC709" i="1"/>
  <c r="AD709" i="1"/>
  <c r="AE709" i="1"/>
  <c r="V710" i="1"/>
  <c r="W710" i="1"/>
  <c r="X710" i="1"/>
  <c r="Y710" i="1"/>
  <c r="Z710" i="1"/>
  <c r="AA710" i="1"/>
  <c r="AB710" i="1"/>
  <c r="AC710" i="1"/>
  <c r="AD710" i="1"/>
  <c r="AE710" i="1"/>
  <c r="V711" i="1"/>
  <c r="W711" i="1"/>
  <c r="X711" i="1"/>
  <c r="Y711" i="1"/>
  <c r="Z711" i="1"/>
  <c r="AA711" i="1"/>
  <c r="AB711" i="1"/>
  <c r="AC711" i="1"/>
  <c r="AD711" i="1"/>
  <c r="AE711" i="1"/>
  <c r="V712" i="1"/>
  <c r="W712" i="1"/>
  <c r="X712" i="1"/>
  <c r="Y712" i="1"/>
  <c r="Z712" i="1"/>
  <c r="AA712" i="1"/>
  <c r="AB712" i="1"/>
  <c r="AC712" i="1"/>
  <c r="AD712" i="1"/>
  <c r="AE712" i="1"/>
  <c r="V713" i="1"/>
  <c r="W713" i="1"/>
  <c r="X713" i="1"/>
  <c r="Y713" i="1"/>
  <c r="Z713" i="1"/>
  <c r="AA713" i="1"/>
  <c r="AB713" i="1"/>
  <c r="AC713" i="1"/>
  <c r="AD713" i="1"/>
  <c r="AE713" i="1"/>
  <c r="V714" i="1"/>
  <c r="W714" i="1"/>
  <c r="X714" i="1"/>
  <c r="Y714" i="1"/>
  <c r="Z714" i="1"/>
  <c r="AA714" i="1"/>
  <c r="AB714" i="1"/>
  <c r="AC714" i="1"/>
  <c r="AD714" i="1"/>
  <c r="AE714" i="1"/>
  <c r="V715" i="1"/>
  <c r="W715" i="1"/>
  <c r="X715" i="1"/>
  <c r="Y715" i="1"/>
  <c r="Z715" i="1"/>
  <c r="AA715" i="1"/>
  <c r="AB715" i="1"/>
  <c r="AC715" i="1"/>
  <c r="AD715" i="1"/>
  <c r="AE715" i="1"/>
  <c r="V716" i="1"/>
  <c r="W716" i="1"/>
  <c r="X716" i="1"/>
  <c r="Y716" i="1"/>
  <c r="Z716" i="1"/>
  <c r="AA716" i="1"/>
  <c r="AB716" i="1"/>
  <c r="AC716" i="1"/>
  <c r="AD716" i="1"/>
  <c r="AE716" i="1"/>
  <c r="V717" i="1"/>
  <c r="W717" i="1"/>
  <c r="X717" i="1"/>
  <c r="Y717" i="1"/>
  <c r="Z717" i="1"/>
  <c r="AA717" i="1"/>
  <c r="AB717" i="1"/>
  <c r="AC717" i="1"/>
  <c r="AD717" i="1"/>
  <c r="AE717" i="1"/>
  <c r="V718" i="1"/>
  <c r="W718" i="1"/>
  <c r="X718" i="1"/>
  <c r="Y718" i="1"/>
  <c r="Z718" i="1"/>
  <c r="AA718" i="1"/>
  <c r="AB718" i="1"/>
  <c r="AC718" i="1"/>
  <c r="AD718" i="1"/>
  <c r="AE718" i="1"/>
  <c r="V719" i="1"/>
  <c r="W719" i="1"/>
  <c r="X719" i="1"/>
  <c r="Y719" i="1"/>
  <c r="Z719" i="1"/>
  <c r="AA719" i="1"/>
  <c r="AB719" i="1"/>
  <c r="AC719" i="1"/>
  <c r="AD719" i="1"/>
  <c r="AE719" i="1"/>
  <c r="V720" i="1"/>
  <c r="W720" i="1"/>
  <c r="X720" i="1"/>
  <c r="Y720" i="1"/>
  <c r="Z720" i="1"/>
  <c r="AA720" i="1"/>
  <c r="AB720" i="1"/>
  <c r="AC720" i="1"/>
  <c r="AD720" i="1"/>
  <c r="AE720" i="1"/>
  <c r="V721" i="1"/>
  <c r="W721" i="1"/>
  <c r="X721" i="1"/>
  <c r="Y721" i="1"/>
  <c r="Z721" i="1"/>
  <c r="AA721" i="1"/>
  <c r="AB721" i="1"/>
  <c r="AC721" i="1"/>
  <c r="AD721" i="1"/>
  <c r="AE721" i="1"/>
  <c r="V722" i="1"/>
  <c r="W722" i="1"/>
  <c r="X722" i="1"/>
  <c r="Y722" i="1"/>
  <c r="Z722" i="1"/>
  <c r="AA722" i="1"/>
  <c r="AB722" i="1"/>
  <c r="AC722" i="1"/>
  <c r="AD722" i="1"/>
  <c r="AE722" i="1"/>
  <c r="V723" i="1"/>
  <c r="W723" i="1"/>
  <c r="X723" i="1"/>
  <c r="Y723" i="1"/>
  <c r="Z723" i="1"/>
  <c r="AA723" i="1"/>
  <c r="AB723" i="1"/>
  <c r="AC723" i="1"/>
  <c r="AD723" i="1"/>
  <c r="AE723" i="1"/>
  <c r="V724" i="1"/>
  <c r="W724" i="1"/>
  <c r="X724" i="1"/>
  <c r="Y724" i="1"/>
  <c r="Z724" i="1"/>
  <c r="AA724" i="1"/>
  <c r="AB724" i="1"/>
  <c r="AC724" i="1"/>
  <c r="AD724" i="1"/>
  <c r="AE724" i="1"/>
  <c r="V725" i="1"/>
  <c r="W725" i="1"/>
  <c r="X725" i="1"/>
  <c r="Y725" i="1"/>
  <c r="Z725" i="1"/>
  <c r="AA725" i="1"/>
  <c r="AB725" i="1"/>
  <c r="AC725" i="1"/>
  <c r="AD725" i="1"/>
  <c r="AE725" i="1"/>
  <c r="V726" i="1"/>
  <c r="W726" i="1"/>
  <c r="X726" i="1"/>
  <c r="Y726" i="1"/>
  <c r="Z726" i="1"/>
  <c r="AA726" i="1"/>
  <c r="AB726" i="1"/>
  <c r="AC726" i="1"/>
  <c r="AD726" i="1"/>
  <c r="AE726" i="1"/>
  <c r="V727" i="1"/>
  <c r="W727" i="1"/>
  <c r="X727" i="1"/>
  <c r="Y727" i="1"/>
  <c r="Z727" i="1"/>
  <c r="AA727" i="1"/>
  <c r="AB727" i="1"/>
  <c r="AC727" i="1"/>
  <c r="AD727" i="1"/>
  <c r="AE727" i="1"/>
  <c r="V728" i="1"/>
  <c r="W728" i="1"/>
  <c r="X728" i="1"/>
  <c r="Y728" i="1"/>
  <c r="Z728" i="1"/>
  <c r="AA728" i="1"/>
  <c r="AB728" i="1"/>
  <c r="AC728" i="1"/>
  <c r="AD728" i="1"/>
  <c r="AE728" i="1"/>
  <c r="V729" i="1"/>
  <c r="W729" i="1"/>
  <c r="X729" i="1"/>
  <c r="Y729" i="1"/>
  <c r="Z729" i="1"/>
  <c r="AA729" i="1"/>
  <c r="AB729" i="1"/>
  <c r="AC729" i="1"/>
  <c r="AD729" i="1"/>
  <c r="AE729" i="1"/>
  <c r="V730" i="1"/>
  <c r="W730" i="1"/>
  <c r="X730" i="1"/>
  <c r="Y730" i="1"/>
  <c r="Z730" i="1"/>
  <c r="AA730" i="1"/>
  <c r="AB730" i="1"/>
  <c r="AC730" i="1"/>
  <c r="AD730" i="1"/>
  <c r="AE730" i="1"/>
  <c r="V731" i="1"/>
  <c r="W731" i="1"/>
  <c r="X731" i="1"/>
  <c r="Y731" i="1"/>
  <c r="Z731" i="1"/>
  <c r="AA731" i="1"/>
  <c r="AB731" i="1"/>
  <c r="AC731" i="1"/>
  <c r="AD731" i="1"/>
  <c r="AE731" i="1"/>
  <c r="V732" i="1"/>
  <c r="W732" i="1"/>
  <c r="X732" i="1"/>
  <c r="Y732" i="1"/>
  <c r="Z732" i="1"/>
  <c r="AA732" i="1"/>
  <c r="AB732" i="1"/>
  <c r="AC732" i="1"/>
  <c r="AD732" i="1"/>
  <c r="AE732" i="1"/>
  <c r="V733" i="1"/>
  <c r="W733" i="1"/>
  <c r="X733" i="1"/>
  <c r="Y733" i="1"/>
  <c r="Z733" i="1"/>
  <c r="AA733" i="1"/>
  <c r="AB733" i="1"/>
  <c r="AC733" i="1"/>
  <c r="AD733" i="1"/>
  <c r="AE733" i="1"/>
  <c r="V734" i="1"/>
  <c r="W734" i="1"/>
  <c r="X734" i="1"/>
  <c r="Y734" i="1"/>
  <c r="Z734" i="1"/>
  <c r="AA734" i="1"/>
  <c r="AB734" i="1"/>
  <c r="AC734" i="1"/>
  <c r="AD734" i="1"/>
  <c r="AE734" i="1"/>
  <c r="V735" i="1"/>
  <c r="W735" i="1"/>
  <c r="X735" i="1"/>
  <c r="Y735" i="1"/>
  <c r="Z735" i="1"/>
  <c r="AA735" i="1"/>
  <c r="AB735" i="1"/>
  <c r="AC735" i="1"/>
  <c r="AD735" i="1"/>
  <c r="AE735" i="1"/>
  <c r="V736" i="1"/>
  <c r="W736" i="1"/>
  <c r="X736" i="1"/>
  <c r="Y736" i="1"/>
  <c r="Z736" i="1"/>
  <c r="AA736" i="1"/>
  <c r="AB736" i="1"/>
  <c r="AC736" i="1"/>
  <c r="AD736" i="1"/>
  <c r="AE736" i="1"/>
  <c r="V737" i="1"/>
  <c r="W737" i="1"/>
  <c r="X737" i="1"/>
  <c r="Y737" i="1"/>
  <c r="Z737" i="1"/>
  <c r="AA737" i="1"/>
  <c r="AB737" i="1"/>
  <c r="AC737" i="1"/>
  <c r="AD737" i="1"/>
  <c r="AE737" i="1"/>
  <c r="V738" i="1"/>
  <c r="W738" i="1"/>
  <c r="X738" i="1"/>
  <c r="Y738" i="1"/>
  <c r="Z738" i="1"/>
  <c r="AA738" i="1"/>
  <c r="AB738" i="1"/>
  <c r="AC738" i="1"/>
  <c r="AD738" i="1"/>
  <c r="AE738" i="1"/>
  <c r="V739" i="1"/>
  <c r="W739" i="1"/>
  <c r="X739" i="1"/>
  <c r="Y739" i="1"/>
  <c r="Z739" i="1"/>
  <c r="AA739" i="1"/>
  <c r="AB739" i="1"/>
  <c r="AC739" i="1"/>
  <c r="AD739" i="1"/>
  <c r="AE739" i="1"/>
  <c r="V740" i="1"/>
  <c r="W740" i="1"/>
  <c r="X740" i="1"/>
  <c r="Y740" i="1"/>
  <c r="Z740" i="1"/>
  <c r="AA740" i="1"/>
  <c r="AB740" i="1"/>
  <c r="AC740" i="1"/>
  <c r="AD740" i="1"/>
  <c r="AE740" i="1"/>
  <c r="V741" i="1"/>
  <c r="W741" i="1"/>
  <c r="X741" i="1"/>
  <c r="Y741" i="1"/>
  <c r="Z741" i="1"/>
  <c r="AA741" i="1"/>
  <c r="AB741" i="1"/>
  <c r="AC741" i="1"/>
  <c r="AD741" i="1"/>
  <c r="AE741" i="1"/>
  <c r="V742" i="1"/>
  <c r="W742" i="1"/>
  <c r="X742" i="1"/>
  <c r="Y742" i="1"/>
  <c r="Z742" i="1"/>
  <c r="AA742" i="1"/>
  <c r="AB742" i="1"/>
  <c r="AC742" i="1"/>
  <c r="AD742" i="1"/>
  <c r="AE742" i="1"/>
  <c r="V743" i="1"/>
  <c r="W743" i="1"/>
  <c r="X743" i="1"/>
  <c r="Y743" i="1"/>
  <c r="Z743" i="1"/>
  <c r="AA743" i="1"/>
  <c r="AB743" i="1"/>
  <c r="AC743" i="1"/>
  <c r="AD743" i="1"/>
  <c r="AE743" i="1"/>
  <c r="V744" i="1"/>
  <c r="W744" i="1"/>
  <c r="X744" i="1"/>
  <c r="Y744" i="1"/>
  <c r="Z744" i="1"/>
  <c r="AA744" i="1"/>
  <c r="AB744" i="1"/>
  <c r="AC744" i="1"/>
  <c r="AD744" i="1"/>
  <c r="AE744" i="1"/>
  <c r="V745" i="1"/>
  <c r="W745" i="1"/>
  <c r="X745" i="1"/>
  <c r="Y745" i="1"/>
  <c r="Z745" i="1"/>
  <c r="AA745" i="1"/>
  <c r="AB745" i="1"/>
  <c r="AC745" i="1"/>
  <c r="AD745" i="1"/>
  <c r="AE745" i="1"/>
  <c r="V746" i="1"/>
  <c r="W746" i="1"/>
  <c r="X746" i="1"/>
  <c r="Y746" i="1"/>
  <c r="Z746" i="1"/>
  <c r="AA746" i="1"/>
  <c r="AB746" i="1"/>
  <c r="AC746" i="1"/>
  <c r="AD746" i="1"/>
  <c r="AE746" i="1"/>
  <c r="V747" i="1"/>
  <c r="W747" i="1"/>
  <c r="X747" i="1"/>
  <c r="Y747" i="1"/>
  <c r="Z747" i="1"/>
  <c r="AA747" i="1"/>
  <c r="AB747" i="1"/>
  <c r="AC747" i="1"/>
  <c r="AD747" i="1"/>
  <c r="AE747" i="1"/>
  <c r="V748" i="1"/>
  <c r="W748" i="1"/>
  <c r="X748" i="1"/>
  <c r="Y748" i="1"/>
  <c r="Z748" i="1"/>
  <c r="AA748" i="1"/>
  <c r="AB748" i="1"/>
  <c r="AC748" i="1"/>
  <c r="AD748" i="1"/>
  <c r="AE748" i="1"/>
  <c r="V749" i="1"/>
  <c r="W749" i="1"/>
  <c r="X749" i="1"/>
  <c r="Y749" i="1"/>
  <c r="Z749" i="1"/>
  <c r="AA749" i="1"/>
  <c r="AB749" i="1"/>
  <c r="AC749" i="1"/>
  <c r="AD749" i="1"/>
  <c r="AE749" i="1"/>
  <c r="V750" i="1"/>
  <c r="W750" i="1"/>
  <c r="X750" i="1"/>
  <c r="Y750" i="1"/>
  <c r="Z750" i="1"/>
  <c r="AA750" i="1"/>
  <c r="AB750" i="1"/>
  <c r="AC750" i="1"/>
  <c r="AD750" i="1"/>
  <c r="AE750" i="1"/>
  <c r="V751" i="1"/>
  <c r="W751" i="1"/>
  <c r="X751" i="1"/>
  <c r="Y751" i="1"/>
  <c r="Z751" i="1"/>
  <c r="AA751" i="1"/>
  <c r="AB751" i="1"/>
  <c r="AC751" i="1"/>
  <c r="AD751" i="1"/>
  <c r="AE751" i="1"/>
  <c r="V752" i="1"/>
  <c r="W752" i="1"/>
  <c r="X752" i="1"/>
  <c r="Y752" i="1"/>
  <c r="Z752" i="1"/>
  <c r="AA752" i="1"/>
  <c r="AB752" i="1"/>
  <c r="AC752" i="1"/>
  <c r="AD752" i="1"/>
  <c r="AE752" i="1"/>
  <c r="V753" i="1"/>
  <c r="W753" i="1"/>
  <c r="X753" i="1"/>
  <c r="Y753" i="1"/>
  <c r="Z753" i="1"/>
  <c r="AA753" i="1"/>
  <c r="AB753" i="1"/>
  <c r="AC753" i="1"/>
  <c r="AD753" i="1"/>
  <c r="AE753" i="1"/>
  <c r="V754" i="1"/>
  <c r="W754" i="1"/>
  <c r="X754" i="1"/>
  <c r="Y754" i="1"/>
  <c r="Z754" i="1"/>
  <c r="AA754" i="1"/>
  <c r="AB754" i="1"/>
  <c r="AC754" i="1"/>
  <c r="AD754" i="1"/>
  <c r="AE754" i="1"/>
  <c r="V755" i="1"/>
  <c r="W755" i="1"/>
  <c r="X755" i="1"/>
  <c r="Y755" i="1"/>
  <c r="Z755" i="1"/>
  <c r="AA755" i="1"/>
  <c r="AB755" i="1"/>
  <c r="AC755" i="1"/>
  <c r="AD755" i="1"/>
  <c r="AE755" i="1"/>
  <c r="V756" i="1"/>
  <c r="W756" i="1"/>
  <c r="X756" i="1"/>
  <c r="Y756" i="1"/>
  <c r="Z756" i="1"/>
  <c r="AA756" i="1"/>
  <c r="AB756" i="1"/>
  <c r="AC756" i="1"/>
  <c r="AD756" i="1"/>
  <c r="AE756" i="1"/>
  <c r="V757" i="1"/>
  <c r="W757" i="1"/>
  <c r="X757" i="1"/>
  <c r="Y757" i="1"/>
  <c r="Z757" i="1"/>
  <c r="AA757" i="1"/>
  <c r="AB757" i="1"/>
  <c r="AC757" i="1"/>
  <c r="AD757" i="1"/>
  <c r="AE757" i="1"/>
  <c r="V758" i="1"/>
  <c r="W758" i="1"/>
  <c r="X758" i="1"/>
  <c r="Y758" i="1"/>
  <c r="Z758" i="1"/>
  <c r="AA758" i="1"/>
  <c r="AB758" i="1"/>
  <c r="AC758" i="1"/>
  <c r="AD758" i="1"/>
  <c r="AE758" i="1"/>
  <c r="V759" i="1"/>
  <c r="W759" i="1"/>
  <c r="X759" i="1"/>
  <c r="Y759" i="1"/>
  <c r="Z759" i="1"/>
  <c r="AA759" i="1"/>
  <c r="AB759" i="1"/>
  <c r="AC759" i="1"/>
  <c r="AD759" i="1"/>
  <c r="AE759" i="1"/>
  <c r="V760" i="1"/>
  <c r="W760" i="1"/>
  <c r="X760" i="1"/>
  <c r="Y760" i="1"/>
  <c r="Z760" i="1"/>
  <c r="AA760" i="1"/>
  <c r="AB760" i="1"/>
  <c r="AC760" i="1"/>
  <c r="AD760" i="1"/>
  <c r="AE760" i="1"/>
  <c r="V761" i="1"/>
  <c r="W761" i="1"/>
  <c r="X761" i="1"/>
  <c r="Y761" i="1"/>
  <c r="Z761" i="1"/>
  <c r="AA761" i="1"/>
  <c r="AB761" i="1"/>
  <c r="AC761" i="1"/>
  <c r="AD761" i="1"/>
  <c r="AE761" i="1"/>
  <c r="V762" i="1"/>
  <c r="W762" i="1"/>
  <c r="X762" i="1"/>
  <c r="Y762" i="1"/>
  <c r="Z762" i="1"/>
  <c r="AA762" i="1"/>
  <c r="AB762" i="1"/>
  <c r="AC762" i="1"/>
  <c r="AD762" i="1"/>
  <c r="AE762" i="1"/>
  <c r="V763" i="1"/>
  <c r="W763" i="1"/>
  <c r="X763" i="1"/>
  <c r="Y763" i="1"/>
  <c r="Z763" i="1"/>
  <c r="AA763" i="1"/>
  <c r="AB763" i="1"/>
  <c r="AC763" i="1"/>
  <c r="AD763" i="1"/>
  <c r="AE763" i="1"/>
  <c r="V764" i="1"/>
  <c r="W764" i="1"/>
  <c r="X764" i="1"/>
  <c r="Y764" i="1"/>
  <c r="Z764" i="1"/>
  <c r="AA764" i="1"/>
  <c r="AB764" i="1"/>
  <c r="AC764" i="1"/>
  <c r="AD764" i="1"/>
  <c r="AE764" i="1"/>
  <c r="V765" i="1"/>
  <c r="W765" i="1"/>
  <c r="X765" i="1"/>
  <c r="Y765" i="1"/>
  <c r="Z765" i="1"/>
  <c r="AA765" i="1"/>
  <c r="AB765" i="1"/>
  <c r="AC765" i="1"/>
  <c r="AD765" i="1"/>
  <c r="AE765" i="1"/>
  <c r="V766" i="1"/>
  <c r="W766" i="1"/>
  <c r="X766" i="1"/>
  <c r="Y766" i="1"/>
  <c r="Z766" i="1"/>
  <c r="AA766" i="1"/>
  <c r="AB766" i="1"/>
  <c r="AC766" i="1"/>
  <c r="AD766" i="1"/>
  <c r="AE766" i="1"/>
  <c r="V767" i="1"/>
  <c r="W767" i="1"/>
  <c r="X767" i="1"/>
  <c r="Y767" i="1"/>
  <c r="Z767" i="1"/>
  <c r="AA767" i="1"/>
  <c r="AB767" i="1"/>
  <c r="AC767" i="1"/>
  <c r="AD767" i="1"/>
  <c r="AE767" i="1"/>
  <c r="V768" i="1"/>
  <c r="W768" i="1"/>
  <c r="X768" i="1"/>
  <c r="Y768" i="1"/>
  <c r="Z768" i="1"/>
  <c r="AA768" i="1"/>
  <c r="AB768" i="1"/>
  <c r="AC768" i="1"/>
  <c r="AD768" i="1"/>
  <c r="AE768" i="1"/>
  <c r="V769" i="1"/>
  <c r="W769" i="1"/>
  <c r="X769" i="1"/>
  <c r="Y769" i="1"/>
  <c r="Z769" i="1"/>
  <c r="AA769" i="1"/>
  <c r="AB769" i="1"/>
  <c r="AC769" i="1"/>
  <c r="AD769" i="1"/>
  <c r="AE769" i="1"/>
  <c r="V770" i="1"/>
  <c r="W770" i="1"/>
  <c r="X770" i="1"/>
  <c r="Y770" i="1"/>
  <c r="Z770" i="1"/>
  <c r="AA770" i="1"/>
  <c r="AB770" i="1"/>
  <c r="AC770" i="1"/>
  <c r="AD770" i="1"/>
  <c r="AE770" i="1"/>
  <c r="V771" i="1"/>
  <c r="W771" i="1"/>
  <c r="X771" i="1"/>
  <c r="Y771" i="1"/>
  <c r="Z771" i="1"/>
  <c r="AA771" i="1"/>
  <c r="AB771" i="1"/>
  <c r="AC771" i="1"/>
  <c r="AD771" i="1"/>
  <c r="AE771" i="1"/>
  <c r="V772" i="1"/>
  <c r="W772" i="1"/>
  <c r="X772" i="1"/>
  <c r="Y772" i="1"/>
  <c r="Z772" i="1"/>
  <c r="AA772" i="1"/>
  <c r="AB772" i="1"/>
  <c r="AC772" i="1"/>
  <c r="AD772" i="1"/>
  <c r="AE772" i="1"/>
  <c r="V773" i="1"/>
  <c r="W773" i="1"/>
  <c r="X773" i="1"/>
  <c r="Y773" i="1"/>
  <c r="Z773" i="1"/>
  <c r="AA773" i="1"/>
  <c r="AB773" i="1"/>
  <c r="AC773" i="1"/>
  <c r="AD773" i="1"/>
  <c r="AE773" i="1"/>
  <c r="V774" i="1"/>
  <c r="W774" i="1"/>
  <c r="X774" i="1"/>
  <c r="Y774" i="1"/>
  <c r="Z774" i="1"/>
  <c r="AA774" i="1"/>
  <c r="AB774" i="1"/>
  <c r="AC774" i="1"/>
  <c r="AD774" i="1"/>
  <c r="AE774" i="1"/>
  <c r="V775" i="1"/>
  <c r="W775" i="1"/>
  <c r="X775" i="1"/>
  <c r="Y775" i="1"/>
  <c r="Z775" i="1"/>
  <c r="AA775" i="1"/>
  <c r="AB775" i="1"/>
  <c r="AC775" i="1"/>
  <c r="AD775" i="1"/>
  <c r="AE775" i="1"/>
  <c r="V776" i="1"/>
  <c r="W776" i="1"/>
  <c r="X776" i="1"/>
  <c r="Y776" i="1"/>
  <c r="Z776" i="1"/>
  <c r="AA776" i="1"/>
  <c r="AB776" i="1"/>
  <c r="AC776" i="1"/>
  <c r="AD776" i="1"/>
  <c r="AE776" i="1"/>
  <c r="V777" i="1"/>
  <c r="W777" i="1"/>
  <c r="X777" i="1"/>
  <c r="Y777" i="1"/>
  <c r="Z777" i="1"/>
  <c r="AA777" i="1"/>
  <c r="AB777" i="1"/>
  <c r="AC777" i="1"/>
  <c r="AD777" i="1"/>
  <c r="AE777" i="1"/>
  <c r="V778" i="1"/>
  <c r="W778" i="1"/>
  <c r="X778" i="1"/>
  <c r="Y778" i="1"/>
  <c r="Z778" i="1"/>
  <c r="AA778" i="1"/>
  <c r="AB778" i="1"/>
  <c r="AC778" i="1"/>
  <c r="AD778" i="1"/>
  <c r="AE778" i="1"/>
  <c r="V779" i="1"/>
  <c r="W779" i="1"/>
  <c r="X779" i="1"/>
  <c r="Y779" i="1"/>
  <c r="Z779" i="1"/>
  <c r="AA779" i="1"/>
  <c r="AB779" i="1"/>
  <c r="AC779" i="1"/>
  <c r="AD779" i="1"/>
  <c r="AE779" i="1"/>
  <c r="V780" i="1"/>
  <c r="W780" i="1"/>
  <c r="X780" i="1"/>
  <c r="Y780" i="1"/>
  <c r="Z780" i="1"/>
  <c r="AA780" i="1"/>
  <c r="AB780" i="1"/>
  <c r="AC780" i="1"/>
  <c r="AD780" i="1"/>
  <c r="AE780" i="1"/>
  <c r="V781" i="1"/>
  <c r="W781" i="1"/>
  <c r="X781" i="1"/>
  <c r="Y781" i="1"/>
  <c r="Z781" i="1"/>
  <c r="AA781" i="1"/>
  <c r="AB781" i="1"/>
  <c r="AC781" i="1"/>
  <c r="AD781" i="1"/>
  <c r="AE781" i="1"/>
  <c r="V782" i="1"/>
  <c r="W782" i="1"/>
  <c r="X782" i="1"/>
  <c r="Y782" i="1"/>
  <c r="Z782" i="1"/>
  <c r="AA782" i="1"/>
  <c r="AB782" i="1"/>
  <c r="AC782" i="1"/>
  <c r="AD782" i="1"/>
  <c r="AE782" i="1"/>
  <c r="V783" i="1"/>
  <c r="W783" i="1"/>
  <c r="X783" i="1"/>
  <c r="Y783" i="1"/>
  <c r="Z783" i="1"/>
  <c r="AA783" i="1"/>
  <c r="AB783" i="1"/>
  <c r="AC783" i="1"/>
  <c r="AD783" i="1"/>
  <c r="AE783" i="1"/>
  <c r="V784" i="1"/>
  <c r="W784" i="1"/>
  <c r="X784" i="1"/>
  <c r="Y784" i="1"/>
  <c r="Z784" i="1"/>
  <c r="AA784" i="1"/>
  <c r="AB784" i="1"/>
  <c r="AC784" i="1"/>
  <c r="AD784" i="1"/>
  <c r="AE784" i="1"/>
  <c r="V785" i="1"/>
  <c r="W785" i="1"/>
  <c r="X785" i="1"/>
  <c r="Y785" i="1"/>
  <c r="Z785" i="1"/>
  <c r="AA785" i="1"/>
  <c r="AB785" i="1"/>
  <c r="AC785" i="1"/>
  <c r="AD785" i="1"/>
  <c r="AE785" i="1"/>
  <c r="V786" i="1"/>
  <c r="W786" i="1"/>
  <c r="X786" i="1"/>
  <c r="Y786" i="1"/>
  <c r="Z786" i="1"/>
  <c r="AA786" i="1"/>
  <c r="AB786" i="1"/>
  <c r="AC786" i="1"/>
  <c r="AD786" i="1"/>
  <c r="AE786" i="1"/>
  <c r="V787" i="1"/>
  <c r="W787" i="1"/>
  <c r="X787" i="1"/>
  <c r="Y787" i="1"/>
  <c r="Z787" i="1"/>
  <c r="AA787" i="1"/>
  <c r="AB787" i="1"/>
  <c r="AC787" i="1"/>
  <c r="AD787" i="1"/>
  <c r="AE787" i="1"/>
  <c r="V788" i="1"/>
  <c r="W788" i="1"/>
  <c r="X788" i="1"/>
  <c r="Y788" i="1"/>
  <c r="Z788" i="1"/>
  <c r="AA788" i="1"/>
  <c r="AB788" i="1"/>
  <c r="AC788" i="1"/>
  <c r="AD788" i="1"/>
  <c r="AE788" i="1"/>
  <c r="V789" i="1"/>
  <c r="W789" i="1"/>
  <c r="X789" i="1"/>
  <c r="Y789" i="1"/>
  <c r="Z789" i="1"/>
  <c r="AA789" i="1"/>
  <c r="AB789" i="1"/>
  <c r="AC789" i="1"/>
  <c r="AD789" i="1"/>
  <c r="AE789" i="1"/>
  <c r="V790" i="1"/>
  <c r="W790" i="1"/>
  <c r="X790" i="1"/>
  <c r="Y790" i="1"/>
  <c r="Z790" i="1"/>
  <c r="AA790" i="1"/>
  <c r="AB790" i="1"/>
  <c r="AC790" i="1"/>
  <c r="AD790" i="1"/>
  <c r="AE790" i="1"/>
  <c r="V791" i="1"/>
  <c r="W791" i="1"/>
  <c r="X791" i="1"/>
  <c r="Y791" i="1"/>
  <c r="Z791" i="1"/>
  <c r="AA791" i="1"/>
  <c r="AB791" i="1"/>
  <c r="AC791" i="1"/>
  <c r="AD791" i="1"/>
  <c r="AE791" i="1"/>
  <c r="V792" i="1"/>
  <c r="W792" i="1"/>
  <c r="X792" i="1"/>
  <c r="Y792" i="1"/>
  <c r="Z792" i="1"/>
  <c r="AA792" i="1"/>
  <c r="AB792" i="1"/>
  <c r="AC792" i="1"/>
  <c r="AD792" i="1"/>
  <c r="AE792" i="1"/>
  <c r="V793" i="1"/>
  <c r="W793" i="1"/>
  <c r="X793" i="1"/>
  <c r="Y793" i="1"/>
  <c r="Z793" i="1"/>
  <c r="AA793" i="1"/>
  <c r="AB793" i="1"/>
  <c r="AC793" i="1"/>
  <c r="AD793" i="1"/>
  <c r="AE793" i="1"/>
  <c r="V794" i="1"/>
  <c r="W794" i="1"/>
  <c r="X794" i="1"/>
  <c r="Y794" i="1"/>
  <c r="Z794" i="1"/>
  <c r="AA794" i="1"/>
  <c r="AB794" i="1"/>
  <c r="AC794" i="1"/>
  <c r="AD794" i="1"/>
  <c r="AE794" i="1"/>
  <c r="V795" i="1"/>
  <c r="W795" i="1"/>
  <c r="X795" i="1"/>
  <c r="Y795" i="1"/>
  <c r="Z795" i="1"/>
  <c r="AA795" i="1"/>
  <c r="AB795" i="1"/>
  <c r="AC795" i="1"/>
  <c r="AD795" i="1"/>
  <c r="AE795" i="1"/>
  <c r="V796" i="1"/>
  <c r="W796" i="1"/>
  <c r="X796" i="1"/>
  <c r="Y796" i="1"/>
  <c r="Z796" i="1"/>
  <c r="AA796" i="1"/>
  <c r="AB796" i="1"/>
  <c r="AC796" i="1"/>
  <c r="AD796" i="1"/>
  <c r="AE796" i="1"/>
  <c r="V797" i="1"/>
  <c r="W797" i="1"/>
  <c r="X797" i="1"/>
  <c r="Y797" i="1"/>
  <c r="Z797" i="1"/>
  <c r="AA797" i="1"/>
  <c r="AB797" i="1"/>
  <c r="AC797" i="1"/>
  <c r="AD797" i="1"/>
  <c r="AE797" i="1"/>
  <c r="V798" i="1"/>
  <c r="W798" i="1"/>
  <c r="X798" i="1"/>
  <c r="Y798" i="1"/>
  <c r="Z798" i="1"/>
  <c r="AA798" i="1"/>
  <c r="AB798" i="1"/>
  <c r="AC798" i="1"/>
  <c r="AD798" i="1"/>
  <c r="AE798" i="1"/>
  <c r="V799" i="1"/>
  <c r="W799" i="1"/>
  <c r="X799" i="1"/>
  <c r="Y799" i="1"/>
  <c r="Z799" i="1"/>
  <c r="AA799" i="1"/>
  <c r="AB799" i="1"/>
  <c r="AC799" i="1"/>
  <c r="AD799" i="1"/>
  <c r="AE799" i="1"/>
  <c r="V800" i="1"/>
  <c r="W800" i="1"/>
  <c r="X800" i="1"/>
  <c r="Y800" i="1"/>
  <c r="Z800" i="1"/>
  <c r="AA800" i="1"/>
  <c r="AB800" i="1"/>
  <c r="AC800" i="1"/>
  <c r="AD800" i="1"/>
  <c r="AE800" i="1"/>
  <c r="V801" i="1"/>
  <c r="W801" i="1"/>
  <c r="X801" i="1"/>
  <c r="Y801" i="1"/>
  <c r="Z801" i="1"/>
  <c r="AA801" i="1"/>
  <c r="AB801" i="1"/>
  <c r="AC801" i="1"/>
  <c r="AD801" i="1"/>
  <c r="AE801" i="1"/>
  <c r="V802" i="1"/>
  <c r="W802" i="1"/>
  <c r="X802" i="1"/>
  <c r="Y802" i="1"/>
  <c r="Z802" i="1"/>
  <c r="AA802" i="1"/>
  <c r="AB802" i="1"/>
  <c r="AC802" i="1"/>
  <c r="AD802" i="1"/>
  <c r="AE802" i="1"/>
  <c r="V803" i="1"/>
  <c r="W803" i="1"/>
  <c r="X803" i="1"/>
  <c r="Y803" i="1"/>
  <c r="Z803" i="1"/>
  <c r="AA803" i="1"/>
  <c r="AB803" i="1"/>
  <c r="AC803" i="1"/>
  <c r="AD803" i="1"/>
  <c r="AE803" i="1"/>
  <c r="V804" i="1"/>
  <c r="W804" i="1"/>
  <c r="X804" i="1"/>
  <c r="Y804" i="1"/>
  <c r="Z804" i="1"/>
  <c r="AA804" i="1"/>
  <c r="AB804" i="1"/>
  <c r="AC804" i="1"/>
  <c r="AD804" i="1"/>
  <c r="AE804" i="1"/>
  <c r="V805" i="1"/>
  <c r="W805" i="1"/>
  <c r="X805" i="1"/>
  <c r="Y805" i="1"/>
  <c r="Z805" i="1"/>
  <c r="AA805" i="1"/>
  <c r="AB805" i="1"/>
  <c r="AC805" i="1"/>
  <c r="AD805" i="1"/>
  <c r="AE805" i="1"/>
  <c r="V806" i="1"/>
  <c r="W806" i="1"/>
  <c r="X806" i="1"/>
  <c r="Y806" i="1"/>
  <c r="Z806" i="1"/>
  <c r="AA806" i="1"/>
  <c r="AB806" i="1"/>
  <c r="AC806" i="1"/>
  <c r="AD806" i="1"/>
  <c r="AE806" i="1"/>
  <c r="V807" i="1"/>
  <c r="W807" i="1"/>
  <c r="X807" i="1"/>
  <c r="Y807" i="1"/>
  <c r="Z807" i="1"/>
  <c r="AA807" i="1"/>
  <c r="AB807" i="1"/>
  <c r="AC807" i="1"/>
  <c r="AD807" i="1"/>
  <c r="AE807" i="1"/>
  <c r="V808" i="1"/>
  <c r="W808" i="1"/>
  <c r="X808" i="1"/>
  <c r="Y808" i="1"/>
  <c r="Z808" i="1"/>
  <c r="AA808" i="1"/>
  <c r="AB808" i="1"/>
  <c r="AC808" i="1"/>
  <c r="AD808" i="1"/>
  <c r="AE808" i="1"/>
  <c r="V809" i="1"/>
  <c r="W809" i="1"/>
  <c r="X809" i="1"/>
  <c r="Y809" i="1"/>
  <c r="Z809" i="1"/>
  <c r="AA809" i="1"/>
  <c r="AB809" i="1"/>
  <c r="AC809" i="1"/>
  <c r="AD809" i="1"/>
  <c r="AE809" i="1"/>
  <c r="V810" i="1"/>
  <c r="W810" i="1"/>
  <c r="X810" i="1"/>
  <c r="Y810" i="1"/>
  <c r="Z810" i="1"/>
  <c r="AA810" i="1"/>
  <c r="AB810" i="1"/>
  <c r="AC810" i="1"/>
  <c r="AD810" i="1"/>
  <c r="AE810" i="1"/>
  <c r="V811" i="1"/>
  <c r="W811" i="1"/>
  <c r="X811" i="1"/>
  <c r="Y811" i="1"/>
  <c r="Z811" i="1"/>
  <c r="AA811" i="1"/>
  <c r="AB811" i="1"/>
  <c r="AC811" i="1"/>
  <c r="AD811" i="1"/>
  <c r="AE811" i="1"/>
  <c r="V812" i="1"/>
  <c r="W812" i="1"/>
  <c r="X812" i="1"/>
  <c r="Y812" i="1"/>
  <c r="Z812" i="1"/>
  <c r="AA812" i="1"/>
  <c r="AB812" i="1"/>
  <c r="AC812" i="1"/>
  <c r="AD812" i="1"/>
  <c r="AE812" i="1"/>
  <c r="V813" i="1"/>
  <c r="W813" i="1"/>
  <c r="X813" i="1"/>
  <c r="Y813" i="1"/>
  <c r="Z813" i="1"/>
  <c r="AA813" i="1"/>
  <c r="AB813" i="1"/>
  <c r="AC813" i="1"/>
  <c r="AD813" i="1"/>
  <c r="AE813" i="1"/>
  <c r="V814" i="1"/>
  <c r="W814" i="1"/>
  <c r="X814" i="1"/>
  <c r="Y814" i="1"/>
  <c r="Z814" i="1"/>
  <c r="AA814" i="1"/>
  <c r="AB814" i="1"/>
  <c r="AC814" i="1"/>
  <c r="AD814" i="1"/>
  <c r="AE814" i="1"/>
  <c r="V815" i="1"/>
  <c r="W815" i="1"/>
  <c r="X815" i="1"/>
  <c r="Y815" i="1"/>
  <c r="Z815" i="1"/>
  <c r="AA815" i="1"/>
  <c r="AB815" i="1"/>
  <c r="AC815" i="1"/>
  <c r="AD815" i="1"/>
  <c r="AE815" i="1"/>
  <c r="V816" i="1"/>
  <c r="W816" i="1"/>
  <c r="X816" i="1"/>
  <c r="Y816" i="1"/>
  <c r="Z816" i="1"/>
  <c r="AA816" i="1"/>
  <c r="AB816" i="1"/>
  <c r="AC816" i="1"/>
  <c r="AD816" i="1"/>
  <c r="AE816" i="1"/>
  <c r="V817" i="1"/>
  <c r="W817" i="1"/>
  <c r="X817" i="1"/>
  <c r="Y817" i="1"/>
  <c r="Z817" i="1"/>
  <c r="AA817" i="1"/>
  <c r="AB817" i="1"/>
  <c r="AC817" i="1"/>
  <c r="AD817" i="1"/>
  <c r="AE817" i="1"/>
  <c r="V818" i="1"/>
  <c r="W818" i="1"/>
  <c r="X818" i="1"/>
  <c r="Y818" i="1"/>
  <c r="Z818" i="1"/>
  <c r="AA818" i="1"/>
  <c r="AB818" i="1"/>
  <c r="AC818" i="1"/>
  <c r="AD818" i="1"/>
  <c r="AE818" i="1"/>
  <c r="V819" i="1"/>
  <c r="W819" i="1"/>
  <c r="X819" i="1"/>
  <c r="Y819" i="1"/>
  <c r="Z819" i="1"/>
  <c r="AA819" i="1"/>
  <c r="AB819" i="1"/>
  <c r="AC819" i="1"/>
  <c r="AD819" i="1"/>
  <c r="AE819" i="1"/>
  <c r="V820" i="1"/>
  <c r="W820" i="1"/>
  <c r="X820" i="1"/>
  <c r="Y820" i="1"/>
  <c r="Z820" i="1"/>
  <c r="AA820" i="1"/>
  <c r="AB820" i="1"/>
  <c r="AC820" i="1"/>
  <c r="AD820" i="1"/>
  <c r="AE820" i="1"/>
  <c r="V821" i="1"/>
  <c r="W821" i="1"/>
  <c r="X821" i="1"/>
  <c r="Y821" i="1"/>
  <c r="Z821" i="1"/>
  <c r="AA821" i="1"/>
  <c r="AB821" i="1"/>
  <c r="AC821" i="1"/>
  <c r="AD821" i="1"/>
  <c r="AE821" i="1"/>
  <c r="V822" i="1"/>
  <c r="W822" i="1"/>
  <c r="X822" i="1"/>
  <c r="Y822" i="1"/>
  <c r="Z822" i="1"/>
  <c r="AA822" i="1"/>
  <c r="AB822" i="1"/>
  <c r="AC822" i="1"/>
  <c r="AD822" i="1"/>
  <c r="AE822" i="1"/>
  <c r="V823" i="1"/>
  <c r="W823" i="1"/>
  <c r="X823" i="1"/>
  <c r="Y823" i="1"/>
  <c r="Z823" i="1"/>
  <c r="AA823" i="1"/>
  <c r="AB823" i="1"/>
  <c r="AC823" i="1"/>
  <c r="AD823" i="1"/>
  <c r="AE823" i="1"/>
  <c r="V824" i="1"/>
  <c r="W824" i="1"/>
  <c r="X824" i="1"/>
  <c r="Y824" i="1"/>
  <c r="Z824" i="1"/>
  <c r="AA824" i="1"/>
  <c r="AB824" i="1"/>
  <c r="AC824" i="1"/>
  <c r="AD824" i="1"/>
  <c r="AE824" i="1"/>
  <c r="V825" i="1"/>
  <c r="W825" i="1"/>
  <c r="X825" i="1"/>
  <c r="Y825" i="1"/>
  <c r="Z825" i="1"/>
  <c r="AA825" i="1"/>
  <c r="AB825" i="1"/>
  <c r="AC825" i="1"/>
  <c r="AD825" i="1"/>
  <c r="AE825" i="1"/>
  <c r="V826" i="1"/>
  <c r="W826" i="1"/>
  <c r="X826" i="1"/>
  <c r="Y826" i="1"/>
  <c r="Z826" i="1"/>
  <c r="AA826" i="1"/>
  <c r="AB826" i="1"/>
  <c r="AC826" i="1"/>
  <c r="AD826" i="1"/>
  <c r="AE826" i="1"/>
  <c r="V827" i="1"/>
  <c r="W827" i="1"/>
  <c r="X827" i="1"/>
  <c r="Y827" i="1"/>
  <c r="Z827" i="1"/>
  <c r="AA827" i="1"/>
  <c r="AB827" i="1"/>
  <c r="AC827" i="1"/>
  <c r="AD827" i="1"/>
  <c r="AE827" i="1"/>
  <c r="V828" i="1"/>
  <c r="W828" i="1"/>
  <c r="X828" i="1"/>
  <c r="Y828" i="1"/>
  <c r="Z828" i="1"/>
  <c r="AA828" i="1"/>
  <c r="AB828" i="1"/>
  <c r="AC828" i="1"/>
  <c r="AD828" i="1"/>
  <c r="AE828" i="1"/>
  <c r="V829" i="1"/>
  <c r="W829" i="1"/>
  <c r="X829" i="1"/>
  <c r="Y829" i="1"/>
  <c r="Z829" i="1"/>
  <c r="AA829" i="1"/>
  <c r="AB829" i="1"/>
  <c r="AC829" i="1"/>
  <c r="AD829" i="1"/>
  <c r="AE829" i="1"/>
  <c r="V830" i="1"/>
  <c r="W830" i="1"/>
  <c r="X830" i="1"/>
  <c r="Y830" i="1"/>
  <c r="Z830" i="1"/>
  <c r="AA830" i="1"/>
  <c r="AB830" i="1"/>
  <c r="AC830" i="1"/>
  <c r="AD830" i="1"/>
  <c r="AE830" i="1"/>
  <c r="V831" i="1"/>
  <c r="W831" i="1"/>
  <c r="X831" i="1"/>
  <c r="Y831" i="1"/>
  <c r="Z831" i="1"/>
  <c r="AA831" i="1"/>
  <c r="AB831" i="1"/>
  <c r="AC831" i="1"/>
  <c r="AD831" i="1"/>
  <c r="AE831" i="1"/>
  <c r="V832" i="1"/>
  <c r="W832" i="1"/>
  <c r="X832" i="1"/>
  <c r="Y832" i="1"/>
  <c r="Z832" i="1"/>
  <c r="AA832" i="1"/>
  <c r="AB832" i="1"/>
  <c r="AC832" i="1"/>
  <c r="AD832" i="1"/>
  <c r="AE832" i="1"/>
  <c r="V833" i="1"/>
  <c r="W833" i="1"/>
  <c r="X833" i="1"/>
  <c r="Y833" i="1"/>
  <c r="Z833" i="1"/>
  <c r="AA833" i="1"/>
  <c r="AB833" i="1"/>
  <c r="AC833" i="1"/>
  <c r="AD833" i="1"/>
  <c r="AE833" i="1"/>
  <c r="V834" i="1"/>
  <c r="W834" i="1"/>
  <c r="X834" i="1"/>
  <c r="Y834" i="1"/>
  <c r="Z834" i="1"/>
  <c r="AA834" i="1"/>
  <c r="AB834" i="1"/>
  <c r="AC834" i="1"/>
  <c r="AD834" i="1"/>
  <c r="AE834" i="1"/>
  <c r="V835" i="1"/>
  <c r="W835" i="1"/>
  <c r="X835" i="1"/>
  <c r="Y835" i="1"/>
  <c r="Z835" i="1"/>
  <c r="AA835" i="1"/>
  <c r="AB835" i="1"/>
  <c r="AC835" i="1"/>
  <c r="AD835" i="1"/>
  <c r="AE835" i="1"/>
  <c r="V836" i="1"/>
  <c r="W836" i="1"/>
  <c r="X836" i="1"/>
  <c r="Y836" i="1"/>
  <c r="Z836" i="1"/>
  <c r="AA836" i="1"/>
  <c r="AB836" i="1"/>
  <c r="AC836" i="1"/>
  <c r="AD836" i="1"/>
  <c r="AE836" i="1"/>
  <c r="V837" i="1"/>
  <c r="W837" i="1"/>
  <c r="X837" i="1"/>
  <c r="Y837" i="1"/>
  <c r="Z837" i="1"/>
  <c r="AA837" i="1"/>
  <c r="AB837" i="1"/>
  <c r="AC837" i="1"/>
  <c r="AD837" i="1"/>
  <c r="AE837" i="1"/>
  <c r="V838" i="1"/>
  <c r="W838" i="1"/>
  <c r="X838" i="1"/>
  <c r="Y838" i="1"/>
  <c r="Z838" i="1"/>
  <c r="AA838" i="1"/>
  <c r="AB838" i="1"/>
  <c r="AC838" i="1"/>
  <c r="AD838" i="1"/>
  <c r="AE838" i="1"/>
  <c r="V839" i="1"/>
  <c r="W839" i="1"/>
  <c r="X839" i="1"/>
  <c r="Y839" i="1"/>
  <c r="Z839" i="1"/>
  <c r="AA839" i="1"/>
  <c r="AB839" i="1"/>
  <c r="AC839" i="1"/>
  <c r="AD839" i="1"/>
  <c r="AE839" i="1"/>
  <c r="V840" i="1"/>
  <c r="W840" i="1"/>
  <c r="X840" i="1"/>
  <c r="Y840" i="1"/>
  <c r="Z840" i="1"/>
  <c r="AA840" i="1"/>
  <c r="AB840" i="1"/>
  <c r="AC840" i="1"/>
  <c r="AD840" i="1"/>
  <c r="AE840" i="1"/>
  <c r="V841" i="1"/>
  <c r="W841" i="1"/>
  <c r="X841" i="1"/>
  <c r="Y841" i="1"/>
  <c r="Z841" i="1"/>
  <c r="AA841" i="1"/>
  <c r="AB841" i="1"/>
  <c r="AC841" i="1"/>
  <c r="AD841" i="1"/>
  <c r="AE841" i="1"/>
  <c r="V842" i="1"/>
  <c r="W842" i="1"/>
  <c r="X842" i="1"/>
  <c r="Y842" i="1"/>
  <c r="Z842" i="1"/>
  <c r="AA842" i="1"/>
  <c r="AB842" i="1"/>
  <c r="AC842" i="1"/>
  <c r="AD842" i="1"/>
  <c r="AE842" i="1"/>
  <c r="V843" i="1"/>
  <c r="W843" i="1"/>
  <c r="X843" i="1"/>
  <c r="Y843" i="1"/>
  <c r="Z843" i="1"/>
  <c r="AA843" i="1"/>
  <c r="AB843" i="1"/>
  <c r="AC843" i="1"/>
  <c r="AD843" i="1"/>
  <c r="AE843" i="1"/>
  <c r="V844" i="1"/>
  <c r="W844" i="1"/>
  <c r="X844" i="1"/>
  <c r="Y844" i="1"/>
  <c r="Z844" i="1"/>
  <c r="AA844" i="1"/>
  <c r="AB844" i="1"/>
  <c r="AC844" i="1"/>
  <c r="AD844" i="1"/>
  <c r="AE844" i="1"/>
  <c r="V845" i="1"/>
  <c r="W845" i="1"/>
  <c r="X845" i="1"/>
  <c r="Y845" i="1"/>
  <c r="Z845" i="1"/>
  <c r="AA845" i="1"/>
  <c r="AB845" i="1"/>
  <c r="AC845" i="1"/>
  <c r="AD845" i="1"/>
  <c r="AE845" i="1"/>
  <c r="V846" i="1"/>
  <c r="W846" i="1"/>
  <c r="X846" i="1"/>
  <c r="Y846" i="1"/>
  <c r="Z846" i="1"/>
  <c r="AA846" i="1"/>
  <c r="AB846" i="1"/>
  <c r="AC846" i="1"/>
  <c r="AD846" i="1"/>
  <c r="AE846" i="1"/>
  <c r="V847" i="1"/>
  <c r="W847" i="1"/>
  <c r="X847" i="1"/>
  <c r="Y847" i="1"/>
  <c r="Z847" i="1"/>
  <c r="AA847" i="1"/>
  <c r="AB847" i="1"/>
  <c r="AC847" i="1"/>
  <c r="AD847" i="1"/>
  <c r="AE847" i="1"/>
  <c r="V848" i="1"/>
  <c r="W848" i="1"/>
  <c r="X848" i="1"/>
  <c r="Y848" i="1"/>
  <c r="Z848" i="1"/>
  <c r="AA848" i="1"/>
  <c r="AB848" i="1"/>
  <c r="AC848" i="1"/>
  <c r="AD848" i="1"/>
  <c r="AE848" i="1"/>
  <c r="V849" i="1"/>
  <c r="W849" i="1"/>
  <c r="X849" i="1"/>
  <c r="Y849" i="1"/>
  <c r="Z849" i="1"/>
  <c r="AA849" i="1"/>
  <c r="AB849" i="1"/>
  <c r="AC849" i="1"/>
  <c r="AD849" i="1"/>
  <c r="AE849" i="1"/>
  <c r="V850" i="1"/>
  <c r="W850" i="1"/>
  <c r="X850" i="1"/>
  <c r="Y850" i="1"/>
  <c r="Z850" i="1"/>
  <c r="AA850" i="1"/>
  <c r="AB850" i="1"/>
  <c r="AC850" i="1"/>
  <c r="AD850" i="1"/>
  <c r="AE850" i="1"/>
  <c r="V851" i="1"/>
  <c r="W851" i="1"/>
  <c r="X851" i="1"/>
  <c r="Y851" i="1"/>
  <c r="Z851" i="1"/>
  <c r="AA851" i="1"/>
  <c r="AB851" i="1"/>
  <c r="AC851" i="1"/>
  <c r="AD851" i="1"/>
  <c r="AE851" i="1"/>
  <c r="V852" i="1"/>
  <c r="W852" i="1"/>
  <c r="X852" i="1"/>
  <c r="Y852" i="1"/>
  <c r="Z852" i="1"/>
  <c r="AA852" i="1"/>
  <c r="AB852" i="1"/>
  <c r="AC852" i="1"/>
  <c r="AD852" i="1"/>
  <c r="AE852" i="1"/>
  <c r="V853" i="1"/>
  <c r="W853" i="1"/>
  <c r="X853" i="1"/>
  <c r="Y853" i="1"/>
  <c r="Z853" i="1"/>
  <c r="AA853" i="1"/>
  <c r="AB853" i="1"/>
  <c r="AC853" i="1"/>
  <c r="AD853" i="1"/>
  <c r="AE853" i="1"/>
  <c r="V854" i="1"/>
  <c r="W854" i="1"/>
  <c r="X854" i="1"/>
  <c r="Y854" i="1"/>
  <c r="Z854" i="1"/>
  <c r="AA854" i="1"/>
  <c r="AB854" i="1"/>
  <c r="AC854" i="1"/>
  <c r="AD854" i="1"/>
  <c r="AE854" i="1"/>
  <c r="V855" i="1"/>
  <c r="W855" i="1"/>
  <c r="X855" i="1"/>
  <c r="Y855" i="1"/>
  <c r="Z855" i="1"/>
  <c r="AA855" i="1"/>
  <c r="AB855" i="1"/>
  <c r="AC855" i="1"/>
  <c r="AD855" i="1"/>
  <c r="AE855" i="1"/>
  <c r="V856" i="1"/>
  <c r="W856" i="1"/>
  <c r="X856" i="1"/>
  <c r="Y856" i="1"/>
  <c r="Z856" i="1"/>
  <c r="AA856" i="1"/>
  <c r="AB856" i="1"/>
  <c r="AC856" i="1"/>
  <c r="AD856" i="1"/>
  <c r="AE856" i="1"/>
  <c r="V857" i="1"/>
  <c r="W857" i="1"/>
  <c r="X857" i="1"/>
  <c r="Y857" i="1"/>
  <c r="Z857" i="1"/>
  <c r="AA857" i="1"/>
  <c r="AB857" i="1"/>
  <c r="AC857" i="1"/>
  <c r="AD857" i="1"/>
  <c r="AE857" i="1"/>
  <c r="V858" i="1"/>
  <c r="W858" i="1"/>
  <c r="X858" i="1"/>
  <c r="Y858" i="1"/>
  <c r="Z858" i="1"/>
  <c r="AA858" i="1"/>
  <c r="AB858" i="1"/>
  <c r="AC858" i="1"/>
  <c r="AD858" i="1"/>
  <c r="AE858" i="1"/>
  <c r="V859" i="1"/>
  <c r="W859" i="1"/>
  <c r="X859" i="1"/>
  <c r="Y859" i="1"/>
  <c r="Z859" i="1"/>
  <c r="AA859" i="1"/>
  <c r="AB859" i="1"/>
  <c r="AC859" i="1"/>
  <c r="AD859" i="1"/>
  <c r="AE859" i="1"/>
  <c r="V860" i="1"/>
  <c r="W860" i="1"/>
  <c r="X860" i="1"/>
  <c r="Y860" i="1"/>
  <c r="Z860" i="1"/>
  <c r="AA860" i="1"/>
  <c r="AB860" i="1"/>
  <c r="AC860" i="1"/>
  <c r="AD860" i="1"/>
  <c r="AE860" i="1"/>
  <c r="V861" i="1"/>
  <c r="W861" i="1"/>
  <c r="X861" i="1"/>
  <c r="Y861" i="1"/>
  <c r="Z861" i="1"/>
  <c r="AA861" i="1"/>
  <c r="AB861" i="1"/>
  <c r="AC861" i="1"/>
  <c r="AD861" i="1"/>
  <c r="AE861" i="1"/>
  <c r="V862" i="1"/>
  <c r="W862" i="1"/>
  <c r="X862" i="1"/>
  <c r="Y862" i="1"/>
  <c r="Z862" i="1"/>
  <c r="AA862" i="1"/>
  <c r="AB862" i="1"/>
  <c r="AC862" i="1"/>
  <c r="AD862" i="1"/>
  <c r="AE862" i="1"/>
  <c r="V863" i="1"/>
  <c r="W863" i="1"/>
  <c r="X863" i="1"/>
  <c r="Y863" i="1"/>
  <c r="Z863" i="1"/>
  <c r="AA863" i="1"/>
  <c r="AB863" i="1"/>
  <c r="AC863" i="1"/>
  <c r="AD863" i="1"/>
  <c r="AE863" i="1"/>
  <c r="V864" i="1"/>
  <c r="W864" i="1"/>
  <c r="X864" i="1"/>
  <c r="Y864" i="1"/>
  <c r="Z864" i="1"/>
  <c r="AA864" i="1"/>
  <c r="AB864" i="1"/>
  <c r="AC864" i="1"/>
  <c r="AD864" i="1"/>
  <c r="AE864" i="1"/>
  <c r="V865" i="1"/>
  <c r="W865" i="1"/>
  <c r="X865" i="1"/>
  <c r="Y865" i="1"/>
  <c r="Z865" i="1"/>
  <c r="AA865" i="1"/>
  <c r="AB865" i="1"/>
  <c r="AC865" i="1"/>
  <c r="AD865" i="1"/>
  <c r="AE865" i="1"/>
  <c r="V866" i="1"/>
  <c r="W866" i="1"/>
  <c r="X866" i="1"/>
  <c r="Y866" i="1"/>
  <c r="Z866" i="1"/>
  <c r="AA866" i="1"/>
  <c r="AB866" i="1"/>
  <c r="AC866" i="1"/>
  <c r="AD866" i="1"/>
  <c r="AE866" i="1"/>
  <c r="V867" i="1"/>
  <c r="W867" i="1"/>
  <c r="X867" i="1"/>
  <c r="Y867" i="1"/>
  <c r="Z867" i="1"/>
  <c r="AA867" i="1"/>
  <c r="AB867" i="1"/>
  <c r="AC867" i="1"/>
  <c r="AD867" i="1"/>
  <c r="AE867" i="1"/>
  <c r="V868" i="1"/>
  <c r="W868" i="1"/>
  <c r="X868" i="1"/>
  <c r="Y868" i="1"/>
  <c r="Z868" i="1"/>
  <c r="AA868" i="1"/>
  <c r="AB868" i="1"/>
  <c r="AC868" i="1"/>
  <c r="AD868" i="1"/>
  <c r="AE868" i="1"/>
  <c r="V869" i="1"/>
  <c r="W869" i="1"/>
  <c r="X869" i="1"/>
  <c r="Y869" i="1"/>
  <c r="Z869" i="1"/>
  <c r="AA869" i="1"/>
  <c r="AB869" i="1"/>
  <c r="AC869" i="1"/>
  <c r="AD869" i="1"/>
  <c r="AE869" i="1"/>
  <c r="V870" i="1"/>
  <c r="W870" i="1"/>
  <c r="X870" i="1"/>
  <c r="Y870" i="1"/>
  <c r="Z870" i="1"/>
  <c r="AA870" i="1"/>
  <c r="AB870" i="1"/>
  <c r="AC870" i="1"/>
  <c r="AD870" i="1"/>
  <c r="AE870" i="1"/>
  <c r="V871" i="1"/>
  <c r="W871" i="1"/>
  <c r="X871" i="1"/>
  <c r="Y871" i="1"/>
  <c r="Z871" i="1"/>
  <c r="AA871" i="1"/>
  <c r="AB871" i="1"/>
  <c r="AC871" i="1"/>
  <c r="AD871" i="1"/>
  <c r="AE871" i="1"/>
  <c r="V872" i="1"/>
  <c r="W872" i="1"/>
  <c r="X872" i="1"/>
  <c r="Y872" i="1"/>
  <c r="Z872" i="1"/>
  <c r="AA872" i="1"/>
  <c r="AB872" i="1"/>
  <c r="AC872" i="1"/>
  <c r="AD872" i="1"/>
  <c r="AE872" i="1"/>
  <c r="V873" i="1"/>
  <c r="W873" i="1"/>
  <c r="X873" i="1"/>
  <c r="Y873" i="1"/>
  <c r="Z873" i="1"/>
  <c r="AA873" i="1"/>
  <c r="AB873" i="1"/>
  <c r="AC873" i="1"/>
  <c r="AD873" i="1"/>
  <c r="AE873" i="1"/>
  <c r="V874" i="1"/>
  <c r="W874" i="1"/>
  <c r="X874" i="1"/>
  <c r="Y874" i="1"/>
  <c r="Z874" i="1"/>
  <c r="AA874" i="1"/>
  <c r="AB874" i="1"/>
  <c r="AC874" i="1"/>
  <c r="AD874" i="1"/>
  <c r="AE874" i="1"/>
  <c r="V875" i="1"/>
  <c r="W875" i="1"/>
  <c r="X875" i="1"/>
  <c r="Y875" i="1"/>
  <c r="Z875" i="1"/>
  <c r="AA875" i="1"/>
  <c r="AB875" i="1"/>
  <c r="AC875" i="1"/>
  <c r="AD875" i="1"/>
  <c r="AE875" i="1"/>
  <c r="V876" i="1"/>
  <c r="W876" i="1"/>
  <c r="X876" i="1"/>
  <c r="Y876" i="1"/>
  <c r="Z876" i="1"/>
  <c r="AA876" i="1"/>
  <c r="AB876" i="1"/>
  <c r="AC876" i="1"/>
  <c r="AD876" i="1"/>
  <c r="AE876" i="1"/>
  <c r="V877" i="1"/>
  <c r="W877" i="1"/>
  <c r="X877" i="1"/>
  <c r="Y877" i="1"/>
  <c r="Z877" i="1"/>
  <c r="AA877" i="1"/>
  <c r="AB877" i="1"/>
  <c r="AC877" i="1"/>
  <c r="AD877" i="1"/>
  <c r="AE877" i="1"/>
  <c r="V878" i="1"/>
  <c r="W878" i="1"/>
  <c r="X878" i="1"/>
  <c r="Y878" i="1"/>
  <c r="Z878" i="1"/>
  <c r="AA878" i="1"/>
  <c r="AB878" i="1"/>
  <c r="AC878" i="1"/>
  <c r="AD878" i="1"/>
  <c r="AE878" i="1"/>
  <c r="V879" i="1"/>
  <c r="W879" i="1"/>
  <c r="X879" i="1"/>
  <c r="Y879" i="1"/>
  <c r="Z879" i="1"/>
  <c r="AA879" i="1"/>
  <c r="AB879" i="1"/>
  <c r="AC879" i="1"/>
  <c r="AD879" i="1"/>
  <c r="AE879" i="1"/>
  <c r="V880" i="1"/>
  <c r="W880" i="1"/>
  <c r="X880" i="1"/>
  <c r="Y880" i="1"/>
  <c r="Z880" i="1"/>
  <c r="AA880" i="1"/>
  <c r="AB880" i="1"/>
  <c r="AC880" i="1"/>
  <c r="AD880" i="1"/>
  <c r="AE880" i="1"/>
  <c r="V881" i="1"/>
  <c r="W881" i="1"/>
  <c r="X881" i="1"/>
  <c r="Y881" i="1"/>
  <c r="Z881" i="1"/>
  <c r="AA881" i="1"/>
  <c r="AB881" i="1"/>
  <c r="AC881" i="1"/>
  <c r="AD881" i="1"/>
  <c r="AE881" i="1"/>
  <c r="V882" i="1"/>
  <c r="W882" i="1"/>
  <c r="X882" i="1"/>
  <c r="Y882" i="1"/>
  <c r="Z882" i="1"/>
  <c r="AA882" i="1"/>
  <c r="AB882" i="1"/>
  <c r="AC882" i="1"/>
  <c r="AD882" i="1"/>
  <c r="AE882" i="1"/>
  <c r="V883" i="1"/>
  <c r="W883" i="1"/>
  <c r="X883" i="1"/>
  <c r="Y883" i="1"/>
  <c r="Z883" i="1"/>
  <c r="AA883" i="1"/>
  <c r="AB883" i="1"/>
  <c r="AC883" i="1"/>
  <c r="AD883" i="1"/>
  <c r="AE883" i="1"/>
  <c r="V884" i="1"/>
  <c r="W884" i="1"/>
  <c r="X884" i="1"/>
  <c r="Y884" i="1"/>
  <c r="Z884" i="1"/>
  <c r="AA884" i="1"/>
  <c r="AB884" i="1"/>
  <c r="AC884" i="1"/>
  <c r="AD884" i="1"/>
  <c r="AE884" i="1"/>
  <c r="V885" i="1"/>
  <c r="W885" i="1"/>
  <c r="X885" i="1"/>
  <c r="Y885" i="1"/>
  <c r="Z885" i="1"/>
  <c r="AA885" i="1"/>
  <c r="AB885" i="1"/>
  <c r="AC885" i="1"/>
  <c r="AD885" i="1"/>
  <c r="AE885" i="1"/>
  <c r="V886" i="1"/>
  <c r="W886" i="1"/>
  <c r="X886" i="1"/>
  <c r="Y886" i="1"/>
  <c r="Z886" i="1"/>
  <c r="AA886" i="1"/>
  <c r="AB886" i="1"/>
  <c r="AC886" i="1"/>
  <c r="AD886" i="1"/>
  <c r="AE886" i="1"/>
  <c r="V887" i="1"/>
  <c r="W887" i="1"/>
  <c r="X887" i="1"/>
  <c r="Y887" i="1"/>
  <c r="Z887" i="1"/>
  <c r="AA887" i="1"/>
  <c r="AB887" i="1"/>
  <c r="AC887" i="1"/>
  <c r="AD887" i="1"/>
  <c r="AE887" i="1"/>
  <c r="V888" i="1"/>
  <c r="W888" i="1"/>
  <c r="X888" i="1"/>
  <c r="Y888" i="1"/>
  <c r="Z888" i="1"/>
  <c r="AA888" i="1"/>
  <c r="AB888" i="1"/>
  <c r="AC888" i="1"/>
  <c r="AD888" i="1"/>
  <c r="AE888" i="1"/>
  <c r="V889" i="1"/>
  <c r="W889" i="1"/>
  <c r="X889" i="1"/>
  <c r="Y889" i="1"/>
  <c r="Z889" i="1"/>
  <c r="AA889" i="1"/>
  <c r="AB889" i="1"/>
  <c r="AC889" i="1"/>
  <c r="AD889" i="1"/>
  <c r="AE889" i="1"/>
  <c r="V890" i="1"/>
  <c r="W890" i="1"/>
  <c r="X890" i="1"/>
  <c r="Y890" i="1"/>
  <c r="Z890" i="1"/>
  <c r="AA890" i="1"/>
  <c r="AB890" i="1"/>
  <c r="AC890" i="1"/>
  <c r="AD890" i="1"/>
  <c r="AE890" i="1"/>
  <c r="V891" i="1"/>
  <c r="W891" i="1"/>
  <c r="X891" i="1"/>
  <c r="Y891" i="1"/>
  <c r="Z891" i="1"/>
  <c r="AA891" i="1"/>
  <c r="AB891" i="1"/>
  <c r="AC891" i="1"/>
  <c r="AD891" i="1"/>
  <c r="AE891" i="1"/>
  <c r="V892" i="1"/>
  <c r="W892" i="1"/>
  <c r="X892" i="1"/>
  <c r="Y892" i="1"/>
  <c r="Z892" i="1"/>
  <c r="AA892" i="1"/>
  <c r="AB892" i="1"/>
  <c r="AC892" i="1"/>
  <c r="AD892" i="1"/>
  <c r="AE892" i="1"/>
  <c r="V893" i="1"/>
  <c r="W893" i="1"/>
  <c r="X893" i="1"/>
  <c r="Y893" i="1"/>
  <c r="Z893" i="1"/>
  <c r="AA893" i="1"/>
  <c r="AB893" i="1"/>
  <c r="AC893" i="1"/>
  <c r="AD893" i="1"/>
  <c r="AE893" i="1"/>
  <c r="V894" i="1"/>
  <c r="W894" i="1"/>
  <c r="X894" i="1"/>
  <c r="Y894" i="1"/>
  <c r="Z894" i="1"/>
  <c r="AA894" i="1"/>
  <c r="AB894" i="1"/>
  <c r="AC894" i="1"/>
  <c r="AD894" i="1"/>
  <c r="AE894" i="1"/>
  <c r="V895" i="1"/>
  <c r="W895" i="1"/>
  <c r="X895" i="1"/>
  <c r="Y895" i="1"/>
  <c r="Z895" i="1"/>
  <c r="AA895" i="1"/>
  <c r="AB895" i="1"/>
  <c r="AC895" i="1"/>
  <c r="AD895" i="1"/>
  <c r="AE895" i="1"/>
  <c r="V896" i="1"/>
  <c r="W896" i="1"/>
  <c r="X896" i="1"/>
  <c r="Y896" i="1"/>
  <c r="Z896" i="1"/>
  <c r="AA896" i="1"/>
  <c r="AB896" i="1"/>
  <c r="AC896" i="1"/>
  <c r="AD896" i="1"/>
  <c r="AE896" i="1"/>
  <c r="V897" i="1"/>
  <c r="W897" i="1"/>
  <c r="X897" i="1"/>
  <c r="Y897" i="1"/>
  <c r="Z897" i="1"/>
  <c r="AA897" i="1"/>
  <c r="AB897" i="1"/>
  <c r="AC897" i="1"/>
  <c r="AD897" i="1"/>
  <c r="AE897" i="1"/>
  <c r="V898" i="1"/>
  <c r="W898" i="1"/>
  <c r="X898" i="1"/>
  <c r="Y898" i="1"/>
  <c r="Z898" i="1"/>
  <c r="AA898" i="1"/>
  <c r="AB898" i="1"/>
  <c r="AC898" i="1"/>
  <c r="AD898" i="1"/>
  <c r="AE898" i="1"/>
  <c r="V899" i="1"/>
  <c r="W899" i="1"/>
  <c r="X899" i="1"/>
  <c r="Y899" i="1"/>
  <c r="Z899" i="1"/>
  <c r="AA899" i="1"/>
  <c r="AB899" i="1"/>
  <c r="AC899" i="1"/>
  <c r="AD899" i="1"/>
  <c r="AE899" i="1"/>
  <c r="V900" i="1"/>
  <c r="W900" i="1"/>
  <c r="X900" i="1"/>
  <c r="Y900" i="1"/>
  <c r="Z900" i="1"/>
  <c r="AA900" i="1"/>
  <c r="AB900" i="1"/>
  <c r="AC900" i="1"/>
  <c r="AD900" i="1"/>
  <c r="AE900" i="1"/>
  <c r="V901" i="1"/>
  <c r="W901" i="1"/>
  <c r="X901" i="1"/>
  <c r="Y901" i="1"/>
  <c r="Z901" i="1"/>
  <c r="AA901" i="1"/>
  <c r="AB901" i="1"/>
  <c r="AC901" i="1"/>
  <c r="AD901" i="1"/>
  <c r="AE901" i="1"/>
  <c r="V902" i="1"/>
  <c r="W902" i="1"/>
  <c r="X902" i="1"/>
  <c r="Y902" i="1"/>
  <c r="Z902" i="1"/>
  <c r="AA902" i="1"/>
  <c r="AB902" i="1"/>
  <c r="AC902" i="1"/>
  <c r="AD902" i="1"/>
  <c r="AE902" i="1"/>
  <c r="V903" i="1"/>
  <c r="W903" i="1"/>
  <c r="X903" i="1"/>
  <c r="Y903" i="1"/>
  <c r="Z903" i="1"/>
  <c r="AA903" i="1"/>
  <c r="AB903" i="1"/>
  <c r="AC903" i="1"/>
  <c r="AD903" i="1"/>
  <c r="AE903" i="1"/>
  <c r="V904" i="1"/>
  <c r="W904" i="1"/>
  <c r="X904" i="1"/>
  <c r="Y904" i="1"/>
  <c r="Z904" i="1"/>
  <c r="AA904" i="1"/>
  <c r="AB904" i="1"/>
  <c r="AC904" i="1"/>
  <c r="AD904" i="1"/>
  <c r="AE904" i="1"/>
  <c r="V905" i="1"/>
  <c r="W905" i="1"/>
  <c r="X905" i="1"/>
  <c r="Y905" i="1"/>
  <c r="Z905" i="1"/>
  <c r="AA905" i="1"/>
  <c r="AB905" i="1"/>
  <c r="AC905" i="1"/>
  <c r="AD905" i="1"/>
  <c r="AE905" i="1"/>
  <c r="V906" i="1"/>
  <c r="W906" i="1"/>
  <c r="X906" i="1"/>
  <c r="Y906" i="1"/>
  <c r="Z906" i="1"/>
  <c r="AA906" i="1"/>
  <c r="AB906" i="1"/>
  <c r="AC906" i="1"/>
  <c r="AD906" i="1"/>
  <c r="AE906" i="1"/>
  <c r="V907" i="1"/>
  <c r="W907" i="1"/>
  <c r="X907" i="1"/>
  <c r="Y907" i="1"/>
  <c r="Z907" i="1"/>
  <c r="AA907" i="1"/>
  <c r="AB907" i="1"/>
  <c r="AC907" i="1"/>
  <c r="AD907" i="1"/>
  <c r="AE907" i="1"/>
  <c r="V908" i="1"/>
  <c r="W908" i="1"/>
  <c r="X908" i="1"/>
  <c r="Y908" i="1"/>
  <c r="Z908" i="1"/>
  <c r="AA908" i="1"/>
  <c r="AB908" i="1"/>
  <c r="AC908" i="1"/>
  <c r="AD908" i="1"/>
  <c r="AE908" i="1"/>
  <c r="V909" i="1"/>
  <c r="W909" i="1"/>
  <c r="X909" i="1"/>
  <c r="Y909" i="1"/>
  <c r="Z909" i="1"/>
  <c r="AA909" i="1"/>
  <c r="AB909" i="1"/>
  <c r="AC909" i="1"/>
  <c r="AD909" i="1"/>
  <c r="AE909" i="1"/>
  <c r="V910" i="1"/>
  <c r="W910" i="1"/>
  <c r="X910" i="1"/>
  <c r="Y910" i="1"/>
  <c r="Z910" i="1"/>
  <c r="AA910" i="1"/>
  <c r="AB910" i="1"/>
  <c r="AC910" i="1"/>
  <c r="AD910" i="1"/>
  <c r="AE910" i="1"/>
  <c r="V911" i="1"/>
  <c r="W911" i="1"/>
  <c r="X911" i="1"/>
  <c r="Y911" i="1"/>
  <c r="Z911" i="1"/>
  <c r="AA911" i="1"/>
  <c r="AB911" i="1"/>
  <c r="AC911" i="1"/>
  <c r="AD911" i="1"/>
  <c r="AE911" i="1"/>
  <c r="V912" i="1"/>
  <c r="W912" i="1"/>
  <c r="X912" i="1"/>
  <c r="Y912" i="1"/>
  <c r="Z912" i="1"/>
  <c r="AA912" i="1"/>
  <c r="AB912" i="1"/>
  <c r="AC912" i="1"/>
  <c r="AD912" i="1"/>
  <c r="AE912" i="1"/>
  <c r="V913" i="1"/>
  <c r="W913" i="1"/>
  <c r="X913" i="1"/>
  <c r="Y913" i="1"/>
  <c r="Z913" i="1"/>
  <c r="AA913" i="1"/>
  <c r="AB913" i="1"/>
  <c r="AC913" i="1"/>
  <c r="AD913" i="1"/>
  <c r="AE913" i="1"/>
  <c r="V914" i="1"/>
  <c r="W914" i="1"/>
  <c r="X914" i="1"/>
  <c r="Y914" i="1"/>
  <c r="Z914" i="1"/>
  <c r="AA914" i="1"/>
  <c r="AB914" i="1"/>
  <c r="AC914" i="1"/>
  <c r="AD914" i="1"/>
  <c r="AE914" i="1"/>
  <c r="V915" i="1"/>
  <c r="W915" i="1"/>
  <c r="X915" i="1"/>
  <c r="Y915" i="1"/>
  <c r="Z915" i="1"/>
  <c r="AA915" i="1"/>
  <c r="AB915" i="1"/>
  <c r="AC915" i="1"/>
  <c r="AD915" i="1"/>
  <c r="AE915" i="1"/>
  <c r="V916" i="1"/>
  <c r="W916" i="1"/>
  <c r="X916" i="1"/>
  <c r="Y916" i="1"/>
  <c r="Z916" i="1"/>
  <c r="AA916" i="1"/>
  <c r="AB916" i="1"/>
  <c r="AC916" i="1"/>
  <c r="AD916" i="1"/>
  <c r="AE916" i="1"/>
  <c r="V917" i="1"/>
  <c r="W917" i="1"/>
  <c r="X917" i="1"/>
  <c r="Y917" i="1"/>
  <c r="Z917" i="1"/>
  <c r="AA917" i="1"/>
  <c r="AB917" i="1"/>
  <c r="AC917" i="1"/>
  <c r="AD917" i="1"/>
  <c r="AE917" i="1"/>
  <c r="V918" i="1"/>
  <c r="W918" i="1"/>
  <c r="X918" i="1"/>
  <c r="Y918" i="1"/>
  <c r="Z918" i="1"/>
  <c r="AA918" i="1"/>
  <c r="AB918" i="1"/>
  <c r="AC918" i="1"/>
  <c r="AD918" i="1"/>
  <c r="AE918" i="1"/>
  <c r="V919" i="1"/>
  <c r="W919" i="1"/>
  <c r="X919" i="1"/>
  <c r="Y919" i="1"/>
  <c r="Z919" i="1"/>
  <c r="AA919" i="1"/>
  <c r="AB919" i="1"/>
  <c r="AC919" i="1"/>
  <c r="AD919" i="1"/>
  <c r="AE919" i="1"/>
  <c r="V920" i="1"/>
  <c r="W920" i="1"/>
  <c r="X920" i="1"/>
  <c r="Y920" i="1"/>
  <c r="Z920" i="1"/>
  <c r="AA920" i="1"/>
  <c r="AB920" i="1"/>
  <c r="AC920" i="1"/>
  <c r="AD920" i="1"/>
  <c r="AE920" i="1"/>
  <c r="V921" i="1"/>
  <c r="W921" i="1"/>
  <c r="X921" i="1"/>
  <c r="Y921" i="1"/>
  <c r="Z921" i="1"/>
  <c r="AA921" i="1"/>
  <c r="AB921" i="1"/>
  <c r="AC921" i="1"/>
  <c r="AD921" i="1"/>
  <c r="AE921" i="1"/>
  <c r="V922" i="1"/>
  <c r="W922" i="1"/>
  <c r="X922" i="1"/>
  <c r="Y922" i="1"/>
  <c r="Z922" i="1"/>
  <c r="AA922" i="1"/>
  <c r="AB922" i="1"/>
  <c r="AC922" i="1"/>
  <c r="AD922" i="1"/>
  <c r="AE922" i="1"/>
  <c r="V923" i="1"/>
  <c r="W923" i="1"/>
  <c r="X923" i="1"/>
  <c r="Y923" i="1"/>
  <c r="Z923" i="1"/>
  <c r="AA923" i="1"/>
  <c r="AB923" i="1"/>
  <c r="AC923" i="1"/>
  <c r="AD923" i="1"/>
  <c r="AE923" i="1"/>
  <c r="V924" i="1"/>
  <c r="W924" i="1"/>
  <c r="X924" i="1"/>
  <c r="Y924" i="1"/>
  <c r="Z924" i="1"/>
  <c r="AA924" i="1"/>
  <c r="AB924" i="1"/>
  <c r="AC924" i="1"/>
  <c r="AD924" i="1"/>
  <c r="AE924" i="1"/>
  <c r="V925" i="1"/>
  <c r="W925" i="1"/>
  <c r="X925" i="1"/>
  <c r="Y925" i="1"/>
  <c r="Z925" i="1"/>
  <c r="AA925" i="1"/>
  <c r="AB925" i="1"/>
  <c r="AC925" i="1"/>
  <c r="AD925" i="1"/>
  <c r="AE925" i="1"/>
  <c r="V926" i="1"/>
  <c r="W926" i="1"/>
  <c r="X926" i="1"/>
  <c r="Y926" i="1"/>
  <c r="Z926" i="1"/>
  <c r="AA926" i="1"/>
  <c r="AB926" i="1"/>
  <c r="AC926" i="1"/>
  <c r="AD926" i="1"/>
  <c r="AE926" i="1"/>
  <c r="V927" i="1"/>
  <c r="W927" i="1"/>
  <c r="X927" i="1"/>
  <c r="Y927" i="1"/>
  <c r="Z927" i="1"/>
  <c r="AA927" i="1"/>
  <c r="AB927" i="1"/>
  <c r="AC927" i="1"/>
  <c r="AD927" i="1"/>
  <c r="AE927" i="1"/>
  <c r="V928" i="1"/>
  <c r="W928" i="1"/>
  <c r="X928" i="1"/>
  <c r="Y928" i="1"/>
  <c r="Z928" i="1"/>
  <c r="AA928" i="1"/>
  <c r="AB928" i="1"/>
  <c r="AC928" i="1"/>
  <c r="AD928" i="1"/>
  <c r="AE928" i="1"/>
  <c r="V929" i="1"/>
  <c r="W929" i="1"/>
  <c r="X929" i="1"/>
  <c r="Y929" i="1"/>
  <c r="Z929" i="1"/>
  <c r="AA929" i="1"/>
  <c r="AB929" i="1"/>
  <c r="AC929" i="1"/>
  <c r="AD929" i="1"/>
  <c r="AE929" i="1"/>
  <c r="V930" i="1"/>
  <c r="W930" i="1"/>
  <c r="X930" i="1"/>
  <c r="Y930" i="1"/>
  <c r="Z930" i="1"/>
  <c r="AA930" i="1"/>
  <c r="AB930" i="1"/>
  <c r="AC930" i="1"/>
  <c r="AD930" i="1"/>
  <c r="AE930" i="1"/>
  <c r="V931" i="1"/>
  <c r="W931" i="1"/>
  <c r="X931" i="1"/>
  <c r="Y931" i="1"/>
  <c r="Z931" i="1"/>
  <c r="AA931" i="1"/>
  <c r="AB931" i="1"/>
  <c r="AC931" i="1"/>
  <c r="AD931" i="1"/>
  <c r="AE931" i="1"/>
  <c r="V932" i="1"/>
  <c r="W932" i="1"/>
  <c r="X932" i="1"/>
  <c r="Y932" i="1"/>
  <c r="Z932" i="1"/>
  <c r="AA932" i="1"/>
  <c r="AB932" i="1"/>
  <c r="AC932" i="1"/>
  <c r="AD932" i="1"/>
  <c r="AE932" i="1"/>
  <c r="V933" i="1"/>
  <c r="W933" i="1"/>
  <c r="X933" i="1"/>
  <c r="Y933" i="1"/>
  <c r="Z933" i="1"/>
  <c r="AA933" i="1"/>
  <c r="AB933" i="1"/>
  <c r="AC933" i="1"/>
  <c r="AD933" i="1"/>
  <c r="AE933" i="1"/>
  <c r="V934" i="1"/>
  <c r="W934" i="1"/>
  <c r="X934" i="1"/>
  <c r="Y934" i="1"/>
  <c r="Z934" i="1"/>
  <c r="AA934" i="1"/>
  <c r="AB934" i="1"/>
  <c r="AC934" i="1"/>
  <c r="AD934" i="1"/>
  <c r="AE934" i="1"/>
  <c r="V935" i="1"/>
  <c r="W935" i="1"/>
  <c r="X935" i="1"/>
  <c r="Y935" i="1"/>
  <c r="Z935" i="1"/>
  <c r="AA935" i="1"/>
  <c r="AB935" i="1"/>
  <c r="AC935" i="1"/>
  <c r="AD935" i="1"/>
  <c r="AE935" i="1"/>
  <c r="V936" i="1"/>
  <c r="W936" i="1"/>
  <c r="X936" i="1"/>
  <c r="Y936" i="1"/>
  <c r="Z936" i="1"/>
  <c r="AA936" i="1"/>
  <c r="AB936" i="1"/>
  <c r="AC936" i="1"/>
  <c r="AD936" i="1"/>
  <c r="AE936" i="1"/>
  <c r="V937" i="1"/>
  <c r="W937" i="1"/>
  <c r="X937" i="1"/>
  <c r="Y937" i="1"/>
  <c r="Z937" i="1"/>
  <c r="AA937" i="1"/>
  <c r="AB937" i="1"/>
  <c r="AC937" i="1"/>
  <c r="AD937" i="1"/>
  <c r="AE937" i="1"/>
  <c r="V938" i="1"/>
  <c r="W938" i="1"/>
  <c r="X938" i="1"/>
  <c r="Y938" i="1"/>
  <c r="Z938" i="1"/>
  <c r="AA938" i="1"/>
  <c r="AB938" i="1"/>
  <c r="AC938" i="1"/>
  <c r="AD938" i="1"/>
  <c r="AE938" i="1"/>
  <c r="V939" i="1"/>
  <c r="W939" i="1"/>
  <c r="X939" i="1"/>
  <c r="Y939" i="1"/>
  <c r="Z939" i="1"/>
  <c r="AA939" i="1"/>
  <c r="AB939" i="1"/>
  <c r="AC939" i="1"/>
  <c r="AD939" i="1"/>
  <c r="AE939" i="1"/>
  <c r="V940" i="1"/>
  <c r="W940" i="1"/>
  <c r="X940" i="1"/>
  <c r="Y940" i="1"/>
  <c r="Z940" i="1"/>
  <c r="AA940" i="1"/>
  <c r="AB940" i="1"/>
  <c r="AC940" i="1"/>
  <c r="AD940" i="1"/>
  <c r="AE940" i="1"/>
  <c r="V941" i="1"/>
  <c r="W941" i="1"/>
  <c r="X941" i="1"/>
  <c r="Y941" i="1"/>
  <c r="Z941" i="1"/>
  <c r="AA941" i="1"/>
  <c r="AB941" i="1"/>
  <c r="AC941" i="1"/>
  <c r="AD941" i="1"/>
  <c r="AE941" i="1"/>
  <c r="V942" i="1"/>
  <c r="W942" i="1"/>
  <c r="X942" i="1"/>
  <c r="Y942" i="1"/>
  <c r="Z942" i="1"/>
  <c r="AA942" i="1"/>
  <c r="AB942" i="1"/>
  <c r="AC942" i="1"/>
  <c r="AD942" i="1"/>
  <c r="AE942" i="1"/>
  <c r="V943" i="1"/>
  <c r="W943" i="1"/>
  <c r="X943" i="1"/>
  <c r="Y943" i="1"/>
  <c r="Z943" i="1"/>
  <c r="AA943" i="1"/>
  <c r="AB943" i="1"/>
  <c r="AC943" i="1"/>
  <c r="AD943" i="1"/>
  <c r="AE943" i="1"/>
  <c r="V944" i="1"/>
  <c r="W944" i="1"/>
  <c r="X944" i="1"/>
  <c r="Y944" i="1"/>
  <c r="Z944" i="1"/>
  <c r="AA944" i="1"/>
  <c r="AB944" i="1"/>
  <c r="AC944" i="1"/>
  <c r="AD944" i="1"/>
  <c r="AE944" i="1"/>
  <c r="V945" i="1"/>
  <c r="W945" i="1"/>
  <c r="X945" i="1"/>
  <c r="Y945" i="1"/>
  <c r="Z945" i="1"/>
  <c r="AA945" i="1"/>
  <c r="AB945" i="1"/>
  <c r="AC945" i="1"/>
  <c r="AD945" i="1"/>
  <c r="AE945" i="1"/>
  <c r="V946" i="1"/>
  <c r="W946" i="1"/>
  <c r="X946" i="1"/>
  <c r="Y946" i="1"/>
  <c r="Z946" i="1"/>
  <c r="AA946" i="1"/>
  <c r="AB946" i="1"/>
  <c r="AC946" i="1"/>
  <c r="AD946" i="1"/>
  <c r="AE946" i="1"/>
  <c r="V947" i="1"/>
  <c r="W947" i="1"/>
  <c r="X947" i="1"/>
  <c r="Y947" i="1"/>
  <c r="Z947" i="1"/>
  <c r="AA947" i="1"/>
  <c r="AB947" i="1"/>
  <c r="AC947" i="1"/>
  <c r="AD947" i="1"/>
  <c r="AE947" i="1"/>
  <c r="V948" i="1"/>
  <c r="W948" i="1"/>
  <c r="X948" i="1"/>
  <c r="Y948" i="1"/>
  <c r="Z948" i="1"/>
  <c r="AA948" i="1"/>
  <c r="AB948" i="1"/>
  <c r="AC948" i="1"/>
  <c r="AD948" i="1"/>
  <c r="AE948" i="1"/>
  <c r="V949" i="1"/>
  <c r="W949" i="1"/>
  <c r="X949" i="1"/>
  <c r="Y949" i="1"/>
  <c r="Z949" i="1"/>
  <c r="AA949" i="1"/>
  <c r="AB949" i="1"/>
  <c r="AC949" i="1"/>
  <c r="AD949" i="1"/>
  <c r="AE949" i="1"/>
  <c r="V950" i="1"/>
  <c r="W950" i="1"/>
  <c r="X950" i="1"/>
  <c r="Y950" i="1"/>
  <c r="Z950" i="1"/>
  <c r="AA950" i="1"/>
  <c r="AB950" i="1"/>
  <c r="AC950" i="1"/>
  <c r="AD950" i="1"/>
  <c r="AE950" i="1"/>
  <c r="V951" i="1"/>
  <c r="W951" i="1"/>
  <c r="X951" i="1"/>
  <c r="Y951" i="1"/>
  <c r="Z951" i="1"/>
  <c r="AA951" i="1"/>
  <c r="AB951" i="1"/>
  <c r="AC951" i="1"/>
  <c r="AD951" i="1"/>
  <c r="AE951" i="1"/>
  <c r="V952" i="1"/>
  <c r="W952" i="1"/>
  <c r="X952" i="1"/>
  <c r="Y952" i="1"/>
  <c r="Z952" i="1"/>
  <c r="AA952" i="1"/>
  <c r="AB952" i="1"/>
  <c r="AC952" i="1"/>
  <c r="AD952" i="1"/>
  <c r="AE952" i="1"/>
  <c r="V953" i="1"/>
  <c r="W953" i="1"/>
  <c r="X953" i="1"/>
  <c r="Y953" i="1"/>
  <c r="Z953" i="1"/>
  <c r="AA953" i="1"/>
  <c r="AB953" i="1"/>
  <c r="AC953" i="1"/>
  <c r="AD953" i="1"/>
  <c r="AE953" i="1"/>
  <c r="V954" i="1"/>
  <c r="W954" i="1"/>
  <c r="X954" i="1"/>
  <c r="Y954" i="1"/>
  <c r="Z954" i="1"/>
  <c r="AA954" i="1"/>
  <c r="AB954" i="1"/>
  <c r="AC954" i="1"/>
  <c r="AD954" i="1"/>
  <c r="AE954" i="1"/>
  <c r="V955" i="1"/>
  <c r="W955" i="1"/>
  <c r="X955" i="1"/>
  <c r="Y955" i="1"/>
  <c r="Z955" i="1"/>
  <c r="AA955" i="1"/>
  <c r="AB955" i="1"/>
  <c r="AC955" i="1"/>
  <c r="AD955" i="1"/>
  <c r="AE955" i="1"/>
  <c r="V956" i="1"/>
  <c r="W956" i="1"/>
  <c r="X956" i="1"/>
  <c r="Y956" i="1"/>
  <c r="Z956" i="1"/>
  <c r="AA956" i="1"/>
  <c r="AB956" i="1"/>
  <c r="AC956" i="1"/>
  <c r="AD956" i="1"/>
  <c r="AE956" i="1"/>
  <c r="V957" i="1"/>
  <c r="W957" i="1"/>
  <c r="X957" i="1"/>
  <c r="Y957" i="1"/>
  <c r="Z957" i="1"/>
  <c r="AA957" i="1"/>
  <c r="AB957" i="1"/>
  <c r="AC957" i="1"/>
  <c r="AD957" i="1"/>
  <c r="AE957" i="1"/>
  <c r="V958" i="1"/>
  <c r="W958" i="1"/>
  <c r="X958" i="1"/>
  <c r="Y958" i="1"/>
  <c r="Z958" i="1"/>
  <c r="AA958" i="1"/>
  <c r="AB958" i="1"/>
  <c r="AC958" i="1"/>
  <c r="AD958" i="1"/>
  <c r="AE958" i="1"/>
  <c r="V959" i="1"/>
  <c r="W959" i="1"/>
  <c r="X959" i="1"/>
  <c r="Y959" i="1"/>
  <c r="Z959" i="1"/>
  <c r="AA959" i="1"/>
  <c r="AB959" i="1"/>
  <c r="AC959" i="1"/>
  <c r="AD959" i="1"/>
  <c r="AE959" i="1"/>
  <c r="V960" i="1"/>
  <c r="W960" i="1"/>
  <c r="X960" i="1"/>
  <c r="Y960" i="1"/>
  <c r="Z960" i="1"/>
  <c r="AA960" i="1"/>
  <c r="AB960" i="1"/>
  <c r="AC960" i="1"/>
  <c r="AD960" i="1"/>
  <c r="AE960" i="1"/>
  <c r="V961" i="1"/>
  <c r="W961" i="1"/>
  <c r="X961" i="1"/>
  <c r="Y961" i="1"/>
  <c r="Z961" i="1"/>
  <c r="AA961" i="1"/>
  <c r="AB961" i="1"/>
  <c r="AC961" i="1"/>
  <c r="AD961" i="1"/>
  <c r="AE961" i="1"/>
  <c r="V962" i="1"/>
  <c r="W962" i="1"/>
  <c r="X962" i="1"/>
  <c r="Y962" i="1"/>
  <c r="Z962" i="1"/>
  <c r="AA962" i="1"/>
  <c r="AB962" i="1"/>
  <c r="AC962" i="1"/>
  <c r="AD962" i="1"/>
  <c r="AE962" i="1"/>
  <c r="V963" i="1"/>
  <c r="W963" i="1"/>
  <c r="X963" i="1"/>
  <c r="Y963" i="1"/>
  <c r="Z963" i="1"/>
  <c r="AA963" i="1"/>
  <c r="AB963" i="1"/>
  <c r="AC963" i="1"/>
  <c r="AD963" i="1"/>
  <c r="AE963" i="1"/>
  <c r="V964" i="1"/>
  <c r="W964" i="1"/>
  <c r="X964" i="1"/>
  <c r="Y964" i="1"/>
  <c r="Z964" i="1"/>
  <c r="AA964" i="1"/>
  <c r="AB964" i="1"/>
  <c r="AC964" i="1"/>
  <c r="AD964" i="1"/>
  <c r="AE964" i="1"/>
  <c r="V965" i="1"/>
  <c r="W965" i="1"/>
  <c r="X965" i="1"/>
  <c r="Y965" i="1"/>
  <c r="Z965" i="1"/>
  <c r="AA965" i="1"/>
  <c r="AB965" i="1"/>
  <c r="AC965" i="1"/>
  <c r="AD965" i="1"/>
  <c r="AE965" i="1"/>
  <c r="V966" i="1"/>
  <c r="W966" i="1"/>
  <c r="X966" i="1"/>
  <c r="Y966" i="1"/>
  <c r="Z966" i="1"/>
  <c r="AA966" i="1"/>
  <c r="AB966" i="1"/>
  <c r="AC966" i="1"/>
  <c r="AD966" i="1"/>
  <c r="AE966" i="1"/>
  <c r="V967" i="1"/>
  <c r="W967" i="1"/>
  <c r="X967" i="1"/>
  <c r="Y967" i="1"/>
  <c r="Z967" i="1"/>
  <c r="AA967" i="1"/>
  <c r="AB967" i="1"/>
  <c r="AC967" i="1"/>
  <c r="AD967" i="1"/>
  <c r="AE967" i="1"/>
  <c r="V968" i="1"/>
  <c r="W968" i="1"/>
  <c r="X968" i="1"/>
  <c r="Y968" i="1"/>
  <c r="Z968" i="1"/>
  <c r="AA968" i="1"/>
  <c r="AB968" i="1"/>
  <c r="AC968" i="1"/>
  <c r="AD968" i="1"/>
  <c r="AE968" i="1"/>
  <c r="V969" i="1"/>
  <c r="W969" i="1"/>
  <c r="X969" i="1"/>
  <c r="Y969" i="1"/>
  <c r="Z969" i="1"/>
  <c r="AA969" i="1"/>
  <c r="AB969" i="1"/>
  <c r="AC969" i="1"/>
  <c r="AD969" i="1"/>
  <c r="AE969" i="1"/>
  <c r="V970" i="1"/>
  <c r="W970" i="1"/>
  <c r="X970" i="1"/>
  <c r="Y970" i="1"/>
  <c r="Z970" i="1"/>
  <c r="AA970" i="1"/>
  <c r="AB970" i="1"/>
  <c r="AC970" i="1"/>
  <c r="AD970" i="1"/>
  <c r="AE970" i="1"/>
  <c r="V971" i="1"/>
  <c r="W971" i="1"/>
  <c r="X971" i="1"/>
  <c r="Y971" i="1"/>
  <c r="Z971" i="1"/>
  <c r="AA971" i="1"/>
  <c r="AB971" i="1"/>
  <c r="AC971" i="1"/>
  <c r="AD971" i="1"/>
  <c r="AE971" i="1"/>
  <c r="V972" i="1"/>
  <c r="W972" i="1"/>
  <c r="X972" i="1"/>
  <c r="Y972" i="1"/>
  <c r="Z972" i="1"/>
  <c r="AA972" i="1"/>
  <c r="AB972" i="1"/>
  <c r="AC972" i="1"/>
  <c r="AD972" i="1"/>
  <c r="AE972" i="1"/>
  <c r="V973" i="1"/>
  <c r="W973" i="1"/>
  <c r="X973" i="1"/>
  <c r="Y973" i="1"/>
  <c r="Z973" i="1"/>
  <c r="AA973" i="1"/>
  <c r="AB973" i="1"/>
  <c r="AC973" i="1"/>
  <c r="AD973" i="1"/>
  <c r="AE973" i="1"/>
  <c r="V974" i="1"/>
  <c r="W974" i="1"/>
  <c r="X974" i="1"/>
  <c r="Y974" i="1"/>
  <c r="Z974" i="1"/>
  <c r="AA974" i="1"/>
  <c r="AB974" i="1"/>
  <c r="AC974" i="1"/>
  <c r="AD974" i="1"/>
  <c r="AE974" i="1"/>
  <c r="V975" i="1"/>
  <c r="W975" i="1"/>
  <c r="X975" i="1"/>
  <c r="Y975" i="1"/>
  <c r="Z975" i="1"/>
  <c r="AA975" i="1"/>
  <c r="AB975" i="1"/>
  <c r="AC975" i="1"/>
  <c r="AD975" i="1"/>
  <c r="AE975" i="1"/>
  <c r="V976" i="1"/>
  <c r="W976" i="1"/>
  <c r="X976" i="1"/>
  <c r="Y976" i="1"/>
  <c r="Z976" i="1"/>
  <c r="AA976" i="1"/>
  <c r="AB976" i="1"/>
  <c r="AC976" i="1"/>
  <c r="AD976" i="1"/>
  <c r="AE976" i="1"/>
  <c r="V977" i="1"/>
  <c r="W977" i="1"/>
  <c r="X977" i="1"/>
  <c r="Y977" i="1"/>
  <c r="Z977" i="1"/>
  <c r="AA977" i="1"/>
  <c r="AB977" i="1"/>
  <c r="AC977" i="1"/>
  <c r="AD977" i="1"/>
  <c r="AE977" i="1"/>
  <c r="V978" i="1"/>
  <c r="W978" i="1"/>
  <c r="X978" i="1"/>
  <c r="Y978" i="1"/>
  <c r="Z978" i="1"/>
  <c r="AA978" i="1"/>
  <c r="AB978" i="1"/>
  <c r="AC978" i="1"/>
  <c r="AD978" i="1"/>
  <c r="AE978" i="1"/>
  <c r="V979" i="1"/>
  <c r="W979" i="1"/>
  <c r="X979" i="1"/>
  <c r="Y979" i="1"/>
  <c r="Z979" i="1"/>
  <c r="AA979" i="1"/>
  <c r="AB979" i="1"/>
  <c r="AC979" i="1"/>
  <c r="AD979" i="1"/>
  <c r="AE979" i="1"/>
  <c r="V980" i="1"/>
  <c r="W980" i="1"/>
  <c r="X980" i="1"/>
  <c r="Y980" i="1"/>
  <c r="Z980" i="1"/>
  <c r="AA980" i="1"/>
  <c r="AB980" i="1"/>
  <c r="AC980" i="1"/>
  <c r="AD980" i="1"/>
  <c r="AE980" i="1"/>
  <c r="V981" i="1"/>
  <c r="W981" i="1"/>
  <c r="X981" i="1"/>
  <c r="Y981" i="1"/>
  <c r="Z981" i="1"/>
  <c r="AA981" i="1"/>
  <c r="AB981" i="1"/>
  <c r="AC981" i="1"/>
  <c r="AD981" i="1"/>
  <c r="AE981" i="1"/>
  <c r="V982" i="1"/>
  <c r="W982" i="1"/>
  <c r="X982" i="1"/>
  <c r="Y982" i="1"/>
  <c r="Z982" i="1"/>
  <c r="AA982" i="1"/>
  <c r="AB982" i="1"/>
  <c r="AC982" i="1"/>
  <c r="AD982" i="1"/>
  <c r="AE982" i="1"/>
  <c r="V983" i="1"/>
  <c r="W983" i="1"/>
  <c r="X983" i="1"/>
  <c r="Y983" i="1"/>
  <c r="Z983" i="1"/>
  <c r="AA983" i="1"/>
  <c r="AB983" i="1"/>
  <c r="AC983" i="1"/>
  <c r="AD983" i="1"/>
  <c r="AE983" i="1"/>
  <c r="V984" i="1"/>
  <c r="W984" i="1"/>
  <c r="X984" i="1"/>
  <c r="Y984" i="1"/>
  <c r="Z984" i="1"/>
  <c r="AA984" i="1"/>
  <c r="AB984" i="1"/>
  <c r="AC984" i="1"/>
  <c r="AD984" i="1"/>
  <c r="AE984" i="1"/>
  <c r="V985" i="1"/>
  <c r="W985" i="1"/>
  <c r="X985" i="1"/>
  <c r="Y985" i="1"/>
  <c r="Z985" i="1"/>
  <c r="AA985" i="1"/>
  <c r="AB985" i="1"/>
  <c r="AC985" i="1"/>
  <c r="AD985" i="1"/>
  <c r="AE985" i="1"/>
  <c r="V986" i="1"/>
  <c r="W986" i="1"/>
  <c r="X986" i="1"/>
  <c r="Y986" i="1"/>
  <c r="Z986" i="1"/>
  <c r="AA986" i="1"/>
  <c r="AB986" i="1"/>
  <c r="AC986" i="1"/>
  <c r="AD986" i="1"/>
  <c r="AE986" i="1"/>
  <c r="V987" i="1"/>
  <c r="W987" i="1"/>
  <c r="X987" i="1"/>
  <c r="Y987" i="1"/>
  <c r="Z987" i="1"/>
  <c r="AA987" i="1"/>
  <c r="AB987" i="1"/>
  <c r="AC987" i="1"/>
  <c r="AD987" i="1"/>
  <c r="AE987" i="1"/>
  <c r="V988" i="1"/>
  <c r="W988" i="1"/>
  <c r="X988" i="1"/>
  <c r="Y988" i="1"/>
  <c r="Z988" i="1"/>
  <c r="AA988" i="1"/>
  <c r="AB988" i="1"/>
  <c r="AC988" i="1"/>
  <c r="AD988" i="1"/>
  <c r="AE988" i="1"/>
  <c r="V989" i="1"/>
  <c r="W989" i="1"/>
  <c r="X989" i="1"/>
  <c r="Y989" i="1"/>
  <c r="Z989" i="1"/>
  <c r="AA989" i="1"/>
  <c r="AB989" i="1"/>
  <c r="AC989" i="1"/>
  <c r="AD989" i="1"/>
  <c r="AE989" i="1"/>
  <c r="V990" i="1"/>
  <c r="W990" i="1"/>
  <c r="X990" i="1"/>
  <c r="Y990" i="1"/>
  <c r="Z990" i="1"/>
  <c r="AA990" i="1"/>
  <c r="AB990" i="1"/>
  <c r="AC990" i="1"/>
  <c r="AD990" i="1"/>
  <c r="AE990" i="1"/>
  <c r="V991" i="1"/>
  <c r="W991" i="1"/>
  <c r="X991" i="1"/>
  <c r="Y991" i="1"/>
  <c r="Z991" i="1"/>
  <c r="AA991" i="1"/>
  <c r="AB991" i="1"/>
  <c r="AC991" i="1"/>
  <c r="AD991" i="1"/>
  <c r="AE991" i="1"/>
  <c r="V992" i="1"/>
  <c r="W992" i="1"/>
  <c r="X992" i="1"/>
  <c r="Y992" i="1"/>
  <c r="Z992" i="1"/>
  <c r="AA992" i="1"/>
  <c r="AB992" i="1"/>
  <c r="AC992" i="1"/>
  <c r="AD992" i="1"/>
  <c r="AE992" i="1"/>
  <c r="V993" i="1"/>
  <c r="W993" i="1"/>
  <c r="X993" i="1"/>
  <c r="Y993" i="1"/>
  <c r="Z993" i="1"/>
  <c r="AA993" i="1"/>
  <c r="AB993" i="1"/>
  <c r="AC993" i="1"/>
  <c r="AD993" i="1"/>
  <c r="AE993" i="1"/>
  <c r="V994" i="1"/>
  <c r="W994" i="1"/>
  <c r="X994" i="1"/>
  <c r="Y994" i="1"/>
  <c r="Z994" i="1"/>
  <c r="AA994" i="1"/>
  <c r="AB994" i="1"/>
  <c r="AC994" i="1"/>
  <c r="AD994" i="1"/>
  <c r="AE994" i="1"/>
  <c r="V995" i="1"/>
  <c r="W995" i="1"/>
  <c r="X995" i="1"/>
  <c r="Y995" i="1"/>
  <c r="Z995" i="1"/>
  <c r="AA995" i="1"/>
  <c r="AB995" i="1"/>
  <c r="AC995" i="1"/>
  <c r="AD995" i="1"/>
  <c r="AE995" i="1"/>
  <c r="V996" i="1"/>
  <c r="W996" i="1"/>
  <c r="X996" i="1"/>
  <c r="Y996" i="1"/>
  <c r="Z996" i="1"/>
  <c r="AA996" i="1"/>
  <c r="AB996" i="1"/>
  <c r="AC996" i="1"/>
  <c r="AD996" i="1"/>
  <c r="AE996" i="1"/>
  <c r="V997" i="1"/>
  <c r="W997" i="1"/>
  <c r="X997" i="1"/>
  <c r="Y997" i="1"/>
  <c r="Z997" i="1"/>
  <c r="AA997" i="1"/>
  <c r="AB997" i="1"/>
  <c r="AC997" i="1"/>
  <c r="AD997" i="1"/>
  <c r="AE997" i="1"/>
  <c r="V998" i="1"/>
  <c r="W998" i="1"/>
  <c r="X998" i="1"/>
  <c r="Y998" i="1"/>
  <c r="Z998" i="1"/>
  <c r="AA998" i="1"/>
  <c r="AB998" i="1"/>
  <c r="AC998" i="1"/>
  <c r="AD998" i="1"/>
  <c r="AE998" i="1"/>
  <c r="V999" i="1"/>
  <c r="W999" i="1"/>
  <c r="X999" i="1"/>
  <c r="Y999" i="1"/>
  <c r="Z999" i="1"/>
  <c r="AA999" i="1"/>
  <c r="AB999" i="1"/>
  <c r="AC999" i="1"/>
  <c r="AD999" i="1"/>
  <c r="AE999" i="1"/>
  <c r="V1000" i="1"/>
  <c r="W1000" i="1"/>
  <c r="X1000" i="1"/>
  <c r="Y1000" i="1"/>
  <c r="Z1000" i="1"/>
  <c r="AA1000" i="1"/>
  <c r="AB1000" i="1"/>
  <c r="AC1000" i="1"/>
  <c r="AD1000" i="1"/>
  <c r="AE1000" i="1"/>
  <c r="V1001" i="1"/>
  <c r="W1001" i="1"/>
  <c r="X1001" i="1"/>
  <c r="Y1001" i="1"/>
  <c r="Z1001" i="1"/>
  <c r="AA1001" i="1"/>
  <c r="AB1001" i="1"/>
  <c r="AC1001" i="1"/>
  <c r="AD1001" i="1"/>
  <c r="AE1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V2" i="1"/>
  <c r="W2" i="1"/>
  <c r="X2" i="1"/>
  <c r="Y2" i="1"/>
  <c r="Z2" i="1"/>
  <c r="AA2" i="1"/>
  <c r="AB2" i="1"/>
  <c r="AC2" i="1"/>
  <c r="AD2" i="1"/>
  <c r="AE2" i="1"/>
  <c r="T2" i="1"/>
  <c r="AF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AF20" i="1" s="1"/>
  <c r="T21" i="1"/>
  <c r="AF21" i="1" s="1"/>
  <c r="T22" i="1"/>
  <c r="AF22" i="1" s="1"/>
  <c r="T23" i="1"/>
  <c r="AF23" i="1" s="1"/>
  <c r="T24" i="1"/>
  <c r="AF24" i="1" s="1"/>
  <c r="T25" i="1"/>
  <c r="AF25" i="1" s="1"/>
  <c r="T26" i="1"/>
  <c r="AF26" i="1" s="1"/>
  <c r="T27" i="1"/>
  <c r="AF27" i="1" s="1"/>
  <c r="T28" i="1"/>
  <c r="AF28" i="1" s="1"/>
  <c r="T29" i="1"/>
  <c r="AF29" i="1" s="1"/>
  <c r="T30" i="1"/>
  <c r="AF30" i="1" s="1"/>
  <c r="T31" i="1"/>
  <c r="AF31" i="1" s="1"/>
  <c r="T32" i="1"/>
  <c r="AF32" i="1" s="1"/>
  <c r="T33" i="1"/>
  <c r="AF33" i="1" s="1"/>
  <c r="T34" i="1"/>
  <c r="AF34" i="1" s="1"/>
  <c r="T35" i="1"/>
  <c r="AF35" i="1" s="1"/>
  <c r="T36" i="1"/>
  <c r="AF36" i="1" s="1"/>
  <c r="T37" i="1"/>
  <c r="AF37" i="1" s="1"/>
  <c r="T38" i="1"/>
  <c r="AF38" i="1" s="1"/>
  <c r="T39" i="1"/>
  <c r="AF39" i="1" s="1"/>
  <c r="T40" i="1"/>
  <c r="AF40" i="1" s="1"/>
  <c r="T41" i="1"/>
  <c r="AF41" i="1" s="1"/>
  <c r="T42" i="1"/>
  <c r="AF42" i="1" s="1"/>
  <c r="T43" i="1"/>
  <c r="AF43" i="1" s="1"/>
  <c r="T44" i="1"/>
  <c r="AF44" i="1" s="1"/>
  <c r="T45" i="1"/>
  <c r="AF45" i="1" s="1"/>
  <c r="T46" i="1"/>
  <c r="AF46" i="1" s="1"/>
  <c r="T47" i="1"/>
  <c r="AF47" i="1" s="1"/>
  <c r="T48" i="1"/>
  <c r="AF48" i="1" s="1"/>
  <c r="T49" i="1"/>
  <c r="AF49" i="1" s="1"/>
  <c r="T50" i="1"/>
  <c r="AF50" i="1" s="1"/>
  <c r="T51" i="1"/>
  <c r="AF51" i="1" s="1"/>
  <c r="T52" i="1"/>
  <c r="AF52" i="1" s="1"/>
  <c r="T53" i="1"/>
  <c r="AF53" i="1" s="1"/>
  <c r="T54" i="1"/>
  <c r="AF54" i="1" s="1"/>
  <c r="T55" i="1"/>
  <c r="AF55" i="1" s="1"/>
  <c r="T56" i="1"/>
  <c r="AF56" i="1" s="1"/>
  <c r="T57" i="1"/>
  <c r="AF57" i="1" s="1"/>
  <c r="T58" i="1"/>
  <c r="AF58" i="1" s="1"/>
  <c r="T59" i="1"/>
  <c r="AF59" i="1" s="1"/>
  <c r="T60" i="1"/>
  <c r="AF60" i="1" s="1"/>
  <c r="T61" i="1"/>
  <c r="AF61" i="1" s="1"/>
  <c r="T62" i="1"/>
  <c r="AF62" i="1" s="1"/>
  <c r="T63" i="1"/>
  <c r="AF63" i="1" s="1"/>
  <c r="T64" i="1"/>
  <c r="AF64" i="1" s="1"/>
  <c r="T65" i="1"/>
  <c r="AF65" i="1" s="1"/>
  <c r="T66" i="1"/>
  <c r="AF66" i="1" s="1"/>
  <c r="T67" i="1"/>
  <c r="AF67" i="1" s="1"/>
  <c r="T68" i="1"/>
  <c r="AF68" i="1" s="1"/>
  <c r="T69" i="1"/>
  <c r="AF69" i="1" s="1"/>
  <c r="T70" i="1"/>
  <c r="AF70" i="1" s="1"/>
  <c r="T71" i="1"/>
  <c r="AF71" i="1" s="1"/>
  <c r="T72" i="1"/>
  <c r="AF72" i="1" s="1"/>
  <c r="T73" i="1"/>
  <c r="AF73" i="1" s="1"/>
  <c r="T74" i="1"/>
  <c r="AF74" i="1" s="1"/>
  <c r="T75" i="1"/>
  <c r="AF75" i="1" s="1"/>
  <c r="T76" i="1"/>
  <c r="AF76" i="1" s="1"/>
  <c r="T77" i="1"/>
  <c r="AF77" i="1" s="1"/>
  <c r="T78" i="1"/>
  <c r="AF78" i="1" s="1"/>
  <c r="T79" i="1"/>
  <c r="AF79" i="1" s="1"/>
  <c r="T80" i="1"/>
  <c r="AF80" i="1" s="1"/>
  <c r="T81" i="1"/>
  <c r="AF81" i="1" s="1"/>
  <c r="T82" i="1"/>
  <c r="AF82" i="1" s="1"/>
  <c r="T83" i="1"/>
  <c r="AF83" i="1" s="1"/>
  <c r="T84" i="1"/>
  <c r="AF84" i="1" s="1"/>
  <c r="T85" i="1"/>
  <c r="AF85" i="1" s="1"/>
  <c r="T86" i="1"/>
  <c r="AF86" i="1" s="1"/>
  <c r="T87" i="1"/>
  <c r="AF87" i="1" s="1"/>
  <c r="T88" i="1"/>
  <c r="AF88" i="1" s="1"/>
  <c r="T89" i="1"/>
  <c r="AF89" i="1" s="1"/>
  <c r="T90" i="1"/>
  <c r="AF90" i="1" s="1"/>
  <c r="T91" i="1"/>
  <c r="AF91" i="1" s="1"/>
  <c r="T92" i="1"/>
  <c r="AF92" i="1" s="1"/>
  <c r="T93" i="1"/>
  <c r="AF93" i="1" s="1"/>
  <c r="T94" i="1"/>
  <c r="AF94" i="1" s="1"/>
  <c r="T95" i="1"/>
  <c r="AF95" i="1" s="1"/>
  <c r="T96" i="1"/>
  <c r="AF96" i="1" s="1"/>
  <c r="T97" i="1"/>
  <c r="AF97" i="1" s="1"/>
  <c r="T98" i="1"/>
  <c r="AF98" i="1" s="1"/>
  <c r="T99" i="1"/>
  <c r="AF99" i="1" s="1"/>
  <c r="T100" i="1"/>
  <c r="AF100" i="1" s="1"/>
  <c r="T101" i="1"/>
  <c r="AF101" i="1" s="1"/>
  <c r="T102" i="1"/>
  <c r="AF102" i="1" s="1"/>
  <c r="T103" i="1"/>
  <c r="AF103" i="1" s="1"/>
  <c r="T104" i="1"/>
  <c r="AF104" i="1" s="1"/>
  <c r="T105" i="1"/>
  <c r="AF105" i="1" s="1"/>
  <c r="T106" i="1"/>
  <c r="AF106" i="1" s="1"/>
  <c r="T107" i="1"/>
  <c r="AF107" i="1" s="1"/>
  <c r="T108" i="1"/>
  <c r="AF108" i="1" s="1"/>
  <c r="T109" i="1"/>
  <c r="AF109" i="1" s="1"/>
  <c r="T110" i="1"/>
  <c r="AF110" i="1" s="1"/>
  <c r="T111" i="1"/>
  <c r="AF111" i="1" s="1"/>
  <c r="T112" i="1"/>
  <c r="AF112" i="1" s="1"/>
  <c r="T113" i="1"/>
  <c r="AF113" i="1" s="1"/>
  <c r="T114" i="1"/>
  <c r="AF114" i="1" s="1"/>
  <c r="T115" i="1"/>
  <c r="AF115" i="1" s="1"/>
  <c r="T116" i="1"/>
  <c r="AF116" i="1" s="1"/>
  <c r="T117" i="1"/>
  <c r="AF117" i="1" s="1"/>
  <c r="T118" i="1"/>
  <c r="AF118" i="1" s="1"/>
  <c r="T119" i="1"/>
  <c r="AF119" i="1" s="1"/>
  <c r="T120" i="1"/>
  <c r="AF120" i="1" s="1"/>
  <c r="T121" i="1"/>
  <c r="AF121" i="1" s="1"/>
  <c r="T122" i="1"/>
  <c r="AF122" i="1" s="1"/>
  <c r="T123" i="1"/>
  <c r="AF123" i="1" s="1"/>
  <c r="T124" i="1"/>
  <c r="AF124" i="1" s="1"/>
  <c r="T125" i="1"/>
  <c r="AF125" i="1" s="1"/>
  <c r="T126" i="1"/>
  <c r="AF126" i="1" s="1"/>
  <c r="T127" i="1"/>
  <c r="AF127" i="1" s="1"/>
  <c r="T128" i="1"/>
  <c r="AF128" i="1" s="1"/>
  <c r="T129" i="1"/>
  <c r="AF129" i="1" s="1"/>
  <c r="T130" i="1"/>
  <c r="AF130" i="1" s="1"/>
  <c r="T131" i="1"/>
  <c r="AF131" i="1" s="1"/>
  <c r="T132" i="1"/>
  <c r="AF132" i="1" s="1"/>
  <c r="T133" i="1"/>
  <c r="AF133" i="1" s="1"/>
  <c r="T134" i="1"/>
  <c r="AF134" i="1" s="1"/>
  <c r="T135" i="1"/>
  <c r="AF135" i="1" s="1"/>
  <c r="T136" i="1"/>
  <c r="AF136" i="1" s="1"/>
  <c r="T137" i="1"/>
  <c r="AF137" i="1" s="1"/>
  <c r="T138" i="1"/>
  <c r="AF138" i="1" s="1"/>
  <c r="T139" i="1"/>
  <c r="AF139" i="1" s="1"/>
  <c r="T140" i="1"/>
  <c r="AF140" i="1" s="1"/>
  <c r="T141" i="1"/>
  <c r="AF141" i="1" s="1"/>
  <c r="T142" i="1"/>
  <c r="AF142" i="1" s="1"/>
  <c r="T143" i="1"/>
  <c r="AF143" i="1" s="1"/>
  <c r="T144" i="1"/>
  <c r="AF144" i="1" s="1"/>
  <c r="T145" i="1"/>
  <c r="AF145" i="1" s="1"/>
  <c r="T146" i="1"/>
  <c r="AF146" i="1" s="1"/>
  <c r="T147" i="1"/>
  <c r="AF147" i="1" s="1"/>
  <c r="T148" i="1"/>
  <c r="AF148" i="1" s="1"/>
  <c r="T149" i="1"/>
  <c r="AF149" i="1" s="1"/>
  <c r="T150" i="1"/>
  <c r="AF150" i="1" s="1"/>
  <c r="T151" i="1"/>
  <c r="AF151" i="1" s="1"/>
  <c r="T152" i="1"/>
  <c r="AF152" i="1" s="1"/>
  <c r="T153" i="1"/>
  <c r="AF153" i="1" s="1"/>
  <c r="T154" i="1"/>
  <c r="AF154" i="1" s="1"/>
  <c r="T155" i="1"/>
  <c r="AF155" i="1" s="1"/>
  <c r="T156" i="1"/>
  <c r="AF156" i="1" s="1"/>
  <c r="T157" i="1"/>
  <c r="AF157" i="1" s="1"/>
  <c r="T158" i="1"/>
  <c r="AF158" i="1" s="1"/>
  <c r="T159" i="1"/>
  <c r="AF159" i="1" s="1"/>
  <c r="T160" i="1"/>
  <c r="AF160" i="1" s="1"/>
  <c r="T161" i="1"/>
  <c r="AF161" i="1" s="1"/>
  <c r="T162" i="1"/>
  <c r="AF162" i="1" s="1"/>
  <c r="T163" i="1"/>
  <c r="AF163" i="1" s="1"/>
  <c r="T164" i="1"/>
  <c r="AF164" i="1" s="1"/>
  <c r="T165" i="1"/>
  <c r="AF165" i="1" s="1"/>
  <c r="T166" i="1"/>
  <c r="AF166" i="1" s="1"/>
  <c r="T167" i="1"/>
  <c r="AF167" i="1" s="1"/>
  <c r="T168" i="1"/>
  <c r="AF168" i="1" s="1"/>
  <c r="T169" i="1"/>
  <c r="AF169" i="1" s="1"/>
  <c r="T170" i="1"/>
  <c r="AF170" i="1" s="1"/>
  <c r="T171" i="1"/>
  <c r="AF171" i="1" s="1"/>
  <c r="T172" i="1"/>
  <c r="AF172" i="1" s="1"/>
  <c r="T173" i="1"/>
  <c r="AF173" i="1" s="1"/>
  <c r="T174" i="1"/>
  <c r="AF174" i="1" s="1"/>
  <c r="T175" i="1"/>
  <c r="AF175" i="1" s="1"/>
  <c r="T176" i="1"/>
  <c r="AF176" i="1" s="1"/>
  <c r="T177" i="1"/>
  <c r="AF177" i="1" s="1"/>
  <c r="T178" i="1"/>
  <c r="AF178" i="1" s="1"/>
  <c r="T179" i="1"/>
  <c r="AF179" i="1" s="1"/>
  <c r="T180" i="1"/>
  <c r="AF180" i="1" s="1"/>
  <c r="T181" i="1"/>
  <c r="AF181" i="1" s="1"/>
  <c r="T182" i="1"/>
  <c r="AF182" i="1" s="1"/>
  <c r="T183" i="1"/>
  <c r="AF183" i="1" s="1"/>
  <c r="T184" i="1"/>
  <c r="AF184" i="1" s="1"/>
  <c r="T185" i="1"/>
  <c r="AF185" i="1" s="1"/>
  <c r="T186" i="1"/>
  <c r="AF186" i="1" s="1"/>
  <c r="T187" i="1"/>
  <c r="T188" i="1"/>
  <c r="AF188" i="1" s="1"/>
  <c r="T189" i="1"/>
  <c r="AF189" i="1" s="1"/>
  <c r="T190" i="1"/>
  <c r="AF190" i="1" s="1"/>
  <c r="T191" i="1"/>
  <c r="AF191" i="1" s="1"/>
  <c r="T192" i="1"/>
  <c r="AF192" i="1" s="1"/>
  <c r="T193" i="1"/>
  <c r="AF193" i="1" s="1"/>
  <c r="T194" i="1"/>
  <c r="AF194" i="1" s="1"/>
  <c r="T195" i="1"/>
  <c r="AF195" i="1" s="1"/>
  <c r="T196" i="1"/>
  <c r="AF196" i="1" s="1"/>
  <c r="T197" i="1"/>
  <c r="AF197" i="1" s="1"/>
  <c r="T198" i="1"/>
  <c r="AF198" i="1" s="1"/>
  <c r="T199" i="1"/>
  <c r="AF199" i="1" s="1"/>
  <c r="T200" i="1"/>
  <c r="AF200" i="1" s="1"/>
  <c r="T201" i="1"/>
  <c r="AF201" i="1" s="1"/>
  <c r="T202" i="1"/>
  <c r="AF202" i="1" s="1"/>
  <c r="T203" i="1"/>
  <c r="AF203" i="1" s="1"/>
  <c r="T204" i="1"/>
  <c r="AF204" i="1" s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AF253" i="1" s="1"/>
  <c r="T254" i="1"/>
  <c r="AF254" i="1" s="1"/>
  <c r="T255" i="1"/>
  <c r="AF255" i="1" s="1"/>
  <c r="T256" i="1"/>
  <c r="AF256" i="1" s="1"/>
  <c r="T257" i="1"/>
  <c r="AF257" i="1" s="1"/>
  <c r="T258" i="1"/>
  <c r="AF258" i="1" s="1"/>
  <c r="T259" i="1"/>
  <c r="AF259" i="1" s="1"/>
  <c r="T260" i="1"/>
  <c r="AF260" i="1" s="1"/>
  <c r="T261" i="1"/>
  <c r="AF261" i="1" s="1"/>
  <c r="T262" i="1"/>
  <c r="AF262" i="1" s="1"/>
  <c r="T263" i="1"/>
  <c r="AF263" i="1" s="1"/>
  <c r="T264" i="1"/>
  <c r="AF264" i="1" s="1"/>
  <c r="T265" i="1"/>
  <c r="AF265" i="1" s="1"/>
  <c r="T266" i="1"/>
  <c r="AF266" i="1" s="1"/>
  <c r="T267" i="1"/>
  <c r="AF267" i="1" s="1"/>
  <c r="T268" i="1"/>
  <c r="AF268" i="1" s="1"/>
  <c r="T269" i="1"/>
  <c r="AF269" i="1" s="1"/>
  <c r="T270" i="1"/>
  <c r="AF270" i="1" s="1"/>
  <c r="T271" i="1"/>
  <c r="AF271" i="1" s="1"/>
  <c r="T272" i="1"/>
  <c r="AF272" i="1" s="1"/>
  <c r="T273" i="1"/>
  <c r="AF273" i="1" s="1"/>
  <c r="T274" i="1"/>
  <c r="AF274" i="1" s="1"/>
  <c r="T275" i="1"/>
  <c r="AF275" i="1" s="1"/>
  <c r="T276" i="1"/>
  <c r="AF276" i="1" s="1"/>
  <c r="T277" i="1"/>
  <c r="AF277" i="1" s="1"/>
  <c r="T278" i="1"/>
  <c r="AF278" i="1" s="1"/>
  <c r="T279" i="1"/>
  <c r="AF279" i="1" s="1"/>
  <c r="T280" i="1"/>
  <c r="AF280" i="1" s="1"/>
  <c r="T281" i="1"/>
  <c r="AF281" i="1" s="1"/>
  <c r="T282" i="1"/>
  <c r="AF282" i="1" s="1"/>
  <c r="T283" i="1"/>
  <c r="AF283" i="1" s="1"/>
  <c r="T284" i="1"/>
  <c r="AF284" i="1" s="1"/>
  <c r="T285" i="1"/>
  <c r="AF285" i="1" s="1"/>
  <c r="T286" i="1"/>
  <c r="AF286" i="1" s="1"/>
  <c r="T287" i="1"/>
  <c r="AF287" i="1" s="1"/>
  <c r="T288" i="1"/>
  <c r="AF288" i="1" s="1"/>
  <c r="T289" i="1"/>
  <c r="AF289" i="1" s="1"/>
  <c r="T290" i="1"/>
  <c r="AF290" i="1" s="1"/>
  <c r="T291" i="1"/>
  <c r="AF291" i="1" s="1"/>
  <c r="T292" i="1"/>
  <c r="AF292" i="1" s="1"/>
  <c r="T293" i="1"/>
  <c r="AF293" i="1" s="1"/>
  <c r="T294" i="1"/>
  <c r="AF294" i="1" s="1"/>
  <c r="T295" i="1"/>
  <c r="AF295" i="1" s="1"/>
  <c r="T296" i="1"/>
  <c r="AF296" i="1" s="1"/>
  <c r="T297" i="1"/>
  <c r="AF297" i="1" s="1"/>
  <c r="T298" i="1"/>
  <c r="AF298" i="1" s="1"/>
  <c r="T299" i="1"/>
  <c r="AF299" i="1" s="1"/>
  <c r="T300" i="1"/>
  <c r="AF300" i="1" s="1"/>
  <c r="T301" i="1"/>
  <c r="AF301" i="1" s="1"/>
  <c r="T302" i="1"/>
  <c r="AF302" i="1" s="1"/>
  <c r="T303" i="1"/>
  <c r="AF303" i="1" s="1"/>
  <c r="T304" i="1"/>
  <c r="AF304" i="1" s="1"/>
  <c r="T305" i="1"/>
  <c r="AF305" i="1" s="1"/>
  <c r="T306" i="1"/>
  <c r="AF306" i="1" s="1"/>
  <c r="T307" i="1"/>
  <c r="AF307" i="1" s="1"/>
  <c r="T308" i="1"/>
  <c r="AF308" i="1" s="1"/>
  <c r="T309" i="1"/>
  <c r="AF309" i="1" s="1"/>
  <c r="T310" i="1"/>
  <c r="AF310" i="1" s="1"/>
  <c r="T311" i="1"/>
  <c r="AF311" i="1" s="1"/>
  <c r="T312" i="1"/>
  <c r="AF312" i="1" s="1"/>
  <c r="T313" i="1"/>
  <c r="AF313" i="1" s="1"/>
  <c r="T314" i="1"/>
  <c r="AF314" i="1" s="1"/>
  <c r="T315" i="1"/>
  <c r="AF315" i="1" s="1"/>
  <c r="T316" i="1"/>
  <c r="AF316" i="1" s="1"/>
  <c r="T317" i="1"/>
  <c r="AF317" i="1" s="1"/>
  <c r="T318" i="1"/>
  <c r="AF318" i="1" s="1"/>
  <c r="T319" i="1"/>
  <c r="AF319" i="1" s="1"/>
  <c r="T320" i="1"/>
  <c r="AF320" i="1" s="1"/>
  <c r="T321" i="1"/>
  <c r="AF321" i="1" s="1"/>
  <c r="T322" i="1"/>
  <c r="AF322" i="1" s="1"/>
  <c r="T323" i="1"/>
  <c r="AF323" i="1" s="1"/>
  <c r="T324" i="1"/>
  <c r="AF324" i="1" s="1"/>
  <c r="T325" i="1"/>
  <c r="AF325" i="1" s="1"/>
  <c r="T326" i="1"/>
  <c r="AF326" i="1" s="1"/>
  <c r="T327" i="1"/>
  <c r="AF327" i="1" s="1"/>
  <c r="T328" i="1"/>
  <c r="AF328" i="1" s="1"/>
  <c r="T329" i="1"/>
  <c r="AF329" i="1" s="1"/>
  <c r="T330" i="1"/>
  <c r="AF330" i="1" s="1"/>
  <c r="T331" i="1"/>
  <c r="AF331" i="1" s="1"/>
  <c r="T332" i="1"/>
  <c r="AF332" i="1" s="1"/>
  <c r="T333" i="1"/>
  <c r="AF333" i="1" s="1"/>
  <c r="T334" i="1"/>
  <c r="AF334" i="1" s="1"/>
  <c r="T335" i="1"/>
  <c r="AF335" i="1" s="1"/>
  <c r="T336" i="1"/>
  <c r="AF336" i="1" s="1"/>
  <c r="T337" i="1"/>
  <c r="AF337" i="1" s="1"/>
  <c r="T338" i="1"/>
  <c r="AF338" i="1" s="1"/>
  <c r="T339" i="1"/>
  <c r="AF339" i="1" s="1"/>
  <c r="T340" i="1"/>
  <c r="AF340" i="1" s="1"/>
  <c r="T341" i="1"/>
  <c r="AF341" i="1" s="1"/>
  <c r="T342" i="1"/>
  <c r="AF342" i="1" s="1"/>
  <c r="T343" i="1"/>
  <c r="AF343" i="1" s="1"/>
  <c r="T344" i="1"/>
  <c r="AF344" i="1" s="1"/>
  <c r="T345" i="1"/>
  <c r="AF345" i="1" s="1"/>
  <c r="T346" i="1"/>
  <c r="AF346" i="1" s="1"/>
  <c r="T347" i="1"/>
  <c r="AF347" i="1" s="1"/>
  <c r="T348" i="1"/>
  <c r="AF348" i="1" s="1"/>
  <c r="T349" i="1"/>
  <c r="AF349" i="1" s="1"/>
  <c r="T350" i="1"/>
  <c r="AF350" i="1" s="1"/>
  <c r="T351" i="1"/>
  <c r="AF351" i="1" s="1"/>
  <c r="T352" i="1"/>
  <c r="AF352" i="1" s="1"/>
  <c r="T353" i="1"/>
  <c r="AF353" i="1" s="1"/>
  <c r="T354" i="1"/>
  <c r="AF354" i="1" s="1"/>
  <c r="T355" i="1"/>
  <c r="AF355" i="1" s="1"/>
  <c r="T356" i="1"/>
  <c r="AF356" i="1" s="1"/>
  <c r="T357" i="1"/>
  <c r="AF357" i="1" s="1"/>
  <c r="T358" i="1"/>
  <c r="AF358" i="1" s="1"/>
  <c r="T359" i="1"/>
  <c r="AF359" i="1" s="1"/>
  <c r="T360" i="1"/>
  <c r="AF360" i="1" s="1"/>
  <c r="T361" i="1"/>
  <c r="AF361" i="1" s="1"/>
  <c r="T362" i="1"/>
  <c r="AF362" i="1" s="1"/>
  <c r="T363" i="1"/>
  <c r="AF363" i="1" s="1"/>
  <c r="T364" i="1"/>
  <c r="AF364" i="1" s="1"/>
  <c r="T365" i="1"/>
  <c r="AF365" i="1" s="1"/>
  <c r="T366" i="1"/>
  <c r="AF366" i="1" s="1"/>
  <c r="T367" i="1"/>
  <c r="AF367" i="1" s="1"/>
  <c r="T368" i="1"/>
  <c r="AF368" i="1" s="1"/>
  <c r="T369" i="1"/>
  <c r="T370" i="1"/>
  <c r="AF370" i="1" s="1"/>
  <c r="T371" i="1"/>
  <c r="AF371" i="1" s="1"/>
  <c r="T372" i="1"/>
  <c r="AF372" i="1" s="1"/>
  <c r="T373" i="1"/>
  <c r="AF373" i="1" s="1"/>
  <c r="T374" i="1"/>
  <c r="AF374" i="1" s="1"/>
  <c r="T375" i="1"/>
  <c r="AF375" i="1" s="1"/>
  <c r="T376" i="1"/>
  <c r="AF376" i="1" s="1"/>
  <c r="T377" i="1"/>
  <c r="AF377" i="1" s="1"/>
  <c r="T378" i="1"/>
  <c r="AF378" i="1" s="1"/>
  <c r="T379" i="1"/>
  <c r="AF379" i="1" s="1"/>
  <c r="T380" i="1"/>
  <c r="AF380" i="1" s="1"/>
  <c r="T381" i="1"/>
  <c r="AF381" i="1" s="1"/>
  <c r="T382" i="1"/>
  <c r="AF382" i="1" s="1"/>
  <c r="T383" i="1"/>
  <c r="AF383" i="1" s="1"/>
  <c r="T384" i="1"/>
  <c r="AF384" i="1" s="1"/>
  <c r="T385" i="1"/>
  <c r="AF385" i="1" s="1"/>
  <c r="T386" i="1"/>
  <c r="AF386" i="1" s="1"/>
  <c r="T387" i="1"/>
  <c r="AF387" i="1" s="1"/>
  <c r="T388" i="1"/>
  <c r="AF388" i="1" s="1"/>
  <c r="T389" i="1"/>
  <c r="AF389" i="1" s="1"/>
  <c r="T390" i="1"/>
  <c r="AF390" i="1" s="1"/>
  <c r="T391" i="1"/>
  <c r="AF391" i="1" s="1"/>
  <c r="T392" i="1"/>
  <c r="AF392" i="1" s="1"/>
  <c r="T393" i="1"/>
  <c r="AF393" i="1" s="1"/>
  <c r="T394" i="1"/>
  <c r="AF394" i="1" s="1"/>
  <c r="T395" i="1"/>
  <c r="AF395" i="1" s="1"/>
  <c r="T396" i="1"/>
  <c r="AF396" i="1" s="1"/>
  <c r="T397" i="1"/>
  <c r="AF397" i="1" s="1"/>
  <c r="T398" i="1"/>
  <c r="AF398" i="1" s="1"/>
  <c r="T399" i="1"/>
  <c r="AF399" i="1" s="1"/>
  <c r="T400" i="1"/>
  <c r="AF400" i="1" s="1"/>
  <c r="T401" i="1"/>
  <c r="AF401" i="1" s="1"/>
  <c r="T402" i="1"/>
  <c r="AF402" i="1" s="1"/>
  <c r="T403" i="1"/>
  <c r="AF403" i="1" s="1"/>
  <c r="T404" i="1"/>
  <c r="AF404" i="1" s="1"/>
  <c r="T405" i="1"/>
  <c r="AF405" i="1" s="1"/>
  <c r="T406" i="1"/>
  <c r="AF406" i="1" s="1"/>
  <c r="T407" i="1"/>
  <c r="AF407" i="1" s="1"/>
  <c r="T408" i="1"/>
  <c r="AF408" i="1" s="1"/>
  <c r="T409" i="1"/>
  <c r="AF409" i="1" s="1"/>
  <c r="T410" i="1"/>
  <c r="AF410" i="1" s="1"/>
  <c r="T411" i="1"/>
  <c r="AF411" i="1" s="1"/>
  <c r="T412" i="1"/>
  <c r="AF412" i="1" s="1"/>
  <c r="T413" i="1"/>
  <c r="AF413" i="1" s="1"/>
  <c r="T414" i="1"/>
  <c r="AF414" i="1" s="1"/>
  <c r="T415" i="1"/>
  <c r="AF415" i="1" s="1"/>
  <c r="T416" i="1"/>
  <c r="AF416" i="1" s="1"/>
  <c r="T417" i="1"/>
  <c r="AF417" i="1" s="1"/>
  <c r="T418" i="1"/>
  <c r="AF418" i="1" s="1"/>
  <c r="T419" i="1"/>
  <c r="AF419" i="1" s="1"/>
  <c r="T420" i="1"/>
  <c r="AF420" i="1" s="1"/>
  <c r="T421" i="1"/>
  <c r="AF421" i="1" s="1"/>
  <c r="T422" i="1"/>
  <c r="AF422" i="1" s="1"/>
  <c r="T423" i="1"/>
  <c r="AF423" i="1" s="1"/>
  <c r="T424" i="1"/>
  <c r="AF424" i="1" s="1"/>
  <c r="T425" i="1"/>
  <c r="AF425" i="1" s="1"/>
  <c r="T426" i="1"/>
  <c r="AF426" i="1" s="1"/>
  <c r="T427" i="1"/>
  <c r="AF427" i="1" s="1"/>
  <c r="T428" i="1"/>
  <c r="AF428" i="1" s="1"/>
  <c r="T429" i="1"/>
  <c r="AF429" i="1" s="1"/>
  <c r="T430" i="1"/>
  <c r="AF430" i="1" s="1"/>
  <c r="T431" i="1"/>
  <c r="AF431" i="1" s="1"/>
  <c r="T432" i="1"/>
  <c r="AF432" i="1" s="1"/>
  <c r="T433" i="1"/>
  <c r="AF433" i="1" s="1"/>
  <c r="T434" i="1"/>
  <c r="AF434" i="1" s="1"/>
  <c r="T435" i="1"/>
  <c r="AF435" i="1" s="1"/>
  <c r="T436" i="1"/>
  <c r="AF436" i="1" s="1"/>
  <c r="T437" i="1"/>
  <c r="AF437" i="1" s="1"/>
  <c r="T438" i="1"/>
  <c r="AF438" i="1" s="1"/>
  <c r="T439" i="1"/>
  <c r="AF439" i="1" s="1"/>
  <c r="T440" i="1"/>
  <c r="AF440" i="1" s="1"/>
  <c r="T441" i="1"/>
  <c r="AF441" i="1" s="1"/>
  <c r="T442" i="1"/>
  <c r="AF442" i="1" s="1"/>
  <c r="T443" i="1"/>
  <c r="AF443" i="1" s="1"/>
  <c r="T444" i="1"/>
  <c r="AF444" i="1" s="1"/>
  <c r="T445" i="1"/>
  <c r="AF445" i="1" s="1"/>
  <c r="T446" i="1"/>
  <c r="AF446" i="1" s="1"/>
  <c r="T447" i="1"/>
  <c r="AF447" i="1" s="1"/>
  <c r="T448" i="1"/>
  <c r="AF448" i="1" s="1"/>
  <c r="T449" i="1"/>
  <c r="AF449" i="1" s="1"/>
  <c r="T450" i="1"/>
  <c r="AF450" i="1" s="1"/>
  <c r="T451" i="1"/>
  <c r="AF451" i="1" s="1"/>
  <c r="T452" i="1"/>
  <c r="AF452" i="1" s="1"/>
  <c r="T453" i="1"/>
  <c r="AF453" i="1" s="1"/>
  <c r="T454" i="1"/>
  <c r="AF454" i="1" s="1"/>
  <c r="T455" i="1"/>
  <c r="AF455" i="1" s="1"/>
  <c r="T456" i="1"/>
  <c r="AF456" i="1" s="1"/>
  <c r="T457" i="1"/>
  <c r="AF457" i="1" s="1"/>
  <c r="T458" i="1"/>
  <c r="AF458" i="1" s="1"/>
  <c r="T459" i="1"/>
  <c r="AF459" i="1" s="1"/>
  <c r="T460" i="1"/>
  <c r="AF460" i="1" s="1"/>
  <c r="T461" i="1"/>
  <c r="AF461" i="1" s="1"/>
  <c r="T462" i="1"/>
  <c r="AF462" i="1" s="1"/>
  <c r="T463" i="1"/>
  <c r="AF463" i="1" s="1"/>
  <c r="T464" i="1"/>
  <c r="AF464" i="1" s="1"/>
  <c r="T465" i="1"/>
  <c r="AF465" i="1" s="1"/>
  <c r="T466" i="1"/>
  <c r="AF466" i="1" s="1"/>
  <c r="T467" i="1"/>
  <c r="AF467" i="1" s="1"/>
  <c r="T468" i="1"/>
  <c r="AF468" i="1" s="1"/>
  <c r="T469" i="1"/>
  <c r="AF469" i="1" s="1"/>
  <c r="T470" i="1"/>
  <c r="AF470" i="1" s="1"/>
  <c r="T471" i="1"/>
  <c r="AF471" i="1" s="1"/>
  <c r="T472" i="1"/>
  <c r="AF472" i="1" s="1"/>
  <c r="T473" i="1"/>
  <c r="AF473" i="1" s="1"/>
  <c r="T474" i="1"/>
  <c r="AF474" i="1" s="1"/>
  <c r="T475" i="1"/>
  <c r="AF475" i="1" s="1"/>
  <c r="T476" i="1"/>
  <c r="AF476" i="1" s="1"/>
  <c r="T477" i="1"/>
  <c r="AF477" i="1" s="1"/>
  <c r="T478" i="1"/>
  <c r="AF478" i="1" s="1"/>
  <c r="T479" i="1"/>
  <c r="AF479" i="1" s="1"/>
  <c r="T480" i="1"/>
  <c r="AF480" i="1" s="1"/>
  <c r="T481" i="1"/>
  <c r="AF481" i="1" s="1"/>
  <c r="T482" i="1"/>
  <c r="AF482" i="1" s="1"/>
  <c r="T483" i="1"/>
  <c r="AF483" i="1" s="1"/>
  <c r="T484" i="1"/>
  <c r="AF484" i="1" s="1"/>
  <c r="T485" i="1"/>
  <c r="AF485" i="1" s="1"/>
  <c r="T486" i="1"/>
  <c r="AF486" i="1" s="1"/>
  <c r="T487" i="1"/>
  <c r="AF487" i="1" s="1"/>
  <c r="T488" i="1"/>
  <c r="AF488" i="1" s="1"/>
  <c r="T489" i="1"/>
  <c r="AF489" i="1" s="1"/>
  <c r="T490" i="1"/>
  <c r="AF490" i="1" s="1"/>
  <c r="T491" i="1"/>
  <c r="AF491" i="1" s="1"/>
  <c r="T492" i="1"/>
  <c r="AF492" i="1" s="1"/>
  <c r="T493" i="1"/>
  <c r="AF493" i="1" s="1"/>
  <c r="T494" i="1"/>
  <c r="AF494" i="1" s="1"/>
  <c r="T495" i="1"/>
  <c r="AF495" i="1" s="1"/>
  <c r="T496" i="1"/>
  <c r="AF496" i="1" s="1"/>
  <c r="T497" i="1"/>
  <c r="AF497" i="1" s="1"/>
  <c r="T498" i="1"/>
  <c r="AF498" i="1" s="1"/>
  <c r="T499" i="1"/>
  <c r="AF499" i="1" s="1"/>
  <c r="T500" i="1"/>
  <c r="AF500" i="1" s="1"/>
  <c r="T501" i="1"/>
  <c r="AF501" i="1" s="1"/>
  <c r="T502" i="1"/>
  <c r="AF502" i="1" s="1"/>
  <c r="T503" i="1"/>
  <c r="AF503" i="1" s="1"/>
  <c r="T504" i="1"/>
  <c r="AF504" i="1" s="1"/>
  <c r="T505" i="1"/>
  <c r="AF505" i="1" s="1"/>
  <c r="T506" i="1"/>
  <c r="AF506" i="1" s="1"/>
  <c r="T507" i="1"/>
  <c r="AF507" i="1" s="1"/>
  <c r="T508" i="1"/>
  <c r="AF508" i="1" s="1"/>
  <c r="T509" i="1"/>
  <c r="AF509" i="1" s="1"/>
  <c r="T510" i="1"/>
  <c r="AF510" i="1" s="1"/>
  <c r="T511" i="1"/>
  <c r="AF511" i="1" s="1"/>
  <c r="T512" i="1"/>
  <c r="AF512" i="1" s="1"/>
  <c r="T513" i="1"/>
  <c r="AF513" i="1" s="1"/>
  <c r="T514" i="1"/>
  <c r="AF514" i="1" s="1"/>
  <c r="T515" i="1"/>
  <c r="AF515" i="1" s="1"/>
  <c r="T516" i="1"/>
  <c r="AF516" i="1" s="1"/>
  <c r="T517" i="1"/>
  <c r="AF517" i="1" s="1"/>
  <c r="T518" i="1"/>
  <c r="AF518" i="1" s="1"/>
  <c r="T519" i="1"/>
  <c r="AF519" i="1" s="1"/>
  <c r="T520" i="1"/>
  <c r="AF520" i="1" s="1"/>
  <c r="T521" i="1"/>
  <c r="AF521" i="1" s="1"/>
  <c r="T522" i="1"/>
  <c r="AF522" i="1" s="1"/>
  <c r="T523" i="1"/>
  <c r="AF523" i="1" s="1"/>
  <c r="T524" i="1"/>
  <c r="AF524" i="1" s="1"/>
  <c r="T525" i="1"/>
  <c r="AF525" i="1" s="1"/>
  <c r="T526" i="1"/>
  <c r="AF526" i="1" s="1"/>
  <c r="T527" i="1"/>
  <c r="AF527" i="1" s="1"/>
  <c r="T528" i="1"/>
  <c r="AF528" i="1" s="1"/>
  <c r="T529" i="1"/>
  <c r="AF529" i="1" s="1"/>
  <c r="T530" i="1"/>
  <c r="AF530" i="1" s="1"/>
  <c r="T531" i="1"/>
  <c r="AF531" i="1" s="1"/>
  <c r="T532" i="1"/>
  <c r="AF532" i="1" s="1"/>
  <c r="T533" i="1"/>
  <c r="AF533" i="1" s="1"/>
  <c r="T534" i="1"/>
  <c r="AF534" i="1" s="1"/>
  <c r="T535" i="1"/>
  <c r="AF535" i="1" s="1"/>
  <c r="T536" i="1"/>
  <c r="AF536" i="1" s="1"/>
  <c r="T537" i="1"/>
  <c r="AF537" i="1" s="1"/>
  <c r="T538" i="1"/>
  <c r="AF538" i="1" s="1"/>
  <c r="T539" i="1"/>
  <c r="AF539" i="1" s="1"/>
  <c r="T540" i="1"/>
  <c r="AF540" i="1" s="1"/>
  <c r="T541" i="1"/>
  <c r="AF541" i="1" s="1"/>
  <c r="T542" i="1"/>
  <c r="AF542" i="1" s="1"/>
  <c r="T543" i="1"/>
  <c r="AF543" i="1" s="1"/>
  <c r="T544" i="1"/>
  <c r="AF544" i="1" s="1"/>
  <c r="T545" i="1"/>
  <c r="AF545" i="1" s="1"/>
  <c r="T546" i="1"/>
  <c r="AF546" i="1" s="1"/>
  <c r="T547" i="1"/>
  <c r="AF547" i="1" s="1"/>
  <c r="T548" i="1"/>
  <c r="AF548" i="1" s="1"/>
  <c r="T549" i="1"/>
  <c r="AF549" i="1" s="1"/>
  <c r="T550" i="1"/>
  <c r="AF550" i="1" s="1"/>
  <c r="T551" i="1"/>
  <c r="AF551" i="1" s="1"/>
  <c r="T552" i="1"/>
  <c r="AF552" i="1" s="1"/>
  <c r="T553" i="1"/>
  <c r="AF553" i="1" s="1"/>
  <c r="T554" i="1"/>
  <c r="AF554" i="1" s="1"/>
  <c r="T555" i="1"/>
  <c r="AF555" i="1" s="1"/>
  <c r="T556" i="1"/>
  <c r="AF556" i="1" s="1"/>
  <c r="T557" i="1"/>
  <c r="AF557" i="1" s="1"/>
  <c r="T558" i="1"/>
  <c r="AF558" i="1" s="1"/>
  <c r="T559" i="1"/>
  <c r="AF559" i="1" s="1"/>
  <c r="T560" i="1"/>
  <c r="AF560" i="1" s="1"/>
  <c r="T561" i="1"/>
  <c r="AF561" i="1" s="1"/>
  <c r="T562" i="1"/>
  <c r="AF562" i="1" s="1"/>
  <c r="T563" i="1"/>
  <c r="AF563" i="1" s="1"/>
  <c r="T564" i="1"/>
  <c r="AF564" i="1" s="1"/>
  <c r="T565" i="1"/>
  <c r="AF565" i="1" s="1"/>
  <c r="T566" i="1"/>
  <c r="AF566" i="1" s="1"/>
  <c r="T567" i="1"/>
  <c r="AF567" i="1" s="1"/>
  <c r="T568" i="1"/>
  <c r="AF568" i="1" s="1"/>
  <c r="T569" i="1"/>
  <c r="AF569" i="1" s="1"/>
  <c r="T570" i="1"/>
  <c r="AF570" i="1" s="1"/>
  <c r="T571" i="1"/>
  <c r="AF571" i="1" s="1"/>
  <c r="T572" i="1"/>
  <c r="AF572" i="1" s="1"/>
  <c r="T573" i="1"/>
  <c r="AF573" i="1" s="1"/>
  <c r="T574" i="1"/>
  <c r="AF574" i="1" s="1"/>
  <c r="T575" i="1"/>
  <c r="AF575" i="1" s="1"/>
  <c r="T576" i="1"/>
  <c r="AF576" i="1" s="1"/>
  <c r="T577" i="1"/>
  <c r="AF577" i="1" s="1"/>
  <c r="T578" i="1"/>
  <c r="AF578" i="1" s="1"/>
  <c r="T579" i="1"/>
  <c r="AF579" i="1" s="1"/>
  <c r="T580" i="1"/>
  <c r="AF580" i="1" s="1"/>
  <c r="T581" i="1"/>
  <c r="AF581" i="1" s="1"/>
  <c r="T582" i="1"/>
  <c r="AF582" i="1" s="1"/>
  <c r="T583" i="1"/>
  <c r="AF583" i="1" s="1"/>
  <c r="T584" i="1"/>
  <c r="AF584" i="1" s="1"/>
  <c r="T585" i="1"/>
  <c r="AF585" i="1" s="1"/>
  <c r="T586" i="1"/>
  <c r="AF586" i="1" s="1"/>
  <c r="T587" i="1"/>
  <c r="AF587" i="1" s="1"/>
  <c r="T588" i="1"/>
  <c r="AF588" i="1" s="1"/>
  <c r="T589" i="1"/>
  <c r="AF589" i="1" s="1"/>
  <c r="T590" i="1"/>
  <c r="AF590" i="1" s="1"/>
  <c r="T591" i="1"/>
  <c r="AF591" i="1" s="1"/>
  <c r="T592" i="1"/>
  <c r="AF592" i="1" s="1"/>
  <c r="T593" i="1"/>
  <c r="AF593" i="1" s="1"/>
  <c r="T594" i="1"/>
  <c r="AF594" i="1" s="1"/>
  <c r="T595" i="1"/>
  <c r="AF595" i="1" s="1"/>
  <c r="T596" i="1"/>
  <c r="AF596" i="1" s="1"/>
  <c r="T597" i="1"/>
  <c r="AF597" i="1" s="1"/>
  <c r="T598" i="1"/>
  <c r="AF598" i="1" s="1"/>
  <c r="T599" i="1"/>
  <c r="AF599" i="1" s="1"/>
  <c r="T600" i="1"/>
  <c r="AF600" i="1" s="1"/>
  <c r="T601" i="1"/>
  <c r="AF601" i="1" s="1"/>
  <c r="T602" i="1"/>
  <c r="T603" i="1"/>
  <c r="AF603" i="1" s="1"/>
  <c r="T604" i="1"/>
  <c r="AF604" i="1" s="1"/>
  <c r="T605" i="1"/>
  <c r="AF605" i="1" s="1"/>
  <c r="T606" i="1"/>
  <c r="AF606" i="1" s="1"/>
  <c r="T607" i="1"/>
  <c r="AF607" i="1" s="1"/>
  <c r="T608" i="1"/>
  <c r="AF608" i="1" s="1"/>
  <c r="T609" i="1"/>
  <c r="AF609" i="1" s="1"/>
  <c r="T610" i="1"/>
  <c r="AF610" i="1" s="1"/>
  <c r="T611" i="1"/>
  <c r="AF611" i="1" s="1"/>
  <c r="T612" i="1"/>
  <c r="AF612" i="1" s="1"/>
  <c r="T613" i="1"/>
  <c r="AF613" i="1" s="1"/>
  <c r="T614" i="1"/>
  <c r="AF614" i="1" s="1"/>
  <c r="T615" i="1"/>
  <c r="AF615" i="1" s="1"/>
  <c r="T616" i="1"/>
  <c r="AF616" i="1" s="1"/>
  <c r="T617" i="1"/>
  <c r="AF617" i="1" s="1"/>
  <c r="T618" i="1"/>
  <c r="AF618" i="1" s="1"/>
  <c r="T619" i="1"/>
  <c r="AF619" i="1" s="1"/>
  <c r="T620" i="1"/>
  <c r="AF620" i="1" s="1"/>
  <c r="T621" i="1"/>
  <c r="AF621" i="1" s="1"/>
  <c r="T622" i="1"/>
  <c r="AF622" i="1" s="1"/>
  <c r="T623" i="1"/>
  <c r="AF623" i="1" s="1"/>
  <c r="T624" i="1"/>
  <c r="AF624" i="1" s="1"/>
  <c r="T625" i="1"/>
  <c r="AF625" i="1" s="1"/>
  <c r="T626" i="1"/>
  <c r="AF626" i="1" s="1"/>
  <c r="T627" i="1"/>
  <c r="AF627" i="1" s="1"/>
  <c r="T628" i="1"/>
  <c r="AF628" i="1" s="1"/>
  <c r="T629" i="1"/>
  <c r="AF629" i="1" s="1"/>
  <c r="T630" i="1"/>
  <c r="AF630" i="1" s="1"/>
  <c r="T631" i="1"/>
  <c r="AF631" i="1" s="1"/>
  <c r="T632" i="1"/>
  <c r="AF632" i="1" s="1"/>
  <c r="T633" i="1"/>
  <c r="AF633" i="1" s="1"/>
  <c r="T634" i="1"/>
  <c r="AF634" i="1" s="1"/>
  <c r="T635" i="1"/>
  <c r="AF635" i="1" s="1"/>
  <c r="T636" i="1"/>
  <c r="AF636" i="1" s="1"/>
  <c r="T637" i="1"/>
  <c r="AF637" i="1" s="1"/>
  <c r="T638" i="1"/>
  <c r="AF638" i="1" s="1"/>
  <c r="T639" i="1"/>
  <c r="AF639" i="1" s="1"/>
  <c r="T640" i="1"/>
  <c r="AF640" i="1" s="1"/>
  <c r="T641" i="1"/>
  <c r="AF641" i="1" s="1"/>
  <c r="T642" i="1"/>
  <c r="AF642" i="1" s="1"/>
  <c r="T643" i="1"/>
  <c r="AF643" i="1" s="1"/>
  <c r="T644" i="1"/>
  <c r="AF644" i="1" s="1"/>
  <c r="T645" i="1"/>
  <c r="AF645" i="1" s="1"/>
  <c r="T646" i="1"/>
  <c r="AF646" i="1" s="1"/>
  <c r="T647" i="1"/>
  <c r="AF647" i="1" s="1"/>
  <c r="T648" i="1"/>
  <c r="AF648" i="1" s="1"/>
  <c r="T649" i="1"/>
  <c r="AF649" i="1" s="1"/>
  <c r="T650" i="1"/>
  <c r="AF650" i="1" s="1"/>
  <c r="T651" i="1"/>
  <c r="AF651" i="1" s="1"/>
  <c r="T652" i="1"/>
  <c r="AF652" i="1" s="1"/>
  <c r="T653" i="1"/>
  <c r="T654" i="1"/>
  <c r="AF654" i="1" s="1"/>
  <c r="T655" i="1"/>
  <c r="AF655" i="1" s="1"/>
  <c r="T656" i="1"/>
  <c r="AF656" i="1" s="1"/>
  <c r="T657" i="1"/>
  <c r="AF657" i="1" s="1"/>
  <c r="T658" i="1"/>
  <c r="AF658" i="1" s="1"/>
  <c r="T659" i="1"/>
  <c r="AF659" i="1" s="1"/>
  <c r="T660" i="1"/>
  <c r="AF660" i="1" s="1"/>
  <c r="T661" i="1"/>
  <c r="AF661" i="1" s="1"/>
  <c r="T662" i="1"/>
  <c r="AF662" i="1" s="1"/>
  <c r="T663" i="1"/>
  <c r="AF663" i="1" s="1"/>
  <c r="T664" i="1"/>
  <c r="AF664" i="1" s="1"/>
  <c r="T665" i="1"/>
  <c r="AF665" i="1" s="1"/>
  <c r="T666" i="1"/>
  <c r="AF666" i="1" s="1"/>
  <c r="T667" i="1"/>
  <c r="AF667" i="1" s="1"/>
  <c r="T668" i="1"/>
  <c r="AF668" i="1" s="1"/>
  <c r="T669" i="1"/>
  <c r="AF669" i="1" s="1"/>
  <c r="T670" i="1"/>
  <c r="AF670" i="1" s="1"/>
  <c r="T671" i="1"/>
  <c r="AF671" i="1" s="1"/>
  <c r="T672" i="1"/>
  <c r="AF672" i="1" s="1"/>
  <c r="T673" i="1"/>
  <c r="AF673" i="1" s="1"/>
  <c r="T674" i="1"/>
  <c r="AF674" i="1" s="1"/>
  <c r="T675" i="1"/>
  <c r="AF675" i="1" s="1"/>
  <c r="T676" i="1"/>
  <c r="AF676" i="1" s="1"/>
  <c r="T677" i="1"/>
  <c r="AF677" i="1" s="1"/>
  <c r="T678" i="1"/>
  <c r="AF678" i="1" s="1"/>
  <c r="T679" i="1"/>
  <c r="AF679" i="1" s="1"/>
  <c r="T680" i="1"/>
  <c r="AF680" i="1" s="1"/>
  <c r="T681" i="1"/>
  <c r="AF681" i="1" s="1"/>
  <c r="T682" i="1"/>
  <c r="AF682" i="1" s="1"/>
  <c r="T683" i="1"/>
  <c r="AF683" i="1" s="1"/>
  <c r="T684" i="1"/>
  <c r="AF684" i="1" s="1"/>
  <c r="T685" i="1"/>
  <c r="AF685" i="1" s="1"/>
  <c r="T686" i="1"/>
  <c r="AF686" i="1" s="1"/>
  <c r="T687" i="1"/>
  <c r="AF687" i="1" s="1"/>
  <c r="T688" i="1"/>
  <c r="AF688" i="1" s="1"/>
  <c r="T689" i="1"/>
  <c r="AF689" i="1" s="1"/>
  <c r="T690" i="1"/>
  <c r="AF690" i="1" s="1"/>
  <c r="T691" i="1"/>
  <c r="AF691" i="1" s="1"/>
  <c r="T692" i="1"/>
  <c r="AF692" i="1" s="1"/>
  <c r="T693" i="1"/>
  <c r="AF693" i="1" s="1"/>
  <c r="T694" i="1"/>
  <c r="AF694" i="1" s="1"/>
  <c r="T695" i="1"/>
  <c r="AF695" i="1" s="1"/>
  <c r="T696" i="1"/>
  <c r="AF696" i="1" s="1"/>
  <c r="T697" i="1"/>
  <c r="AF697" i="1" s="1"/>
  <c r="T698" i="1"/>
  <c r="AF698" i="1" s="1"/>
  <c r="T699" i="1"/>
  <c r="AF699" i="1" s="1"/>
  <c r="T700" i="1"/>
  <c r="AF700" i="1" s="1"/>
  <c r="T701" i="1"/>
  <c r="AF701" i="1" s="1"/>
  <c r="T702" i="1"/>
  <c r="AF702" i="1" s="1"/>
  <c r="T703" i="1"/>
  <c r="AF703" i="1" s="1"/>
  <c r="T704" i="1"/>
  <c r="AF704" i="1" s="1"/>
  <c r="T705" i="1"/>
  <c r="AF705" i="1" s="1"/>
  <c r="T706" i="1"/>
  <c r="AF706" i="1" s="1"/>
  <c r="T707" i="1"/>
  <c r="AF707" i="1" s="1"/>
  <c r="T708" i="1"/>
  <c r="AF708" i="1" s="1"/>
  <c r="T709" i="1"/>
  <c r="AF709" i="1" s="1"/>
  <c r="T710" i="1"/>
  <c r="AF710" i="1" s="1"/>
  <c r="T711" i="1"/>
  <c r="AF711" i="1" s="1"/>
  <c r="T712" i="1"/>
  <c r="AF712" i="1" s="1"/>
  <c r="T713" i="1"/>
  <c r="AF713" i="1" s="1"/>
  <c r="T714" i="1"/>
  <c r="AF714" i="1" s="1"/>
  <c r="T715" i="1"/>
  <c r="AF715" i="1" s="1"/>
  <c r="T716" i="1"/>
  <c r="AF716" i="1" s="1"/>
  <c r="T717" i="1"/>
  <c r="AF717" i="1" s="1"/>
  <c r="T718" i="1"/>
  <c r="AF718" i="1" s="1"/>
  <c r="T719" i="1"/>
  <c r="T720" i="1"/>
  <c r="AF720" i="1" s="1"/>
  <c r="T721" i="1"/>
  <c r="AF721" i="1" s="1"/>
  <c r="T722" i="1"/>
  <c r="AF722" i="1" s="1"/>
  <c r="T723" i="1"/>
  <c r="AF723" i="1" s="1"/>
  <c r="T724" i="1"/>
  <c r="AF724" i="1" s="1"/>
  <c r="T725" i="1"/>
  <c r="AF725" i="1" s="1"/>
  <c r="T726" i="1"/>
  <c r="AF726" i="1" s="1"/>
  <c r="T727" i="1"/>
  <c r="AF727" i="1" s="1"/>
  <c r="T728" i="1"/>
  <c r="AF728" i="1" s="1"/>
  <c r="T729" i="1"/>
  <c r="AF729" i="1" s="1"/>
  <c r="T730" i="1"/>
  <c r="AF730" i="1" s="1"/>
  <c r="T731" i="1"/>
  <c r="AF731" i="1" s="1"/>
  <c r="T732" i="1"/>
  <c r="AF732" i="1" s="1"/>
  <c r="T733" i="1"/>
  <c r="AF733" i="1" s="1"/>
  <c r="T734" i="1"/>
  <c r="AF734" i="1" s="1"/>
  <c r="T735" i="1"/>
  <c r="AF735" i="1" s="1"/>
  <c r="T736" i="1"/>
  <c r="AF736" i="1" s="1"/>
  <c r="T737" i="1"/>
  <c r="AF737" i="1" s="1"/>
  <c r="T738" i="1"/>
  <c r="AF738" i="1" s="1"/>
  <c r="T739" i="1"/>
  <c r="AF739" i="1" s="1"/>
  <c r="T740" i="1"/>
  <c r="AF740" i="1" s="1"/>
  <c r="T741" i="1"/>
  <c r="AF741" i="1" s="1"/>
  <c r="T742" i="1"/>
  <c r="AF742" i="1" s="1"/>
  <c r="T743" i="1"/>
  <c r="AF743" i="1" s="1"/>
  <c r="T744" i="1"/>
  <c r="AF744" i="1" s="1"/>
  <c r="T745" i="1"/>
  <c r="AF745" i="1" s="1"/>
  <c r="T746" i="1"/>
  <c r="AF746" i="1" s="1"/>
  <c r="T747" i="1"/>
  <c r="AF747" i="1" s="1"/>
  <c r="T748" i="1"/>
  <c r="AF748" i="1" s="1"/>
  <c r="T749" i="1"/>
  <c r="AF749" i="1" s="1"/>
  <c r="T750" i="1"/>
  <c r="AF750" i="1" s="1"/>
  <c r="T751" i="1"/>
  <c r="AF751" i="1" s="1"/>
  <c r="T752" i="1"/>
  <c r="AF752" i="1" s="1"/>
  <c r="T753" i="1"/>
  <c r="AF753" i="1" s="1"/>
  <c r="T754" i="1"/>
  <c r="AF754" i="1" s="1"/>
  <c r="T755" i="1"/>
  <c r="AF755" i="1" s="1"/>
  <c r="T756" i="1"/>
  <c r="AF756" i="1" s="1"/>
  <c r="T757" i="1"/>
  <c r="AF757" i="1" s="1"/>
  <c r="T758" i="1"/>
  <c r="AF758" i="1" s="1"/>
  <c r="T759" i="1"/>
  <c r="AF759" i="1" s="1"/>
  <c r="T760" i="1"/>
  <c r="AF760" i="1" s="1"/>
  <c r="T761" i="1"/>
  <c r="AF761" i="1" s="1"/>
  <c r="T762" i="1"/>
  <c r="AF762" i="1" s="1"/>
  <c r="T763" i="1"/>
  <c r="AF763" i="1" s="1"/>
  <c r="T764" i="1"/>
  <c r="AF764" i="1" s="1"/>
  <c r="T765" i="1"/>
  <c r="AF765" i="1" s="1"/>
  <c r="T766" i="1"/>
  <c r="AF766" i="1" s="1"/>
  <c r="T767" i="1"/>
  <c r="AF767" i="1" s="1"/>
  <c r="T768" i="1"/>
  <c r="AF768" i="1" s="1"/>
  <c r="T769" i="1"/>
  <c r="AF769" i="1" s="1"/>
  <c r="T770" i="1"/>
  <c r="AF770" i="1" s="1"/>
  <c r="T771" i="1"/>
  <c r="AF771" i="1" s="1"/>
  <c r="T772" i="1"/>
  <c r="AF772" i="1" s="1"/>
  <c r="T773" i="1"/>
  <c r="AF773" i="1" s="1"/>
  <c r="T774" i="1"/>
  <c r="AF774" i="1" s="1"/>
  <c r="T775" i="1"/>
  <c r="AF775" i="1" s="1"/>
  <c r="T776" i="1"/>
  <c r="AF776" i="1" s="1"/>
  <c r="T777" i="1"/>
  <c r="AF777" i="1" s="1"/>
  <c r="T778" i="1"/>
  <c r="AF778" i="1" s="1"/>
  <c r="T779" i="1"/>
  <c r="AF779" i="1" s="1"/>
  <c r="T780" i="1"/>
  <c r="AF780" i="1" s="1"/>
  <c r="T781" i="1"/>
  <c r="AF781" i="1" s="1"/>
  <c r="T782" i="1"/>
  <c r="AF782" i="1" s="1"/>
  <c r="T783" i="1"/>
  <c r="AF783" i="1" s="1"/>
  <c r="T784" i="1"/>
  <c r="AF784" i="1" s="1"/>
  <c r="T785" i="1"/>
  <c r="AF785" i="1" s="1"/>
  <c r="T786" i="1"/>
  <c r="AF786" i="1" s="1"/>
  <c r="T787" i="1"/>
  <c r="AF787" i="1" s="1"/>
  <c r="T788" i="1"/>
  <c r="AF788" i="1" s="1"/>
  <c r="T789" i="1"/>
  <c r="AF789" i="1" s="1"/>
  <c r="T790" i="1"/>
  <c r="AF790" i="1" s="1"/>
  <c r="T791" i="1"/>
  <c r="AF791" i="1" s="1"/>
  <c r="T792" i="1"/>
  <c r="AF792" i="1" s="1"/>
  <c r="T793" i="1"/>
  <c r="AF793" i="1" s="1"/>
  <c r="T794" i="1"/>
  <c r="AF794" i="1" s="1"/>
  <c r="T795" i="1"/>
  <c r="AF795" i="1" s="1"/>
  <c r="T796" i="1"/>
  <c r="AF796" i="1" s="1"/>
  <c r="T797" i="1"/>
  <c r="AF797" i="1" s="1"/>
  <c r="T798" i="1"/>
  <c r="AF798" i="1" s="1"/>
  <c r="T799" i="1"/>
  <c r="AF799" i="1" s="1"/>
  <c r="T800" i="1"/>
  <c r="AF800" i="1" s="1"/>
  <c r="T801" i="1"/>
  <c r="AF801" i="1" s="1"/>
  <c r="T802" i="1"/>
  <c r="AF802" i="1" s="1"/>
  <c r="T803" i="1"/>
  <c r="AF803" i="1" s="1"/>
  <c r="T804" i="1"/>
  <c r="AF804" i="1" s="1"/>
  <c r="T805" i="1"/>
  <c r="AF805" i="1" s="1"/>
  <c r="T806" i="1"/>
  <c r="AF806" i="1" s="1"/>
  <c r="T807" i="1"/>
  <c r="AF807" i="1" s="1"/>
  <c r="T808" i="1"/>
  <c r="AF808" i="1" s="1"/>
  <c r="T809" i="1"/>
  <c r="AF809" i="1" s="1"/>
  <c r="T810" i="1"/>
  <c r="AF810" i="1" s="1"/>
  <c r="T811" i="1"/>
  <c r="AF811" i="1" s="1"/>
  <c r="T812" i="1"/>
  <c r="AF812" i="1" s="1"/>
  <c r="T813" i="1"/>
  <c r="AF813" i="1" s="1"/>
  <c r="T814" i="1"/>
  <c r="AF814" i="1" s="1"/>
  <c r="T815" i="1"/>
  <c r="AF815" i="1" s="1"/>
  <c r="T816" i="1"/>
  <c r="AF816" i="1" s="1"/>
  <c r="T817" i="1"/>
  <c r="AF817" i="1" s="1"/>
  <c r="T818" i="1"/>
  <c r="AF818" i="1" s="1"/>
  <c r="T819" i="1"/>
  <c r="AF819" i="1" s="1"/>
  <c r="T820" i="1"/>
  <c r="AF820" i="1" s="1"/>
  <c r="T821" i="1"/>
  <c r="AF821" i="1" s="1"/>
  <c r="T822" i="1"/>
  <c r="AF822" i="1" s="1"/>
  <c r="T823" i="1"/>
  <c r="T824" i="1"/>
  <c r="AF824" i="1" s="1"/>
  <c r="T825" i="1"/>
  <c r="AF825" i="1" s="1"/>
  <c r="T826" i="1"/>
  <c r="AF826" i="1" s="1"/>
  <c r="T827" i="1"/>
  <c r="AF827" i="1" s="1"/>
  <c r="T828" i="1"/>
  <c r="AF828" i="1" s="1"/>
  <c r="T829" i="1"/>
  <c r="AF829" i="1" s="1"/>
  <c r="T830" i="1"/>
  <c r="AF830" i="1" s="1"/>
  <c r="T831" i="1"/>
  <c r="AF831" i="1" s="1"/>
  <c r="T832" i="1"/>
  <c r="AF832" i="1" s="1"/>
  <c r="T833" i="1"/>
  <c r="AF833" i="1" s="1"/>
  <c r="T834" i="1"/>
  <c r="AF834" i="1" s="1"/>
  <c r="T835" i="1"/>
  <c r="AF835" i="1" s="1"/>
  <c r="T836" i="1"/>
  <c r="T837" i="1"/>
  <c r="AF837" i="1" s="1"/>
  <c r="T838" i="1"/>
  <c r="AF838" i="1" s="1"/>
  <c r="T839" i="1"/>
  <c r="AF839" i="1" s="1"/>
  <c r="T840" i="1"/>
  <c r="AF840" i="1" s="1"/>
  <c r="T841" i="1"/>
  <c r="AF841" i="1" s="1"/>
  <c r="T842" i="1"/>
  <c r="AF842" i="1" s="1"/>
  <c r="T843" i="1"/>
  <c r="AF843" i="1" s="1"/>
  <c r="T844" i="1"/>
  <c r="AF844" i="1" s="1"/>
  <c r="T845" i="1"/>
  <c r="AF845" i="1" s="1"/>
  <c r="T846" i="1"/>
  <c r="AF846" i="1" s="1"/>
  <c r="T847" i="1"/>
  <c r="AF847" i="1" s="1"/>
  <c r="T848" i="1"/>
  <c r="AF848" i="1" s="1"/>
  <c r="T849" i="1"/>
  <c r="AF849" i="1" s="1"/>
  <c r="T850" i="1"/>
  <c r="AF850" i="1" s="1"/>
  <c r="T851" i="1"/>
  <c r="AF851" i="1" s="1"/>
  <c r="T852" i="1"/>
  <c r="AF852" i="1" s="1"/>
  <c r="T853" i="1"/>
  <c r="AF853" i="1" s="1"/>
  <c r="T854" i="1"/>
  <c r="AF854" i="1" s="1"/>
  <c r="T855" i="1"/>
  <c r="AF855" i="1" s="1"/>
  <c r="T856" i="1"/>
  <c r="AF856" i="1" s="1"/>
  <c r="T857" i="1"/>
  <c r="AF857" i="1" s="1"/>
  <c r="T858" i="1"/>
  <c r="AF858" i="1" s="1"/>
  <c r="T859" i="1"/>
  <c r="AF859" i="1" s="1"/>
  <c r="T860" i="1"/>
  <c r="AF860" i="1" s="1"/>
  <c r="T861" i="1"/>
  <c r="AF861" i="1" s="1"/>
  <c r="T862" i="1"/>
  <c r="AF862" i="1" s="1"/>
  <c r="T863" i="1"/>
  <c r="AF863" i="1" s="1"/>
  <c r="T864" i="1"/>
  <c r="AF864" i="1" s="1"/>
  <c r="T865" i="1"/>
  <c r="AF865" i="1" s="1"/>
  <c r="T866" i="1"/>
  <c r="AF866" i="1" s="1"/>
  <c r="T867" i="1"/>
  <c r="AF867" i="1" s="1"/>
  <c r="T868" i="1"/>
  <c r="AF868" i="1" s="1"/>
  <c r="T869" i="1"/>
  <c r="AF869" i="1" s="1"/>
  <c r="T870" i="1"/>
  <c r="AF870" i="1" s="1"/>
  <c r="T871" i="1"/>
  <c r="AF871" i="1" s="1"/>
  <c r="T872" i="1"/>
  <c r="AF872" i="1" s="1"/>
  <c r="T873" i="1"/>
  <c r="AF873" i="1" s="1"/>
  <c r="T874" i="1"/>
  <c r="AF874" i="1" s="1"/>
  <c r="T875" i="1"/>
  <c r="AF875" i="1" s="1"/>
  <c r="T876" i="1"/>
  <c r="AF876" i="1" s="1"/>
  <c r="T877" i="1"/>
  <c r="AF877" i="1" s="1"/>
  <c r="T878" i="1"/>
  <c r="AF878" i="1" s="1"/>
  <c r="T879" i="1"/>
  <c r="AF879" i="1" s="1"/>
  <c r="T880" i="1"/>
  <c r="AF880" i="1" s="1"/>
  <c r="T881" i="1"/>
  <c r="AF881" i="1" s="1"/>
  <c r="T882" i="1"/>
  <c r="AF882" i="1" s="1"/>
  <c r="T883" i="1"/>
  <c r="AF883" i="1" s="1"/>
  <c r="T884" i="1"/>
  <c r="AF884" i="1" s="1"/>
  <c r="T885" i="1"/>
  <c r="AF885" i="1" s="1"/>
  <c r="T886" i="1"/>
  <c r="AF886" i="1" s="1"/>
  <c r="T887" i="1"/>
  <c r="AF887" i="1" s="1"/>
  <c r="T888" i="1"/>
  <c r="AF888" i="1" s="1"/>
  <c r="T889" i="1"/>
  <c r="AF889" i="1" s="1"/>
  <c r="T890" i="1"/>
  <c r="AF890" i="1" s="1"/>
  <c r="T891" i="1"/>
  <c r="AF891" i="1" s="1"/>
  <c r="T892" i="1"/>
  <c r="AF892" i="1" s="1"/>
  <c r="T893" i="1"/>
  <c r="AF893" i="1" s="1"/>
  <c r="T894" i="1"/>
  <c r="AF894" i="1" s="1"/>
  <c r="T895" i="1"/>
  <c r="AF895" i="1" s="1"/>
  <c r="T896" i="1"/>
  <c r="AF896" i="1" s="1"/>
  <c r="T897" i="1"/>
  <c r="AF897" i="1" s="1"/>
  <c r="T898" i="1"/>
  <c r="AF898" i="1" s="1"/>
  <c r="T899" i="1"/>
  <c r="AF899" i="1" s="1"/>
  <c r="T900" i="1"/>
  <c r="AF900" i="1" s="1"/>
  <c r="T901" i="1"/>
  <c r="AF901" i="1" s="1"/>
  <c r="T902" i="1"/>
  <c r="AF902" i="1" s="1"/>
  <c r="T903" i="1"/>
  <c r="AF903" i="1" s="1"/>
  <c r="T904" i="1"/>
  <c r="AF904" i="1" s="1"/>
  <c r="T905" i="1"/>
  <c r="AF905" i="1" s="1"/>
  <c r="T906" i="1"/>
  <c r="AF906" i="1" s="1"/>
  <c r="T907" i="1"/>
  <c r="AF907" i="1" s="1"/>
  <c r="T908" i="1"/>
  <c r="AF908" i="1" s="1"/>
  <c r="T909" i="1"/>
  <c r="AF909" i="1" s="1"/>
  <c r="T910" i="1"/>
  <c r="AF910" i="1" s="1"/>
  <c r="T911" i="1"/>
  <c r="AF911" i="1" s="1"/>
  <c r="T912" i="1"/>
  <c r="AF912" i="1" s="1"/>
  <c r="T913" i="1"/>
  <c r="AF913" i="1" s="1"/>
  <c r="T914" i="1"/>
  <c r="AF914" i="1" s="1"/>
  <c r="T915" i="1"/>
  <c r="AF915" i="1" s="1"/>
  <c r="T916" i="1"/>
  <c r="AF916" i="1" s="1"/>
  <c r="T917" i="1"/>
  <c r="AF917" i="1" s="1"/>
  <c r="T918" i="1"/>
  <c r="AF918" i="1" s="1"/>
  <c r="T919" i="1"/>
  <c r="AF919" i="1" s="1"/>
  <c r="T920" i="1"/>
  <c r="AF920" i="1" s="1"/>
  <c r="T921" i="1"/>
  <c r="AF921" i="1" s="1"/>
  <c r="T922" i="1"/>
  <c r="AF922" i="1" s="1"/>
  <c r="T923" i="1"/>
  <c r="AF923" i="1" s="1"/>
  <c r="T924" i="1"/>
  <c r="AF924" i="1" s="1"/>
  <c r="T925" i="1"/>
  <c r="AF925" i="1" s="1"/>
  <c r="T926" i="1"/>
  <c r="AF926" i="1" s="1"/>
  <c r="T927" i="1"/>
  <c r="AF927" i="1" s="1"/>
  <c r="T928" i="1"/>
  <c r="AF928" i="1" s="1"/>
  <c r="T929" i="1"/>
  <c r="AF929" i="1" s="1"/>
  <c r="T930" i="1"/>
  <c r="AF930" i="1" s="1"/>
  <c r="T931" i="1"/>
  <c r="AF931" i="1" s="1"/>
  <c r="T932" i="1"/>
  <c r="AF932" i="1" s="1"/>
  <c r="T933" i="1"/>
  <c r="AF933" i="1" s="1"/>
  <c r="T934" i="1"/>
  <c r="AF934" i="1" s="1"/>
  <c r="T935" i="1"/>
  <c r="AF935" i="1" s="1"/>
  <c r="T936" i="1"/>
  <c r="AF936" i="1" s="1"/>
  <c r="T937" i="1"/>
  <c r="AF937" i="1" s="1"/>
  <c r="T938" i="1"/>
  <c r="AF938" i="1" s="1"/>
  <c r="T939" i="1"/>
  <c r="AF939" i="1" s="1"/>
  <c r="T940" i="1"/>
  <c r="AF940" i="1" s="1"/>
  <c r="T941" i="1"/>
  <c r="AF941" i="1" s="1"/>
  <c r="T942" i="1"/>
  <c r="AF942" i="1" s="1"/>
  <c r="T943" i="1"/>
  <c r="AF943" i="1" s="1"/>
  <c r="T944" i="1"/>
  <c r="AF944" i="1" s="1"/>
  <c r="T945" i="1"/>
  <c r="AF945" i="1" s="1"/>
  <c r="T946" i="1"/>
  <c r="AF946" i="1" s="1"/>
  <c r="T947" i="1"/>
  <c r="AF947" i="1" s="1"/>
  <c r="T948" i="1"/>
  <c r="AF948" i="1" s="1"/>
  <c r="T949" i="1"/>
  <c r="AF949" i="1" s="1"/>
  <c r="T950" i="1"/>
  <c r="AF950" i="1" s="1"/>
  <c r="T951" i="1"/>
  <c r="AF951" i="1" s="1"/>
  <c r="T952" i="1"/>
  <c r="T953" i="1"/>
  <c r="AF953" i="1" s="1"/>
  <c r="T954" i="1"/>
  <c r="AF954" i="1" s="1"/>
  <c r="T955" i="1"/>
  <c r="AF955" i="1" s="1"/>
  <c r="T956" i="1"/>
  <c r="AF956" i="1" s="1"/>
  <c r="T957" i="1"/>
  <c r="AF957" i="1" s="1"/>
  <c r="T958" i="1"/>
  <c r="AF958" i="1" s="1"/>
  <c r="T959" i="1"/>
  <c r="AF959" i="1" s="1"/>
  <c r="T960" i="1"/>
  <c r="AF960" i="1" s="1"/>
  <c r="T961" i="1"/>
  <c r="AF961" i="1" s="1"/>
  <c r="T962" i="1"/>
  <c r="AF962" i="1" s="1"/>
  <c r="T963" i="1"/>
  <c r="AF963" i="1" s="1"/>
  <c r="T964" i="1"/>
  <c r="AF964" i="1" s="1"/>
  <c r="T965" i="1"/>
  <c r="AF965" i="1" s="1"/>
  <c r="T966" i="1"/>
  <c r="AF966" i="1" s="1"/>
  <c r="T967" i="1"/>
  <c r="AF967" i="1" s="1"/>
  <c r="T968" i="1"/>
  <c r="AF968" i="1" s="1"/>
  <c r="T969" i="1"/>
  <c r="AF969" i="1" s="1"/>
  <c r="T970" i="1"/>
  <c r="AF970" i="1" s="1"/>
  <c r="T971" i="1"/>
  <c r="AF971" i="1" s="1"/>
  <c r="T972" i="1"/>
  <c r="AF972" i="1" s="1"/>
  <c r="T973" i="1"/>
  <c r="AF973" i="1" s="1"/>
  <c r="T974" i="1"/>
  <c r="AF974" i="1" s="1"/>
  <c r="T975" i="1"/>
  <c r="AF975" i="1" s="1"/>
  <c r="T976" i="1"/>
  <c r="AF976" i="1" s="1"/>
  <c r="T977" i="1"/>
  <c r="AF977" i="1" s="1"/>
  <c r="T978" i="1"/>
  <c r="AF978" i="1" s="1"/>
  <c r="T979" i="1"/>
  <c r="AF979" i="1" s="1"/>
  <c r="T980" i="1"/>
  <c r="AF980" i="1" s="1"/>
  <c r="T981" i="1"/>
  <c r="AF981" i="1" s="1"/>
  <c r="T982" i="1"/>
  <c r="AF982" i="1" s="1"/>
  <c r="T983" i="1"/>
  <c r="AF983" i="1" s="1"/>
  <c r="T984" i="1"/>
  <c r="AF984" i="1" s="1"/>
  <c r="T985" i="1"/>
  <c r="AF985" i="1" s="1"/>
  <c r="T986" i="1"/>
  <c r="AF986" i="1" s="1"/>
  <c r="T987" i="1"/>
  <c r="AF987" i="1" s="1"/>
  <c r="T988" i="1"/>
  <c r="AF988" i="1" s="1"/>
  <c r="T989" i="1"/>
  <c r="AF989" i="1" s="1"/>
  <c r="T990" i="1"/>
  <c r="AF990" i="1" s="1"/>
  <c r="T991" i="1"/>
  <c r="AF991" i="1" s="1"/>
  <c r="T992" i="1"/>
  <c r="AF992" i="1" s="1"/>
  <c r="T993" i="1"/>
  <c r="AF993" i="1" s="1"/>
  <c r="T994" i="1"/>
  <c r="AF994" i="1" s="1"/>
  <c r="T995" i="1"/>
  <c r="AF995" i="1" s="1"/>
  <c r="T996" i="1"/>
  <c r="AF996" i="1" s="1"/>
  <c r="T997" i="1"/>
  <c r="AF997" i="1" s="1"/>
  <c r="T998" i="1"/>
  <c r="AF998" i="1" s="1"/>
  <c r="T999" i="1"/>
  <c r="AF999" i="1" s="1"/>
  <c r="T1000" i="1"/>
  <c r="AF1000" i="1" s="1"/>
  <c r="T1001" i="1"/>
  <c r="AF1001" i="1" s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AF205" i="1" l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653" i="1"/>
  <c r="AF19" i="1"/>
  <c r="AF187" i="1"/>
  <c r="AF10" i="1"/>
  <c r="AF14" i="1"/>
  <c r="AF17" i="1"/>
  <c r="AF369" i="1"/>
  <c r="AF952" i="1"/>
  <c r="AF4" i="1"/>
  <c r="AF5" i="1"/>
  <c r="AF7" i="1"/>
  <c r="AF3" i="1"/>
  <c r="AF8" i="1"/>
  <c r="AF9" i="1"/>
  <c r="AF11" i="1"/>
  <c r="AF12" i="1"/>
  <c r="AF13" i="1"/>
  <c r="AF15" i="1"/>
  <c r="AF16" i="1"/>
  <c r="AF18" i="1"/>
  <c r="AF602" i="1"/>
  <c r="AF719" i="1"/>
  <c r="AF836" i="1"/>
  <c r="AF6" i="1"/>
</calcChain>
</file>

<file path=xl/sharedStrings.xml><?xml version="1.0" encoding="utf-8"?>
<sst xmlns="http://schemas.openxmlformats.org/spreadsheetml/2006/main" count="2110" uniqueCount="1071">
  <si>
    <t>product_id</t>
  </si>
  <si>
    <t>product_name</t>
  </si>
  <si>
    <t>category</t>
  </si>
  <si>
    <t>price</t>
  </si>
  <si>
    <t>review_score</t>
  </si>
  <si>
    <t>review_count</t>
  </si>
  <si>
    <t>sales_month_1</t>
  </si>
  <si>
    <t>sales_month_2</t>
  </si>
  <si>
    <t>sales_month_3</t>
  </si>
  <si>
    <t>sales_month_4</t>
  </si>
  <si>
    <t>sales_month_5</t>
  </si>
  <si>
    <t>sales_month_6</t>
  </si>
  <si>
    <t>sales_month_7</t>
  </si>
  <si>
    <t>sales_month_8</t>
  </si>
  <si>
    <t>sales_month_9</t>
  </si>
  <si>
    <t>sales_month_10</t>
  </si>
  <si>
    <t>sales_month_11</t>
  </si>
  <si>
    <t>sales_month_12</t>
  </si>
  <si>
    <t>Product_1</t>
  </si>
  <si>
    <t>Clothing</t>
  </si>
  <si>
    <t>Product_2</t>
  </si>
  <si>
    <t>Home &amp; Kitchen</t>
  </si>
  <si>
    <t>Product_3</t>
  </si>
  <si>
    <t>Toys</t>
  </si>
  <si>
    <t>Product_4</t>
  </si>
  <si>
    <t>Product_5</t>
  </si>
  <si>
    <t>Books</t>
  </si>
  <si>
    <t>Product_6</t>
  </si>
  <si>
    <t>Product_7</t>
  </si>
  <si>
    <t>Electronics</t>
  </si>
  <si>
    <t>Product_8</t>
  </si>
  <si>
    <t>Product_9</t>
  </si>
  <si>
    <t>Product_10</t>
  </si>
  <si>
    <t>Product_11</t>
  </si>
  <si>
    <t>Product_12</t>
  </si>
  <si>
    <t>Health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</si>
  <si>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</si>
  <si>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</si>
  <si>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</si>
  <si>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</si>
  <si>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</si>
  <si>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</si>
  <si>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</si>
  <si>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</si>
  <si>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</si>
  <si>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</si>
  <si>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</si>
  <si>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</si>
  <si>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Sports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</si>
  <si>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</si>
  <si>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</si>
  <si>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</si>
  <si>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</si>
  <si>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</si>
  <si>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</si>
  <si>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</si>
  <si>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</si>
  <si>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</si>
  <si>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</si>
  <si>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</si>
  <si>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</si>
  <si>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</si>
  <si>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</si>
  <si>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</si>
  <si>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</si>
  <si>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</si>
  <si>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</si>
  <si>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</si>
  <si>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</si>
  <si>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</si>
  <si>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</si>
  <si>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</si>
  <si>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</si>
  <si>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</si>
  <si>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</si>
  <si>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</si>
  <si>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</si>
  <si>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</si>
  <si>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</si>
  <si>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</si>
  <si>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</si>
  <si>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</si>
  <si>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</si>
  <si>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</si>
  <si>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</si>
  <si>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</si>
  <si>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</si>
  <si>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</si>
  <si>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</si>
  <si>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</si>
  <si>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</si>
  <si>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</si>
  <si>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</si>
  <si>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</si>
  <si>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</si>
  <si>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</si>
  <si>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</si>
  <si>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</si>
  <si>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</si>
  <si>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</si>
  <si>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</si>
  <si>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</si>
  <si>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</si>
  <si>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</si>
  <si>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</si>
  <si>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</si>
  <si>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</si>
  <si>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</si>
  <si>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</si>
  <si>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</si>
  <si>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</si>
  <si>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</si>
  <si>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</si>
  <si>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</si>
  <si>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</si>
  <si>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</si>
  <si>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</si>
  <si>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</si>
  <si>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</si>
  <si>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</si>
  <si>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</si>
  <si>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</si>
  <si>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</si>
  <si>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</si>
  <si>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</si>
  <si>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</si>
  <si>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</si>
  <si>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</si>
  <si>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</si>
  <si>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</si>
  <si>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</si>
  <si>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</si>
  <si>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</si>
  <si>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</si>
  <si>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</si>
  <si>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</si>
  <si>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</si>
  <si>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</si>
  <si>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</si>
  <si>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</si>
  <si>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</si>
  <si>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</si>
  <si>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</si>
  <si>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</si>
  <si>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</si>
  <si>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</si>
  <si>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</si>
  <si>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</si>
  <si>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</si>
  <si>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</si>
  <si>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</si>
  <si>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</si>
  <si>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</si>
  <si>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</si>
  <si>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</si>
  <si>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</si>
  <si>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</si>
  <si>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</si>
  <si>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</si>
  <si>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</si>
  <si>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</si>
  <si>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</si>
  <si>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</si>
  <si>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</si>
  <si>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</si>
  <si>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</si>
  <si>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</si>
  <si>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</si>
  <si>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</si>
  <si>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</si>
  <si>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</si>
  <si>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</si>
  <si>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</si>
  <si>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</si>
  <si>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</si>
  <si>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</si>
  <si>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</si>
  <si>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</si>
  <si>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</si>
  <si>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</si>
  <si>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</si>
  <si>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</si>
  <si>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</si>
  <si>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</si>
  <si>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</si>
  <si>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</si>
  <si>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</si>
  <si>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</si>
  <si>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</si>
  <si>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</si>
  <si>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</si>
  <si>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</si>
  <si>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</si>
  <si>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</si>
  <si>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</si>
  <si>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</si>
  <si>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</si>
  <si>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</si>
  <si>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</si>
  <si>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</si>
  <si>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</si>
  <si>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</si>
  <si>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</si>
  <si>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</si>
  <si>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</si>
  <si>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</si>
  <si>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</si>
  <si>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</si>
  <si>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</si>
  <si>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</si>
  <si>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</si>
  <si>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</si>
  <si>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</si>
  <si>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</si>
  <si>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</si>
  <si>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</si>
  <si>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</si>
  <si>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</si>
  <si>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</si>
  <si>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</si>
  <si>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</si>
  <si>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</si>
  <si>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</si>
  <si>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</si>
  <si>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</si>
  <si>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</si>
  <si>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</si>
  <si>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</si>
  <si>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</si>
  <si>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</si>
  <si>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</si>
  <si>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</si>
  <si>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</si>
  <si>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</si>
  <si>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</si>
  <si>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</si>
  <si>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</si>
  <si>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</si>
  <si>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</si>
  <si>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</si>
  <si>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</si>
  <si>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</si>
  <si>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</si>
  <si>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</si>
  <si>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</si>
  <si>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</si>
  <si>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</si>
  <si>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</si>
  <si>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</si>
  <si>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</si>
  <si>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</si>
  <si>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</si>
  <si>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</si>
  <si>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</si>
  <si>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</si>
  <si>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</si>
  <si>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</si>
  <si>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</si>
  <si>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</si>
  <si>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</si>
  <si>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</si>
  <si>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</si>
  <si>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</si>
  <si>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</si>
  <si>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</si>
  <si>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</si>
  <si>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</si>
  <si>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</si>
  <si>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</si>
  <si>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</si>
  <si>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</si>
  <si>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</si>
  <si>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</si>
  <si>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</si>
  <si>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</si>
  <si>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</si>
  <si>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</si>
  <si>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</si>
  <si>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</si>
  <si>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</si>
  <si>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</si>
  <si>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</si>
  <si>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</si>
  <si>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</si>
  <si>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</si>
  <si>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</si>
  <si>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</si>
  <si>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</si>
  <si>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</si>
  <si>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</si>
  <si>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</si>
  <si>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</si>
  <si>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</si>
  <si>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</si>
  <si>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</si>
  <si>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</si>
  <si>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</si>
  <si>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</si>
  <si>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</si>
  <si>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</si>
  <si>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</si>
  <si>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</si>
  <si>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</si>
  <si>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</si>
  <si>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</si>
  <si>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</si>
  <si>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</si>
  <si>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</si>
  <si>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</si>
  <si>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</si>
  <si>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</si>
  <si>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</si>
  <si>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</si>
  <si>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</si>
  <si>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</si>
  <si>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</si>
  <si>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</si>
  <si>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</si>
  <si>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</si>
  <si>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</si>
  <si>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</si>
  <si>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</si>
  <si>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</si>
  <si>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</si>
  <si>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</si>
  <si>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</si>
  <si>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</si>
  <si>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</si>
  <si>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</si>
  <si>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</si>
  <si>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</si>
  <si>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</si>
  <si>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</si>
  <si>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</si>
  <si>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</si>
  <si>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</si>
  <si>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</si>
  <si>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</si>
  <si>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</si>
  <si>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</si>
  <si>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</si>
  <si>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</si>
  <si>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</si>
  <si>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</si>
  <si>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</si>
  <si>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</si>
  <si>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</si>
  <si>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</si>
  <si>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</si>
  <si>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</si>
  <si>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</si>
  <si>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</si>
  <si>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</si>
  <si>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</si>
  <si>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</si>
  <si>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</si>
  <si>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</si>
  <si>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</si>
  <si>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</si>
  <si>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</si>
  <si>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</si>
  <si>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</si>
  <si>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</si>
  <si>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</si>
  <si>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</si>
  <si>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</si>
  <si>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</si>
  <si>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</si>
  <si>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</si>
  <si>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</si>
  <si>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</si>
  <si>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</si>
  <si>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</si>
  <si>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</si>
  <si>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</si>
  <si>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</si>
  <si>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</si>
  <si>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</si>
  <si>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</si>
  <si>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</si>
  <si>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</si>
  <si>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</si>
  <si>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</si>
  <si>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</si>
  <si>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</si>
  <si>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</si>
  <si>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</si>
  <si>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</si>
  <si>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</si>
  <si>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</si>
  <si>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</si>
  <si>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</si>
  <si>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</si>
  <si>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</si>
  <si>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</si>
  <si>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</si>
  <si>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</si>
  <si>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</si>
  <si>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</si>
  <si>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</si>
  <si>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</si>
  <si>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</si>
  <si>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</si>
  <si>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</si>
  <si>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</si>
  <si>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</si>
  <si>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</si>
  <si>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</si>
  <si>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</si>
  <si>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</si>
  <si>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</si>
  <si>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</si>
  <si>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</si>
  <si>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</si>
  <si>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</si>
  <si>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</si>
  <si>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</si>
  <si>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</si>
  <si>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</si>
  <si>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</si>
  <si>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</si>
  <si>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</si>
  <si>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</si>
  <si>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</si>
  <si>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</si>
  <si>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</si>
  <si>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</si>
  <si>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</si>
  <si>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</si>
  <si>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</si>
  <si>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</si>
  <si>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</si>
  <si>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</si>
  <si>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</si>
  <si>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</si>
  <si>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</si>
  <si>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</si>
  <si>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</si>
  <si>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</si>
  <si>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</si>
  <si>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</si>
  <si>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</si>
  <si>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</si>
  <si>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</si>
  <si>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</si>
  <si>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</si>
  <si>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</si>
  <si>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</si>
  <si>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</si>
  <si>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</si>
  <si>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</si>
  <si>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</si>
  <si>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</si>
  <si>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</si>
  <si>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</si>
  <si>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</si>
  <si>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</si>
  <si>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</si>
  <si>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</si>
  <si>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</si>
  <si>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</si>
  <si>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</si>
  <si>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</si>
  <si>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</si>
  <si>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</si>
  <si>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</si>
  <si>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</si>
  <si>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</si>
  <si>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</si>
  <si>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</si>
  <si>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</si>
  <si>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</si>
  <si>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</si>
  <si>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</si>
  <si>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</si>
  <si>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</si>
  <si>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</si>
  <si>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</si>
  <si>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</si>
  <si>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</si>
  <si>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</si>
  <si>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</si>
  <si>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</si>
  <si>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</si>
  <si>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</si>
  <si>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</si>
  <si>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</si>
  <si>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</si>
  <si>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</si>
  <si>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</si>
  <si>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</si>
  <si>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</si>
  <si>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</si>
  <si>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</si>
  <si>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</si>
  <si>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</si>
  <si>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</si>
  <si>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</si>
  <si>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</si>
  <si>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</si>
  <si>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</si>
  <si>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</si>
  <si>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</si>
  <si>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</si>
  <si>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</si>
  <si>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</si>
  <si>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</si>
  <si>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</si>
  <si>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</si>
  <si>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</si>
  <si>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</si>
  <si>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</si>
  <si>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</si>
  <si>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</si>
  <si>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</si>
  <si>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</si>
  <si>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</si>
  <si>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</si>
  <si>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</si>
  <si>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</si>
  <si>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</si>
  <si>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</si>
  <si>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</si>
  <si>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</si>
  <si>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</si>
  <si>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</si>
  <si>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</si>
  <si>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</si>
  <si>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</si>
  <si>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</si>
  <si>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</si>
  <si>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</si>
  <si>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</si>
  <si>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</si>
  <si>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</si>
  <si>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</si>
  <si>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</si>
  <si>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</si>
  <si>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</si>
  <si>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</si>
  <si>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</si>
  <si>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</si>
  <si>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</si>
  <si>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</si>
  <si>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</si>
  <si>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</si>
  <si>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</si>
  <si>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</si>
  <si>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</si>
  <si>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</si>
  <si>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</si>
  <si>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</si>
  <si>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</si>
  <si>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</si>
  <si>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</si>
  <si>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</si>
  <si>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</si>
  <si>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</si>
  <si>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</si>
  <si>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</si>
  <si>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</si>
  <si>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</si>
  <si>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</si>
  <si>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</si>
  <si>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</si>
  <si>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</si>
  <si>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</si>
  <si>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</si>
  <si>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</si>
  <si>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</si>
  <si>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</si>
  <si>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</si>
  <si>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</si>
  <si>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</si>
  <si>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</si>
  <si>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</si>
  <si>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</si>
  <si>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</si>
  <si>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</si>
  <si>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</si>
  <si>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</si>
  <si>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</si>
  <si>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</si>
  <si>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</si>
  <si>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</si>
  <si>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</si>
  <si>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</si>
  <si>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</si>
  <si>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</si>
  <si>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</si>
  <si>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</si>
  <si>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</si>
  <si>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</si>
  <si>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</si>
  <si>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</si>
  <si>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</si>
  <si>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</si>
  <si>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</si>
  <si>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</si>
  <si>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</si>
  <si>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</si>
  <si>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</si>
  <si>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</si>
  <si>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</si>
  <si>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</si>
  <si>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</si>
  <si>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</si>
  <si>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</si>
  <si>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</si>
  <si>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</si>
  <si>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</si>
  <si>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</si>
  <si>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</si>
  <si>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</si>
  <si>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</si>
  <si>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</si>
  <si>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</si>
  <si>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</si>
  <si>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</si>
  <si>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</si>
  <si>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</si>
  <si>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</si>
  <si>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</si>
  <si>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</si>
  <si>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</si>
  <si>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</si>
  <si>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</si>
  <si>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</si>
  <si>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</si>
  <si>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</si>
  <si>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</si>
  <si>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</si>
  <si>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</si>
  <si>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</si>
  <si>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</si>
  <si>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</si>
  <si>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</si>
  <si>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</si>
  <si>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</si>
  <si>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</si>
  <si>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</si>
  <si>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</si>
  <si>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</si>
  <si>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</si>
  <si>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</si>
  <si>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</si>
  <si>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</si>
  <si>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</si>
  <si>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</si>
  <si>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</si>
  <si>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</si>
  <si>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</si>
  <si>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</si>
  <si>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</si>
  <si>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</si>
  <si>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</si>
  <si>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</si>
  <si>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</si>
  <si>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</si>
  <si>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</si>
  <si>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</si>
  <si>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</si>
  <si>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</si>
  <si>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</si>
  <si>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</si>
  <si>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</si>
  <si>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</si>
  <si>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</si>
  <si>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</si>
  <si>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</si>
  <si>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</si>
  <si>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</si>
  <si>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</si>
  <si>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</si>
  <si>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</si>
  <si>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</si>
  <si>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</si>
  <si>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</si>
  <si>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</si>
  <si>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</si>
  <si>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</si>
  <si>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</si>
  <si>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</si>
  <si>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</si>
  <si>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</si>
  <si>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</si>
  <si>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</si>
  <si>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</si>
  <si>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</si>
  <si>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</si>
  <si>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</si>
  <si>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</si>
  <si>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</si>
  <si>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</si>
  <si>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</si>
  <si>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</si>
  <si>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</si>
  <si>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</si>
  <si>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</si>
  <si>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</si>
  <si>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</si>
  <si>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</si>
  <si>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</si>
  <si>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</si>
  <si>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</si>
  <si>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</si>
  <si>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</si>
  <si>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</si>
  <si>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</si>
  <si>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</si>
  <si>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</si>
  <si>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</si>
  <si>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</si>
  <si>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</si>
  <si>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</si>
  <si>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</si>
  <si>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</si>
  <si>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</si>
  <si>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</si>
  <si>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</si>
  <si>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</si>
  <si>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</si>
  <si>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</si>
  <si>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</si>
  <si>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</si>
  <si>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</si>
  <si>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</si>
  <si>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</si>
  <si>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</si>
  <si>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</si>
  <si>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</si>
  <si>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</si>
  <si>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</si>
  <si>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</si>
  <si>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</si>
  <si>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</si>
  <si>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</si>
  <si>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</si>
  <si>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</si>
  <si>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</si>
  <si>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</si>
  <si>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</si>
  <si>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</si>
  <si>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</si>
  <si>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</si>
  <si>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</si>
  <si>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</si>
  <si>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</si>
  <si>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</si>
  <si>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</si>
  <si>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</si>
  <si>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</si>
  <si>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</si>
  <si>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</si>
  <si>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</si>
  <si>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</si>
  <si>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</si>
  <si>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</si>
  <si>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</si>
  <si>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</si>
  <si>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</si>
  <si>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</si>
  <si>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</si>
  <si>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</si>
  <si>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</si>
  <si>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</si>
  <si>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</si>
  <si>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</si>
  <si>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</si>
  <si>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</si>
  <si>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</si>
  <si>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</si>
  <si>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</si>
  <si>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</si>
  <si>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</si>
  <si>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</si>
  <si>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</si>
  <si>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</si>
  <si>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</si>
  <si>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</si>
  <si>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</si>
  <si>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</si>
  <si>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</si>
  <si>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</si>
  <si>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</si>
  <si>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</si>
  <si>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</si>
  <si>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</si>
  <si>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</si>
  <si>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</si>
  <si>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</si>
  <si>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</si>
  <si>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</si>
  <si>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</si>
  <si>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</si>
  <si>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</si>
  <si>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</si>
  <si>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</si>
  <si>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</si>
  <si>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</si>
  <si>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</si>
  <si>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</si>
  <si>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</si>
  <si>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</si>
  <si>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</si>
  <si>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</si>
  <si>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</si>
  <si>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</si>
  <si>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</si>
  <si>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</si>
  <si>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</si>
  <si>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</si>
  <si>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</si>
  <si>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</si>
  <si>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</si>
  <si>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</si>
  <si>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</si>
  <si>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</si>
  <si>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</si>
  <si>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</si>
  <si>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</si>
  <si>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</si>
  <si>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</si>
  <si>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</si>
  <si>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</si>
  <si>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</si>
  <si>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</si>
  <si>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</si>
  <si>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</si>
  <si>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</si>
  <si>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</si>
  <si>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</si>
  <si>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</si>
  <si>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</si>
  <si>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</si>
  <si>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</si>
  <si>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</si>
  <si>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</si>
  <si>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</si>
  <si>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</si>
  <si>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</si>
  <si>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</si>
  <si>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</si>
  <si>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</si>
  <si>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</si>
  <si>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</si>
  <si>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</si>
  <si>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</si>
  <si>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</si>
  <si>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</si>
  <si>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</si>
  <si>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</si>
  <si>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</si>
  <si>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</si>
  <si>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</si>
  <si>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</si>
  <si>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</si>
  <si>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</si>
  <si>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</si>
  <si>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</si>
  <si>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</si>
  <si>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</si>
  <si>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</si>
  <si>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</si>
  <si>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</si>
  <si>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</si>
  <si>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</si>
  <si>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</si>
  <si>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</si>
  <si>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</si>
  <si>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</si>
  <si>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</si>
  <si>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</si>
  <si>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</si>
  <si>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</si>
  <si>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</si>
  <si>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</si>
  <si>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</si>
  <si>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</si>
  <si>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</si>
  <si>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</si>
  <si>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</si>
  <si>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</si>
  <si>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</si>
  <si>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</si>
  <si>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</si>
  <si>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</si>
  <si>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</si>
  <si>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</si>
  <si>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</si>
  <si>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</si>
  <si>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</si>
  <si>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</si>
  <si>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</si>
  <si>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</si>
  <si>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</si>
  <si>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</si>
  <si>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</si>
  <si>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</si>
  <si>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</si>
  <si>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</si>
  <si>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</si>
  <si>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</si>
  <si>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</si>
  <si>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</si>
  <si>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</si>
  <si>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</si>
  <si>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</si>
  <si>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</si>
  <si>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</si>
  <si>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</si>
  <si>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</si>
  <si>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</si>
  <si>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</si>
  <si>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</si>
  <si>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</si>
  <si>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</si>
  <si>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</si>
  <si>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</si>
  <si>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</si>
  <si>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</si>
  <si>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</si>
  <si>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</si>
  <si>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</si>
  <si>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</si>
  <si>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</si>
  <si>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</si>
  <si>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</si>
  <si>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</si>
  <si>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</si>
  <si>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</si>
  <si>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</si>
  <si>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</si>
  <si>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</si>
  <si>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</si>
  <si>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</si>
  <si>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</si>
  <si>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</si>
  <si>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</si>
  <si>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</si>
  <si>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</si>
  <si>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</si>
  <si>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</si>
  <si>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</si>
  <si>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</si>
  <si>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</si>
  <si>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</si>
  <si>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</si>
  <si>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</si>
  <si>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</si>
  <si>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</si>
  <si>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</si>
  <si>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</si>
  <si>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</si>
  <si>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</si>
  <si>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</si>
  <si>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</si>
  <si>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</si>
  <si>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</si>
  <si>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</si>
  <si>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</si>
  <si>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</si>
  <si>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</si>
  <si>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</si>
  <si>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</si>
  <si>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</si>
  <si>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</si>
  <si>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</si>
  <si>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</si>
  <si>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</si>
  <si>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</si>
  <si>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</si>
  <si>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</si>
  <si>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</si>
  <si>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</si>
  <si>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</si>
  <si>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</si>
  <si>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</si>
  <si>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</si>
  <si>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</si>
  <si>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</si>
  <si>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</si>
  <si>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</si>
  <si>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</si>
  <si>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</si>
  <si>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</si>
  <si>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</si>
  <si>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</si>
  <si>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</si>
  <si>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</si>
  <si>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</si>
  <si>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</si>
  <si>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</si>
  <si>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</si>
  <si>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</si>
  <si>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</si>
  <si>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</si>
  <si>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</si>
  <si>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</si>
  <si>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</si>
  <si>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</si>
  <si>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</si>
  <si>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</si>
  <si>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</si>
  <si>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</si>
  <si>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</si>
  <si>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</si>
  <si>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</si>
  <si>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</si>
  <si>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</si>
  <si>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</si>
  <si>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</si>
  <si>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</si>
  <si>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</si>
  <si>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</si>
  <si>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</si>
  <si>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</si>
  <si>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</si>
  <si>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</si>
  <si>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</si>
  <si>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</si>
  <si>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</si>
  <si>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</si>
  <si>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</si>
  <si>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</si>
  <si>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revenue_month_1</t>
  </si>
  <si>
    <t>revenue_month_2</t>
  </si>
  <si>
    <t>revenue_month_3</t>
  </si>
  <si>
    <t>revenue_month_4</t>
  </si>
  <si>
    <t>revenue_month_5</t>
  </si>
  <si>
    <t>revenue_month_6</t>
  </si>
  <si>
    <t>revenue_month_7</t>
  </si>
  <si>
    <t>revenue_month_8</t>
  </si>
  <si>
    <t>revenue_month_9</t>
  </si>
  <si>
    <t>revenue_month_10</t>
  </si>
  <si>
    <t>revenue_month_11</t>
  </si>
  <si>
    <t>revenue_month_12</t>
  </si>
  <si>
    <t>total_revenue</t>
  </si>
  <si>
    <t>total_sales</t>
  </si>
  <si>
    <t>Grand Total</t>
  </si>
  <si>
    <t>Average of price</t>
  </si>
  <si>
    <t>Average of review_score</t>
  </si>
  <si>
    <t>Average of review_count</t>
  </si>
  <si>
    <t>Sum of total_sales</t>
  </si>
  <si>
    <t>Sum of total_revenue</t>
  </si>
  <si>
    <t>Note:</t>
  </si>
  <si>
    <t>Highest Category</t>
  </si>
  <si>
    <t>Highest Monthly Revenue of a Category</t>
  </si>
  <si>
    <t>Highest Categorial Revenue of a Month</t>
  </si>
  <si>
    <t>Red: Lowest</t>
  </si>
  <si>
    <t>Red: Bottom 10%</t>
  </si>
  <si>
    <t>Green: Largest</t>
  </si>
  <si>
    <t>Color Scale:</t>
  </si>
  <si>
    <t>Highlighting Rule:</t>
  </si>
  <si>
    <t>Category</t>
  </si>
  <si>
    <t>Sum of Monthly Revenue</t>
  </si>
  <si>
    <t>Sum of Monthly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</si>
  <si>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</si>
  <si>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</si>
  <si>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</si>
  <si>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</si>
  <si>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</si>
  <si>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</si>
  <si>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</si>
  <si>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</si>
  <si>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</si>
  <si>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</si>
  <si>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</si>
  <si>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</si>
  <si>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</si>
  <si>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Count of 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</si>
</sst>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  <numFmt numFmtId="166" formatCode="_([$$-409]* #,##0_);_([$$-409]* \(#,##0\);_([$$-409]* &quot;-&quot;??_);_(@_)"/>
    <numFmt numFmtId="167" formatCode="0.0"/>
  </numFmts>
  <fonts count="22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  <font>
      <sz val="8"/>
      <name val="Aptos Narrow"/>
      <family val="2"/>
      <charset val="136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136"/>
      <scheme val="minor"/>
    </font>
    <font>
      <b/>
      <i/>
      <sz val="11"/>
      <color theme="1"/>
      <name val="Aptos Narrow"/>
      <family val="2"/>
      <charset val="136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3">
    <xf numFmtId="0" fontId="0" fillId="0" borderId="0" xfId="0"/>
    <xf numFmtId="164" fontId="0" fillId="0" borderId="0" xfId="1" applyNumberFormat="1" applyFont="1"/>
    <xf numFmtId="165" fontId="0" fillId="0" borderId="0" xfId="2" applyNumberFormat="1" applyFont="1"/>
    <xf numFmtId="166" fontId="0" fillId="0" borderId="0" xfId="2" applyNumberFormat="1" applyFont="1"/>
    <xf numFmtId="0" fontId="0" fillId="0" borderId="0" xfId="0" pivotButton="1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/>
    <xf numFmtId="1" fontId="0" fillId="0" borderId="0" xfId="0" applyNumberFormat="1"/>
    <xf numFmtId="0" fontId="0" fillId="34" borderId="0" xfId="0" applyFill="1" applyAlignment="1">
      <alignment horizontal="left"/>
    </xf>
    <xf numFmtId="164" fontId="0" fillId="35" borderId="0" xfId="0" applyNumberFormat="1" applyFill="1"/>
    <xf numFmtId="0" fontId="0" fillId="35" borderId="0" xfId="0" applyFill="1" applyAlignment="1">
      <alignment horizontal="left"/>
    </xf>
    <xf numFmtId="0" fontId="0" fillId="35" borderId="0" xfId="0" applyFill="1"/>
    <xf numFmtId="166" fontId="0" fillId="35" borderId="0" xfId="0" applyNumberFormat="1" applyFill="1"/>
    <xf numFmtId="0" fontId="0" fillId="34" borderId="10" xfId="0" applyFill="1" applyBorder="1"/>
    <xf numFmtId="0" fontId="0" fillId="0" borderId="11" xfId="0" applyBorder="1"/>
    <xf numFmtId="164" fontId="0" fillId="0" borderId="11" xfId="1" applyNumberFormat="1" applyFont="1" applyBorder="1"/>
    <xf numFmtId="0" fontId="0" fillId="0" borderId="12" xfId="0" applyBorder="1"/>
    <xf numFmtId="0" fontId="0" fillId="0" borderId="13" xfId="0" applyBorder="1"/>
    <xf numFmtId="0" fontId="0" fillId="37" borderId="0" xfId="0" applyFill="1"/>
    <xf numFmtId="0" fontId="7" fillId="33" borderId="0" xfId="0" applyFont="1" applyFill="1"/>
    <xf numFmtId="164" fontId="0" fillId="0" borderId="0" xfId="1" applyNumberFormat="1" applyFont="1" applyBorder="1"/>
    <xf numFmtId="0" fontId="0" fillId="0" borderId="15" xfId="0" applyBorder="1"/>
    <xf numFmtId="0" fontId="0" fillId="0" borderId="16" xfId="0" applyBorder="1"/>
    <xf numFmtId="0" fontId="0" fillId="38" borderId="16" xfId="0" applyFill="1" applyBorder="1"/>
    <xf numFmtId="164" fontId="0" fillId="0" borderId="16" xfId="1" applyNumberFormat="1" applyFont="1" applyBorder="1"/>
    <xf numFmtId="0" fontId="0" fillId="0" borderId="17" xfId="0" applyBorder="1"/>
    <xf numFmtId="0" fontId="20" fillId="0" borderId="0" xfId="44"/>
    <xf numFmtId="0" fontId="0" fillId="0" borderId="11" xfId="1" applyNumberFormat="1" applyFont="1" applyBorder="1" applyAlignment="1">
      <alignment horizontal="left" vertical="top"/>
    </xf>
    <xf numFmtId="164" fontId="20" fillId="0" borderId="0" xfId="44" applyNumberFormat="1"/>
    <xf numFmtId="0" fontId="0" fillId="34" borderId="10" xfId="0" applyFill="1" applyBorder="1" applyAlignment="1">
      <alignment horizontal="left"/>
    </xf>
    <xf numFmtId="166" fontId="19" fillId="0" borderId="15" xfId="0" applyNumberFormat="1" applyFont="1" applyBorder="1"/>
    <xf numFmtId="0" fontId="0" fillId="36" borderId="13" xfId="0" applyFill="1" applyBorder="1"/>
    <xf numFmtId="0" fontId="0" fillId="0" borderId="14" xfId="0" applyBorder="1"/>
    <xf numFmtId="165" fontId="19" fillId="0" borderId="15" xfId="0" applyNumberFormat="1" applyFont="1" applyBorder="1"/>
    <xf numFmtId="167" fontId="19" fillId="0" borderId="0" xfId="0" applyNumberFormat="1" applyFont="1"/>
    <xf numFmtId="1" fontId="19" fillId="0" borderId="0" xfId="0" applyNumberFormat="1" applyFont="1"/>
    <xf numFmtId="165" fontId="0" fillId="0" borderId="0" xfId="0" applyNumberFormat="1"/>
    <xf numFmtId="1" fontId="21" fillId="0" borderId="0" xfId="0" applyNumberFormat="1" applyFont="1"/>
    <xf numFmtId="166" fontId="21" fillId="0" borderId="0" xfId="0" applyNumberFormat="1" applyFont="1"/>
    <xf numFmtId="165" fontId="19" fillId="0" borderId="0" xfId="0" applyNumberFormat="1" applyFont="1"/>
    <xf numFmtId="0" fontId="19" fillId="0" borderId="0" xfId="0" applyFon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4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76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3" tint="0.89999084444715716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3" tint="0.89999084444715716"/>
        </patternFill>
      </fill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6" formatCode="_([$$-409]* #,##0_);_([$$-409]* \(#,##0\);_([$$-409]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[$$-409]* #,##0.00_);_([$$-409]* \(#,##0.00\);_([$$-409]* &quot;-&quot;??_);_(@_)"/>
    </dxf>
    <dxf>
      <font>
        <i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b/>
      </font>
    </dxf>
    <dxf>
      <font>
        <i/>
      </font>
    </dxf>
    <dxf>
      <font>
        <b/>
      </font>
    </dxf>
    <dxf>
      <numFmt numFmtId="165" formatCode="_([$$-409]* #,##0.00_);_([$$-409]* \(#,##0.00\);_([$$-409]* &quot;-&quot;??_);_(@_)"/>
    </dxf>
    <dxf>
      <numFmt numFmtId="1" formatCode="0"/>
    </dxf>
    <dxf>
      <font>
        <i/>
      </font>
    </dxf>
    <dxf>
      <font>
        <b/>
      </font>
    </dxf>
    <dxf>
      <font>
        <i/>
      </font>
    </dxf>
    <dxf>
      <font>
        <b/>
      </font>
    </dxf>
    <dxf>
      <numFmt numFmtId="167" formatCode="0.0"/>
    </dxf>
    <dxf>
      <numFmt numFmtId="1" formatCode="0"/>
    </dxf>
  </dxfs>
  <tableStyles count="0" defaultTableStyle="TableStyleMedium2" defaultPivotStyle="PivotStyleLight16"/>
  <colors>
    <mruColors>
      <color rgb="FF9C0006"/>
      <color rgb="FFFFC7CE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 .xlsx]2. category_general_analysis!PivotTable1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numFmt formatCode="_(* #,##0_);_(* \(#,##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'2. category_general_analysis'!$B$1</c:f>
              <c:strCache>
                <c:ptCount val="1"/>
                <c:pt idx="0">
                  <c:v>Count of product_id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09-44CE-BBA4-F24F027B1E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09-44CE-BBA4-F24F027B1E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09-44CE-BBA4-F24F027B1E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09-44CE-BBA4-F24F027B1E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09-44CE-BBA4-F24F027B1E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409-44CE-BBA4-F24F027B1E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409-44CE-BBA4-F24F027B1E27}"/>
              </c:ext>
            </c:extLst>
          </c:dPt>
          <c:dLbls>
            <c:numFmt formatCode="_(* #,##0_);_(* \(#,##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category_general_analysis'!$B$2:$B$9</c:f>
              <c:numCache>
                <c:formatCode>General</c:formatCode>
                <c:ptCount val="7"/>
                <c:pt idx="0">
                  <c:v>154</c:v>
                </c:pt>
                <c:pt idx="1">
                  <c:v>140</c:v>
                </c:pt>
                <c:pt idx="2">
                  <c:v>138</c:v>
                </c:pt>
                <c:pt idx="3">
                  <c:v>139</c:v>
                </c:pt>
                <c:pt idx="4">
                  <c:v>125</c:v>
                </c:pt>
                <c:pt idx="5">
                  <c:v>153</c:v>
                </c:pt>
                <c:pt idx="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3-473A-AE4D-46A15B71C66C}"/>
            </c:ext>
          </c:extLst>
        </c:ser>
        <c:ser>
          <c:idx val="1"/>
          <c:order val="1"/>
          <c:tx>
            <c:strRef>
              <c:f>'2. category_general_analysis'!$C$1</c:f>
              <c:strCache>
                <c:ptCount val="1"/>
                <c:pt idx="0">
                  <c:v>Average of review_score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409-44CE-BBA4-F24F027B1E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409-44CE-BBA4-F24F027B1E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409-44CE-BBA4-F24F027B1E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409-44CE-BBA4-F24F027B1E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409-44CE-BBA4-F24F027B1E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409-44CE-BBA4-F24F027B1E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409-44CE-BBA4-F24F027B1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category_general_analysis'!$C$2:$C$9</c:f>
              <c:numCache>
                <c:formatCode>0.0</c:formatCode>
                <c:ptCount val="7"/>
                <c:pt idx="0">
                  <c:v>3.0967532467532481</c:v>
                </c:pt>
                <c:pt idx="1">
                  <c:v>2.9521428571428561</c:v>
                </c:pt>
                <c:pt idx="2">
                  <c:v>3.1434782608695651</c:v>
                </c:pt>
                <c:pt idx="3">
                  <c:v>3.0050359712230215</c:v>
                </c:pt>
                <c:pt idx="4">
                  <c:v>3.0352000000000001</c:v>
                </c:pt>
                <c:pt idx="5">
                  <c:v>3.0915032679738554</c:v>
                </c:pt>
                <c:pt idx="6">
                  <c:v>2.870860927152318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3-473A-AE4D-46A15B71C66C}"/>
            </c:ext>
          </c:extLst>
        </c:ser>
        <c:ser>
          <c:idx val="2"/>
          <c:order val="2"/>
          <c:tx>
            <c:strRef>
              <c:f>'2. category_general_analysis'!$D$1</c:f>
              <c:strCache>
                <c:ptCount val="1"/>
                <c:pt idx="0">
                  <c:v>Average of review_count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409-44CE-BBA4-F24F027B1E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409-44CE-BBA4-F24F027B1E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409-44CE-BBA4-F24F027B1E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409-44CE-BBA4-F24F027B1E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F409-44CE-BBA4-F24F027B1E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F409-44CE-BBA4-F24F027B1E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F409-44CE-BBA4-F24F027B1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category_general_analysis'!$D$2:$D$9</c:f>
              <c:numCache>
                <c:formatCode>0</c:formatCode>
                <c:ptCount val="7"/>
                <c:pt idx="0">
                  <c:v>514.69480519480521</c:v>
                </c:pt>
                <c:pt idx="1">
                  <c:v>502.47857142857146</c:v>
                </c:pt>
                <c:pt idx="2">
                  <c:v>535.231884057971</c:v>
                </c:pt>
                <c:pt idx="3">
                  <c:v>520.84892086330933</c:v>
                </c:pt>
                <c:pt idx="4">
                  <c:v>541.88</c:v>
                </c:pt>
                <c:pt idx="5">
                  <c:v>547.22875816993462</c:v>
                </c:pt>
                <c:pt idx="6">
                  <c:v>524.33774834437088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3-473A-AE4D-46A15B71C66C}"/>
            </c:ext>
          </c:extLst>
        </c:ser>
        <c:ser>
          <c:idx val="3"/>
          <c:order val="3"/>
          <c:tx>
            <c:strRef>
              <c:f>'2. category_general_analysis'!$E$1</c:f>
              <c:strCache>
                <c:ptCount val="1"/>
                <c:pt idx="0">
                  <c:v>Average of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F409-44CE-BBA4-F24F027B1E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F409-44CE-BBA4-F24F027B1E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F409-44CE-BBA4-F24F027B1E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F409-44CE-BBA4-F24F027B1E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F409-44CE-BBA4-F24F027B1E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F409-44CE-BBA4-F24F027B1E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F409-44CE-BBA4-F24F027B1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category_general_analysis'!$E$2:$E$9</c:f>
              <c:numCache>
                <c:formatCode>_([$$-409]* #,##0.00_);_([$$-409]* \(#,##0.00\);_([$$-409]* "-"??_);_(@_)</c:formatCode>
                <c:ptCount val="7"/>
                <c:pt idx="0">
                  <c:v>251.38480519480512</c:v>
                </c:pt>
                <c:pt idx="1">
                  <c:v>230.04178571428571</c:v>
                </c:pt>
                <c:pt idx="2">
                  <c:v>239.67427536231887</c:v>
                </c:pt>
                <c:pt idx="3">
                  <c:v>265.14258992805748</c:v>
                </c:pt>
                <c:pt idx="4">
                  <c:v>239.76967999999999</c:v>
                </c:pt>
                <c:pt idx="5">
                  <c:v>254.21627450980381</c:v>
                </c:pt>
                <c:pt idx="6">
                  <c:v>251.40298013245047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E3-473A-AE4D-46A15B71C66C}"/>
            </c:ext>
          </c:extLst>
        </c:ser>
        <c:ser>
          <c:idx val="4"/>
          <c:order val="4"/>
          <c:tx>
            <c:strRef>
              <c:f>'2. category_general_analysis'!$F$1</c:f>
              <c:strCache>
                <c:ptCount val="1"/>
                <c:pt idx="0">
                  <c:v>Sum of 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F409-44CE-BBA4-F24F027B1E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F409-44CE-BBA4-F24F027B1E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F409-44CE-BBA4-F24F027B1E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F409-44CE-BBA4-F24F027B1E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F409-44CE-BBA4-F24F027B1E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F409-44CE-BBA4-F24F027B1E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F409-44CE-BBA4-F24F027B1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category_general_analysis'!$F$2:$F$9</c:f>
              <c:numCache>
                <c:formatCode>0</c:formatCode>
                <c:ptCount val="7"/>
                <c:pt idx="0">
                  <c:v>938229</c:v>
                </c:pt>
                <c:pt idx="1">
                  <c:v>826536</c:v>
                </c:pt>
                <c:pt idx="2">
                  <c:v>845120</c:v>
                </c:pt>
                <c:pt idx="3">
                  <c:v>834414</c:v>
                </c:pt>
                <c:pt idx="4">
                  <c:v>742141</c:v>
                </c:pt>
                <c:pt idx="5">
                  <c:v>916371</c:v>
                </c:pt>
                <c:pt idx="6">
                  <c:v>917101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E3-473A-AE4D-46A15B71C66C}"/>
            </c:ext>
          </c:extLst>
        </c:ser>
        <c:ser>
          <c:idx val="5"/>
          <c:order val="5"/>
          <c:tx>
            <c:strRef>
              <c:f>'2. category_general_analysis'!$G$1</c:f>
              <c:strCache>
                <c:ptCount val="1"/>
                <c:pt idx="0">
                  <c:v>Sum of 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F409-44CE-BBA4-F24F027B1E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F409-44CE-BBA4-F24F027B1E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F409-44CE-BBA4-F24F027B1E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F409-44CE-BBA4-F24F027B1E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F409-44CE-BBA4-F24F027B1E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F409-44CE-BBA4-F24F027B1E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F409-44CE-BBA4-F24F027B1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category_general_analysis'!$G$2:$G$9</c:f>
              <c:numCache>
                <c:formatCode>_([$$-409]* #,##0_);_([$$-409]* \(#,##0\);_([$$-409]* "-"??_);_(@_)</c:formatCode>
                <c:ptCount val="7"/>
                <c:pt idx="0">
                  <c:v>236782805.60000005</c:v>
                </c:pt>
                <c:pt idx="1">
                  <c:v>187258320.84999996</c:v>
                </c:pt>
                <c:pt idx="2">
                  <c:v>201674684.07000011</c:v>
                </c:pt>
                <c:pt idx="3">
                  <c:v>221736852.12999997</c:v>
                </c:pt>
                <c:pt idx="4">
                  <c:v>178365505.26000005</c:v>
                </c:pt>
                <c:pt idx="5">
                  <c:v>232648831.87999994</c:v>
                </c:pt>
                <c:pt idx="6">
                  <c:v>230237183.23000002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E3-473A-AE4D-46A15B71C6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 .xlsx]2. category_general_analysis!PivotTable1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category_general_analysis'!$B$1</c:f>
              <c:strCache>
                <c:ptCount val="1"/>
                <c:pt idx="0">
                  <c:v>Count of product_id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category_general_analysis'!$B$2:$B$9</c:f>
              <c:numCache>
                <c:formatCode>General</c:formatCode>
                <c:ptCount val="7"/>
                <c:pt idx="0">
                  <c:v>154</c:v>
                </c:pt>
                <c:pt idx="1">
                  <c:v>140</c:v>
                </c:pt>
                <c:pt idx="2">
                  <c:v>138</c:v>
                </c:pt>
                <c:pt idx="3">
                  <c:v>139</c:v>
                </c:pt>
                <c:pt idx="4">
                  <c:v>125</c:v>
                </c:pt>
                <c:pt idx="5">
                  <c:v>153</c:v>
                </c:pt>
                <c:pt idx="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7-4A32-9515-6E202A072269}"/>
            </c:ext>
          </c:extLst>
        </c:ser>
        <c:ser>
          <c:idx val="1"/>
          <c:order val="1"/>
          <c:tx>
            <c:strRef>
              <c:f>'2. category_general_analysis'!$C$1</c:f>
              <c:strCache>
                <c:ptCount val="1"/>
                <c:pt idx="0">
                  <c:v>Average of review_score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category_general_analysis'!$C$2:$C$9</c:f>
              <c:numCache>
                <c:formatCode>0.0</c:formatCode>
                <c:ptCount val="7"/>
                <c:pt idx="0">
                  <c:v>3.0967532467532481</c:v>
                </c:pt>
                <c:pt idx="1">
                  <c:v>2.9521428571428561</c:v>
                </c:pt>
                <c:pt idx="2">
                  <c:v>3.1434782608695651</c:v>
                </c:pt>
                <c:pt idx="3">
                  <c:v>3.0050359712230215</c:v>
                </c:pt>
                <c:pt idx="4">
                  <c:v>3.0352000000000001</c:v>
                </c:pt>
                <c:pt idx="5">
                  <c:v>3.0915032679738554</c:v>
                </c:pt>
                <c:pt idx="6">
                  <c:v>2.870860927152318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27-4A32-9515-6E202A072269}"/>
            </c:ext>
          </c:extLst>
        </c:ser>
        <c:ser>
          <c:idx val="2"/>
          <c:order val="2"/>
          <c:tx>
            <c:strRef>
              <c:f>'2. category_general_analysis'!$D$1</c:f>
              <c:strCache>
                <c:ptCount val="1"/>
                <c:pt idx="0">
                  <c:v>Average of review_count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category_general_analysis'!$D$2:$D$9</c:f>
              <c:numCache>
                <c:formatCode>0</c:formatCode>
                <c:ptCount val="7"/>
                <c:pt idx="0">
                  <c:v>514.69480519480521</c:v>
                </c:pt>
                <c:pt idx="1">
                  <c:v>502.47857142857146</c:v>
                </c:pt>
                <c:pt idx="2">
                  <c:v>535.231884057971</c:v>
                </c:pt>
                <c:pt idx="3">
                  <c:v>520.84892086330933</c:v>
                </c:pt>
                <c:pt idx="4">
                  <c:v>541.88</c:v>
                </c:pt>
                <c:pt idx="5">
                  <c:v>547.22875816993462</c:v>
                </c:pt>
                <c:pt idx="6">
                  <c:v>524.33774834437088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27-4A32-9515-6E202A072269}"/>
            </c:ext>
          </c:extLst>
        </c:ser>
        <c:ser>
          <c:idx val="3"/>
          <c:order val="3"/>
          <c:tx>
            <c:strRef>
              <c:f>'2. category_general_analysis'!$E$1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category_general_analysis'!$E$2:$E$9</c:f>
              <c:numCache>
                <c:formatCode>_([$$-409]* #,##0.00_);_([$$-409]* \(#,##0.00\);_([$$-409]* "-"??_);_(@_)</c:formatCode>
                <c:ptCount val="7"/>
                <c:pt idx="0">
                  <c:v>251.38480519480512</c:v>
                </c:pt>
                <c:pt idx="1">
                  <c:v>230.04178571428571</c:v>
                </c:pt>
                <c:pt idx="2">
                  <c:v>239.67427536231887</c:v>
                </c:pt>
                <c:pt idx="3">
                  <c:v>265.14258992805748</c:v>
                </c:pt>
                <c:pt idx="4">
                  <c:v>239.76967999999999</c:v>
                </c:pt>
                <c:pt idx="5">
                  <c:v>254.21627450980381</c:v>
                </c:pt>
                <c:pt idx="6">
                  <c:v>251.40298013245047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27-4A32-9515-6E202A072269}"/>
            </c:ext>
          </c:extLst>
        </c:ser>
        <c:ser>
          <c:idx val="4"/>
          <c:order val="4"/>
          <c:tx>
            <c:strRef>
              <c:f>'2. category_general_analysis'!$F$1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category_general_analysis'!$F$2:$F$9</c:f>
              <c:numCache>
                <c:formatCode>0</c:formatCode>
                <c:ptCount val="7"/>
                <c:pt idx="0">
                  <c:v>938229</c:v>
                </c:pt>
                <c:pt idx="1">
                  <c:v>826536</c:v>
                </c:pt>
                <c:pt idx="2">
                  <c:v>845120</c:v>
                </c:pt>
                <c:pt idx="3">
                  <c:v>834414</c:v>
                </c:pt>
                <c:pt idx="4">
                  <c:v>742141</c:v>
                </c:pt>
                <c:pt idx="5">
                  <c:v>916371</c:v>
                </c:pt>
                <c:pt idx="6">
                  <c:v>917101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27-4A32-9515-6E202A072269}"/>
            </c:ext>
          </c:extLst>
        </c:ser>
        <c:ser>
          <c:idx val="5"/>
          <c:order val="5"/>
          <c:tx>
            <c:strRef>
              <c:f>'2. category_general_analysis'!$G$1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'2. category_general_analysis'!$A$2:$A$9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'2. category_general_analysis'!$G$2:$G$9</c:f>
              <c:numCache>
                <c:formatCode>_([$$-409]* #,##0_);_([$$-409]* \(#,##0\);_([$$-409]* "-"??_);_(@_)</c:formatCode>
                <c:ptCount val="7"/>
                <c:pt idx="0">
                  <c:v>236782805.60000005</c:v>
                </c:pt>
                <c:pt idx="1">
                  <c:v>187258320.84999996</c:v>
                </c:pt>
                <c:pt idx="2">
                  <c:v>201674684.07000011</c:v>
                </c:pt>
                <c:pt idx="3">
                  <c:v>221736852.12999997</c:v>
                </c:pt>
                <c:pt idx="4">
                  <c:v>178365505.26000005</c:v>
                </c:pt>
                <c:pt idx="5">
                  <c:v>232648831.87999994</c:v>
                </c:pt>
                <c:pt idx="6">
                  <c:v>230237183.23000002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27-4A32-9515-6E202A07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476256"/>
        <c:axId val="1428468576"/>
      </c:barChart>
      <c:catAx>
        <c:axId val="142847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68576"/>
        <c:crosses val="autoZero"/>
        <c:auto val="1"/>
        <c:lblAlgn val="ctr"/>
        <c:lblOffset val="100"/>
        <c:noMultiLvlLbl val="0"/>
      </c:catAx>
      <c:valAx>
        <c:axId val="14284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7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 .xlsx]3. category_monthly_sales!PivotTable2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Monthly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 category_monthly_sales'!$B$1:$B$2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 category_monthly_sales'!$A$3:$A$14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 category_monthly_sales'!$B$3:$B$14</c:f>
              <c:numCache>
                <c:formatCode>_(* #,##0_);_(* \(#,##0\);_(* "-"??_);_(@_)</c:formatCode>
                <c:ptCount val="12"/>
                <c:pt idx="0">
                  <c:v>77932</c:v>
                </c:pt>
                <c:pt idx="1">
                  <c:v>80079</c:v>
                </c:pt>
                <c:pt idx="2">
                  <c:v>76998</c:v>
                </c:pt>
                <c:pt idx="3">
                  <c:v>74699</c:v>
                </c:pt>
                <c:pt idx="4">
                  <c:v>79051</c:v>
                </c:pt>
                <c:pt idx="5">
                  <c:v>76644</c:v>
                </c:pt>
                <c:pt idx="6">
                  <c:v>79114</c:v>
                </c:pt>
                <c:pt idx="7">
                  <c:v>78108</c:v>
                </c:pt>
                <c:pt idx="8">
                  <c:v>77211</c:v>
                </c:pt>
                <c:pt idx="9">
                  <c:v>83504</c:v>
                </c:pt>
                <c:pt idx="10">
                  <c:v>76557</c:v>
                </c:pt>
                <c:pt idx="11">
                  <c:v>78332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1-451A-AAFE-99EC71E01043}"/>
            </c:ext>
          </c:extLst>
        </c:ser>
        <c:ser>
          <c:idx val="1"/>
          <c:order val="1"/>
          <c:tx>
            <c:strRef>
              <c:f>'3. category_monthly_sales'!$C$1:$C$2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 category_monthly_sales'!$A$3:$A$14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 category_monthly_sales'!$C$3:$C$14</c:f>
              <c:numCache>
                <c:formatCode>_(* #,##0_);_(* \(#,##0\);_(* "-"??_);_(@_)</c:formatCode>
                <c:ptCount val="12"/>
                <c:pt idx="0">
                  <c:v>60966</c:v>
                </c:pt>
                <c:pt idx="1">
                  <c:v>67911</c:v>
                </c:pt>
                <c:pt idx="2">
                  <c:v>76796</c:v>
                </c:pt>
                <c:pt idx="3">
                  <c:v>70088</c:v>
                </c:pt>
                <c:pt idx="4">
                  <c:v>61643</c:v>
                </c:pt>
                <c:pt idx="5">
                  <c:v>63123</c:v>
                </c:pt>
                <c:pt idx="6">
                  <c:v>66105</c:v>
                </c:pt>
                <c:pt idx="7">
                  <c:v>74422</c:v>
                </c:pt>
                <c:pt idx="8">
                  <c:v>72675</c:v>
                </c:pt>
                <c:pt idx="9">
                  <c:v>68806</c:v>
                </c:pt>
                <c:pt idx="10">
                  <c:v>71683</c:v>
                </c:pt>
                <c:pt idx="11">
                  <c:v>72318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61-451A-AAFE-99EC71E01043}"/>
            </c:ext>
          </c:extLst>
        </c:ser>
        <c:ser>
          <c:idx val="2"/>
          <c:order val="2"/>
          <c:tx>
            <c:strRef>
              <c:f>'3. category_monthly_sales'!$D$1:$D$2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'3. category_monthly_sales'!$A$3:$A$14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 category_monthly_sales'!$D$3:$D$14</c:f>
              <c:numCache>
                <c:formatCode>_(* #,##0_);_(* \(#,##0\);_(* "-"??_);_(@_)</c:formatCode>
                <c:ptCount val="12"/>
                <c:pt idx="0">
                  <c:v>76347</c:v>
                </c:pt>
                <c:pt idx="1">
                  <c:v>72472</c:v>
                </c:pt>
                <c:pt idx="2">
                  <c:v>70708</c:v>
                </c:pt>
                <c:pt idx="3">
                  <c:v>73158</c:v>
                </c:pt>
                <c:pt idx="4">
                  <c:v>72169</c:v>
                </c:pt>
                <c:pt idx="5">
                  <c:v>70060</c:v>
                </c:pt>
                <c:pt idx="6">
                  <c:v>72223</c:v>
                </c:pt>
                <c:pt idx="7">
                  <c:v>65754</c:v>
                </c:pt>
                <c:pt idx="8">
                  <c:v>69914</c:v>
                </c:pt>
                <c:pt idx="9">
                  <c:v>70148</c:v>
                </c:pt>
                <c:pt idx="10">
                  <c:v>68148</c:v>
                </c:pt>
                <c:pt idx="11">
                  <c:v>64019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61-451A-AAFE-99EC71E01043}"/>
            </c:ext>
          </c:extLst>
        </c:ser>
        <c:ser>
          <c:idx val="3"/>
          <c:order val="3"/>
          <c:tx>
            <c:strRef>
              <c:f>'3. category_monthly_sales'!$E$1:$E$2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'3. category_monthly_sales'!$A$3:$A$14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 category_monthly_sales'!$E$3:$E$14</c:f>
              <c:numCache>
                <c:formatCode>_(* #,##0_);_(* \(#,##0\);_(* "-"??_);_(@_)</c:formatCode>
                <c:ptCount val="12"/>
                <c:pt idx="0">
                  <c:v>67644</c:v>
                </c:pt>
                <c:pt idx="1">
                  <c:v>67432</c:v>
                </c:pt>
                <c:pt idx="2">
                  <c:v>67602</c:v>
                </c:pt>
                <c:pt idx="3">
                  <c:v>72925</c:v>
                </c:pt>
                <c:pt idx="4">
                  <c:v>69178</c:v>
                </c:pt>
                <c:pt idx="5">
                  <c:v>63926</c:v>
                </c:pt>
                <c:pt idx="6">
                  <c:v>75256</c:v>
                </c:pt>
                <c:pt idx="7">
                  <c:v>69126</c:v>
                </c:pt>
                <c:pt idx="8">
                  <c:v>64581</c:v>
                </c:pt>
                <c:pt idx="9">
                  <c:v>72613</c:v>
                </c:pt>
                <c:pt idx="10">
                  <c:v>72500</c:v>
                </c:pt>
                <c:pt idx="11">
                  <c:v>71631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61-451A-AAFE-99EC71E01043}"/>
            </c:ext>
          </c:extLst>
        </c:ser>
        <c:ser>
          <c:idx val="4"/>
          <c:order val="4"/>
          <c:tx>
            <c:strRef>
              <c:f>'3. category_monthly_sales'!$F$1:$F$2</c:f>
              <c:strCache>
                <c:ptCount val="1"/>
                <c:pt idx="0">
                  <c:v>Home &amp; Kitchen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'3. category_monthly_sales'!$A$3:$A$14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 category_monthly_sales'!$F$3:$F$14</c:f>
              <c:numCache>
                <c:formatCode>_(* #,##0_);_(* \(#,##0\);_(* "-"??_);_(@_)</c:formatCode>
                <c:ptCount val="12"/>
                <c:pt idx="0">
                  <c:v>57844</c:v>
                </c:pt>
                <c:pt idx="1">
                  <c:v>57252</c:v>
                </c:pt>
                <c:pt idx="2">
                  <c:v>62667</c:v>
                </c:pt>
                <c:pt idx="3">
                  <c:v>65388</c:v>
                </c:pt>
                <c:pt idx="4">
                  <c:v>59766</c:v>
                </c:pt>
                <c:pt idx="5">
                  <c:v>63169</c:v>
                </c:pt>
                <c:pt idx="6">
                  <c:v>60129</c:v>
                </c:pt>
                <c:pt idx="7">
                  <c:v>65042</c:v>
                </c:pt>
                <c:pt idx="8">
                  <c:v>58135</c:v>
                </c:pt>
                <c:pt idx="9">
                  <c:v>64876</c:v>
                </c:pt>
                <c:pt idx="10">
                  <c:v>66281</c:v>
                </c:pt>
                <c:pt idx="11">
                  <c:v>61592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61-451A-AAFE-99EC71E01043}"/>
            </c:ext>
          </c:extLst>
        </c:ser>
        <c:ser>
          <c:idx val="5"/>
          <c:order val="5"/>
          <c:tx>
            <c:strRef>
              <c:f>'3. category_monthly_sales'!$G$1:$G$2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'3. category_monthly_sales'!$A$3:$A$14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 category_monthly_sales'!$G$3:$G$14</c:f>
              <c:numCache>
                <c:formatCode>_(* #,##0_);_(* \(#,##0\);_(* "-"??_);_(@_)</c:formatCode>
                <c:ptCount val="12"/>
                <c:pt idx="0">
                  <c:v>77737</c:v>
                </c:pt>
                <c:pt idx="1">
                  <c:v>82244</c:v>
                </c:pt>
                <c:pt idx="2">
                  <c:v>75109</c:v>
                </c:pt>
                <c:pt idx="3">
                  <c:v>74287</c:v>
                </c:pt>
                <c:pt idx="4">
                  <c:v>73467</c:v>
                </c:pt>
                <c:pt idx="5">
                  <c:v>75641</c:v>
                </c:pt>
                <c:pt idx="6">
                  <c:v>77082</c:v>
                </c:pt>
                <c:pt idx="7">
                  <c:v>73912</c:v>
                </c:pt>
                <c:pt idx="8">
                  <c:v>79209</c:v>
                </c:pt>
                <c:pt idx="9">
                  <c:v>80187</c:v>
                </c:pt>
                <c:pt idx="10">
                  <c:v>74270</c:v>
                </c:pt>
                <c:pt idx="11">
                  <c:v>73226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61-451A-AAFE-99EC71E01043}"/>
            </c:ext>
          </c:extLst>
        </c:ser>
        <c:ser>
          <c:idx val="6"/>
          <c:order val="6"/>
          <c:tx>
            <c:strRef>
              <c:f>'3. category_monthly_sales'!$H$1:$H$2</c:f>
              <c:strCache>
                <c:ptCount val="1"/>
                <c:pt idx="0">
                  <c:v>Toys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'3. category_monthly_sales'!$A$3:$A$14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 category_monthly_sales'!$H$3:$H$14</c:f>
              <c:numCache>
                <c:formatCode>_(* #,##0_);_(* \(#,##0\);_(* "-"??_);_(@_)</c:formatCode>
                <c:ptCount val="12"/>
                <c:pt idx="0">
                  <c:v>79836</c:v>
                </c:pt>
                <c:pt idx="1">
                  <c:v>80271</c:v>
                </c:pt>
                <c:pt idx="2">
                  <c:v>76859</c:v>
                </c:pt>
                <c:pt idx="3">
                  <c:v>73278</c:v>
                </c:pt>
                <c:pt idx="4">
                  <c:v>71920</c:v>
                </c:pt>
                <c:pt idx="5">
                  <c:v>79090</c:v>
                </c:pt>
                <c:pt idx="6">
                  <c:v>77102</c:v>
                </c:pt>
                <c:pt idx="7">
                  <c:v>78205</c:v>
                </c:pt>
                <c:pt idx="8">
                  <c:v>70209</c:v>
                </c:pt>
                <c:pt idx="9">
                  <c:v>74664</c:v>
                </c:pt>
                <c:pt idx="10">
                  <c:v>76399</c:v>
                </c:pt>
                <c:pt idx="11">
                  <c:v>79268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61-451A-AAFE-99EC71E01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671967"/>
        <c:axId val="1243627327"/>
      </c:lineChart>
      <c:catAx>
        <c:axId val="124367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27327"/>
        <c:crosses val="autoZero"/>
        <c:auto val="1"/>
        <c:lblAlgn val="ctr"/>
        <c:lblOffset val="100"/>
        <c:noMultiLvlLbl val="0"/>
      </c:catAx>
      <c:valAx>
        <c:axId val="124362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7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 .xlsx]4. categorical_monthly_revenue!PivotTable3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Monthly</a:t>
            </a:r>
            <a:r>
              <a:rPr lang="en-HK" baseline="0"/>
              <a:t> Revenue by Category</a:t>
            </a:r>
            <a:endParaRPr lang="en-H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K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'4. categorical_monthly_revenue'!$B$1:$B$2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'4. categorical_monthly_revenue'!$A$3:$A$14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categorical_monthly_revenue'!$B$3:$B$14</c:f>
              <c:numCache>
                <c:formatCode>_([$$-409]* #,##0_);_([$$-409]* \(#,##0\);_([$$-409]* "-"??_);_(@_)</c:formatCode>
                <c:ptCount val="12"/>
                <c:pt idx="0">
                  <c:v>19485930.490000002</c:v>
                </c:pt>
                <c:pt idx="1">
                  <c:v>19957691.889999993</c:v>
                </c:pt>
                <c:pt idx="2">
                  <c:v>20162437.500000004</c:v>
                </c:pt>
                <c:pt idx="3">
                  <c:v>18956014.309999995</c:v>
                </c:pt>
                <c:pt idx="4">
                  <c:v>20609636.73</c:v>
                </c:pt>
                <c:pt idx="5">
                  <c:v>18964252.960000005</c:v>
                </c:pt>
                <c:pt idx="6">
                  <c:v>20429337.589999992</c:v>
                </c:pt>
                <c:pt idx="7">
                  <c:v>18868303.090000007</c:v>
                </c:pt>
                <c:pt idx="8">
                  <c:v>19109771.260000017</c:v>
                </c:pt>
                <c:pt idx="9">
                  <c:v>21504710.229999997</c:v>
                </c:pt>
                <c:pt idx="10">
                  <c:v>19100834.200000003</c:v>
                </c:pt>
                <c:pt idx="11">
                  <c:v>19633885.350000001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6-4C4E-B42E-49DA3AF15620}"/>
            </c:ext>
          </c:extLst>
        </c:ser>
        <c:ser>
          <c:idx val="1"/>
          <c:order val="1"/>
          <c:tx>
            <c:strRef>
              <c:f>'4. categorical_monthly_revenue'!$C$1:$C$2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'4. categorical_monthly_revenue'!$A$3:$A$14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categorical_monthly_revenue'!$C$3:$C$14</c:f>
              <c:numCache>
                <c:formatCode>_([$$-409]* #,##0_);_([$$-409]* \(#,##0\);_([$$-409]* "-"??_);_(@_)</c:formatCode>
                <c:ptCount val="12"/>
                <c:pt idx="0">
                  <c:v>13436025.660000008</c:v>
                </c:pt>
                <c:pt idx="1">
                  <c:v>16420644.090000004</c:v>
                </c:pt>
                <c:pt idx="2">
                  <c:v>17012233.410000004</c:v>
                </c:pt>
                <c:pt idx="3">
                  <c:v>16403848.199999999</c:v>
                </c:pt>
                <c:pt idx="4">
                  <c:v>14414173.939999994</c:v>
                </c:pt>
                <c:pt idx="5">
                  <c:v>14118954.220000003</c:v>
                </c:pt>
                <c:pt idx="6">
                  <c:v>14605376.700000001</c:v>
                </c:pt>
                <c:pt idx="7">
                  <c:v>16583879.190000009</c:v>
                </c:pt>
                <c:pt idx="8">
                  <c:v>16208453.529999999</c:v>
                </c:pt>
                <c:pt idx="9">
                  <c:v>15565661.470000001</c:v>
                </c:pt>
                <c:pt idx="10">
                  <c:v>15584494.539999997</c:v>
                </c:pt>
                <c:pt idx="11">
                  <c:v>16904575.899999995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6-4C4E-B42E-49DA3AF15620}"/>
            </c:ext>
          </c:extLst>
        </c:ser>
        <c:ser>
          <c:idx val="2"/>
          <c:order val="2"/>
          <c:tx>
            <c:strRef>
              <c:f>'4. categorical_monthly_revenue'!$D$1:$D$2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'4. categorical_monthly_revenue'!$A$3:$A$14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categorical_monthly_revenue'!$D$3:$D$14</c:f>
              <c:numCache>
                <c:formatCode>_([$$-409]* #,##0_);_([$$-409]* \(#,##0\);_([$$-409]* "-"??_);_(@_)</c:formatCode>
                <c:ptCount val="12"/>
                <c:pt idx="0">
                  <c:v>18110207.879999995</c:v>
                </c:pt>
                <c:pt idx="1">
                  <c:v>16775555.860000011</c:v>
                </c:pt>
                <c:pt idx="2">
                  <c:v>16927992.699999996</c:v>
                </c:pt>
                <c:pt idx="3">
                  <c:v>17839634.689999998</c:v>
                </c:pt>
                <c:pt idx="4">
                  <c:v>16572709.859999992</c:v>
                </c:pt>
                <c:pt idx="5">
                  <c:v>16821513.689999994</c:v>
                </c:pt>
                <c:pt idx="6">
                  <c:v>16973996.239999995</c:v>
                </c:pt>
                <c:pt idx="7">
                  <c:v>15471864.650000002</c:v>
                </c:pt>
                <c:pt idx="8">
                  <c:v>17190807.229999997</c:v>
                </c:pt>
                <c:pt idx="9">
                  <c:v>17210046.730000008</c:v>
                </c:pt>
                <c:pt idx="10">
                  <c:v>16479785.970000001</c:v>
                </c:pt>
                <c:pt idx="11">
                  <c:v>15300568.57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E6-4C4E-B42E-49DA3AF15620}"/>
            </c:ext>
          </c:extLst>
        </c:ser>
        <c:ser>
          <c:idx val="3"/>
          <c:order val="3"/>
          <c:tx>
            <c:strRef>
              <c:f>'4. categorical_monthly_revenue'!$E$1:$E$2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'4. categorical_monthly_revenue'!$A$3:$A$14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categorical_monthly_revenue'!$E$3:$E$14</c:f>
              <c:numCache>
                <c:formatCode>_([$$-409]* #,##0_);_([$$-409]* \(#,##0\);_([$$-409]* "-"??_);_(@_)</c:formatCode>
                <c:ptCount val="12"/>
                <c:pt idx="0">
                  <c:v>18045325.409999993</c:v>
                </c:pt>
                <c:pt idx="1">
                  <c:v>17615618.57</c:v>
                </c:pt>
                <c:pt idx="2">
                  <c:v>17980688.769999996</c:v>
                </c:pt>
                <c:pt idx="3">
                  <c:v>19133268.960000005</c:v>
                </c:pt>
                <c:pt idx="4">
                  <c:v>18773000.079999998</c:v>
                </c:pt>
                <c:pt idx="5">
                  <c:v>16400220.859999999</c:v>
                </c:pt>
                <c:pt idx="6">
                  <c:v>20455210.910000008</c:v>
                </c:pt>
                <c:pt idx="7">
                  <c:v>18360092.150000002</c:v>
                </c:pt>
                <c:pt idx="8">
                  <c:v>16634507.879999993</c:v>
                </c:pt>
                <c:pt idx="9">
                  <c:v>20046905.230000004</c:v>
                </c:pt>
                <c:pt idx="10">
                  <c:v>19658148.530000009</c:v>
                </c:pt>
                <c:pt idx="11">
                  <c:v>18633864.780000016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E6-4C4E-B42E-49DA3AF15620}"/>
            </c:ext>
          </c:extLst>
        </c:ser>
        <c:ser>
          <c:idx val="4"/>
          <c:order val="4"/>
          <c:tx>
            <c:strRef>
              <c:f>'4. categorical_monthly_revenue'!$F$1:$F$2</c:f>
              <c:strCache>
                <c:ptCount val="1"/>
                <c:pt idx="0">
                  <c:v>Home &amp; Kitchen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'4. categorical_monthly_revenue'!$A$3:$A$14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categorical_monthly_revenue'!$F$3:$F$14</c:f>
              <c:numCache>
                <c:formatCode>_([$$-409]* #,##0_);_([$$-409]* \(#,##0\);_([$$-409]* "-"??_);_(@_)</c:formatCode>
                <c:ptCount val="12"/>
                <c:pt idx="0">
                  <c:v>14038194.279999999</c:v>
                </c:pt>
                <c:pt idx="1">
                  <c:v>13298977.750000004</c:v>
                </c:pt>
                <c:pt idx="2">
                  <c:v>14498643.410000002</c:v>
                </c:pt>
                <c:pt idx="3">
                  <c:v>16433015.240000008</c:v>
                </c:pt>
                <c:pt idx="4">
                  <c:v>14147352.229999999</c:v>
                </c:pt>
                <c:pt idx="5">
                  <c:v>14524429.339999996</c:v>
                </c:pt>
                <c:pt idx="6">
                  <c:v>14442992.500000004</c:v>
                </c:pt>
                <c:pt idx="7">
                  <c:v>16470170.429999998</c:v>
                </c:pt>
                <c:pt idx="8">
                  <c:v>14098116.810000002</c:v>
                </c:pt>
                <c:pt idx="9">
                  <c:v>15366884.789999997</c:v>
                </c:pt>
                <c:pt idx="10">
                  <c:v>16101030.920000006</c:v>
                </c:pt>
                <c:pt idx="11">
                  <c:v>14945697.560000002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E6-4C4E-B42E-49DA3AF15620}"/>
            </c:ext>
          </c:extLst>
        </c:ser>
        <c:ser>
          <c:idx val="5"/>
          <c:order val="5"/>
          <c:tx>
            <c:strRef>
              <c:f>'4. categorical_monthly_revenue'!$G$1:$G$2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'4. categorical_monthly_revenue'!$A$3:$A$14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categorical_monthly_revenue'!$G$3:$G$14</c:f>
              <c:numCache>
                <c:formatCode>_([$$-409]* #,##0_);_([$$-409]* \(#,##0\);_([$$-409]* "-"??_);_(@_)</c:formatCode>
                <c:ptCount val="12"/>
                <c:pt idx="0">
                  <c:v>19055982.269999996</c:v>
                </c:pt>
                <c:pt idx="1">
                  <c:v>21129563.510000009</c:v>
                </c:pt>
                <c:pt idx="2">
                  <c:v>18612262.679999992</c:v>
                </c:pt>
                <c:pt idx="3">
                  <c:v>19044637.079999998</c:v>
                </c:pt>
                <c:pt idx="4">
                  <c:v>19240937.780000001</c:v>
                </c:pt>
                <c:pt idx="5">
                  <c:v>19109221.530000005</c:v>
                </c:pt>
                <c:pt idx="6">
                  <c:v>18729059.99000001</c:v>
                </c:pt>
                <c:pt idx="7">
                  <c:v>17796405.799999997</c:v>
                </c:pt>
                <c:pt idx="8">
                  <c:v>20509356.259999994</c:v>
                </c:pt>
                <c:pt idx="9">
                  <c:v>21070603.600000005</c:v>
                </c:pt>
                <c:pt idx="10">
                  <c:v>19358695.200000003</c:v>
                </c:pt>
                <c:pt idx="11">
                  <c:v>18992106.18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E6-4C4E-B42E-49DA3AF15620}"/>
            </c:ext>
          </c:extLst>
        </c:ser>
        <c:ser>
          <c:idx val="6"/>
          <c:order val="6"/>
          <c:tx>
            <c:strRef>
              <c:f>'4. categorical_monthly_revenue'!$H$1:$H$2</c:f>
              <c:strCache>
                <c:ptCount val="1"/>
                <c:pt idx="0">
                  <c:v>Toys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'4. categorical_monthly_revenue'!$A$3:$A$14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categorical_monthly_revenue'!$H$3:$H$14</c:f>
              <c:numCache>
                <c:formatCode>_([$$-409]* #,##0_);_([$$-409]* \(#,##0\);_([$$-409]* "-"??_);_(@_)</c:formatCode>
                <c:ptCount val="12"/>
                <c:pt idx="0">
                  <c:v>19829067.610000003</c:v>
                </c:pt>
                <c:pt idx="1">
                  <c:v>20414925.979999989</c:v>
                </c:pt>
                <c:pt idx="2">
                  <c:v>19327888.379999999</c:v>
                </c:pt>
                <c:pt idx="3">
                  <c:v>18821008.799999993</c:v>
                </c:pt>
                <c:pt idx="4">
                  <c:v>18157506.069999993</c:v>
                </c:pt>
                <c:pt idx="5">
                  <c:v>19683657.260000005</c:v>
                </c:pt>
                <c:pt idx="6">
                  <c:v>18761947.82</c:v>
                </c:pt>
                <c:pt idx="7">
                  <c:v>19531863.780000001</c:v>
                </c:pt>
                <c:pt idx="8">
                  <c:v>17748211.349999998</c:v>
                </c:pt>
                <c:pt idx="9">
                  <c:v>18335781.209999997</c:v>
                </c:pt>
                <c:pt idx="10">
                  <c:v>19334161.640000001</c:v>
                </c:pt>
                <c:pt idx="11">
                  <c:v>20291163.330000006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E6-4C4E-B42E-49DA3AF15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468144"/>
        <c:axId val="1328470064"/>
      </c:lineChart>
      <c:catAx>
        <c:axId val="13284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70064"/>
        <c:crosses val="autoZero"/>
        <c:auto val="1"/>
        <c:lblAlgn val="ctr"/>
        <c:lblOffset val="100"/>
        <c:noMultiLvlLbl val="0"/>
      </c:catAx>
      <c:valAx>
        <c:axId val="13284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6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10</xdr:row>
      <xdr:rowOff>95250</xdr:rowOff>
    </xdr:from>
    <xdr:to>
      <xdr:col>5</xdr:col>
      <xdr:colOff>1044575</xdr:colOff>
      <xdr:row>25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52A4F-FE29-56F6-D786-A76179FEC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10</xdr:row>
      <xdr:rowOff>107950</xdr:rowOff>
    </xdr:from>
    <xdr:to>
      <xdr:col>9</xdr:col>
      <xdr:colOff>276225</xdr:colOff>
      <xdr:row>25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8A3594-2DA2-80CB-3726-AA8C96E94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573175</xdr:colOff>
      <xdr:row>17</xdr:row>
      <xdr:rowOff>74229</xdr:rowOff>
    </xdr:from>
    <xdr:to>
      <xdr:col>7</xdr:col>
      <xdr:colOff>416754</xdr:colOff>
      <xdr:row>41</xdr:row>
      <xdr:rowOff>6684</xdr:rowOff>
    </xdr:to>
    <xdr:graphicFrame macro="">
      <xdr:nvGraphicFramePr>
        <xdr:cNvPr id="4" name="Monthly Sales by Category">
          <a:extLst>
            <a:ext uri="{FF2B5EF4-FFF2-40B4-BE49-F238E27FC236}">
              <a16:creationId xmlns:a16="http://schemas.microsoft.com/office/drawing/2014/main" id="{BCA037C4-CC12-32A7-DA18-B5A3E8658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104983</xdr:colOff>
      <xdr:row>15</xdr:row>
      <xdr:rowOff>96837</xdr:rowOff>
    </xdr:from>
    <xdr:to>
      <xdr:col>8</xdr:col>
      <xdr:colOff>909051</xdr:colOff>
      <xdr:row>32</xdr:row>
      <xdr:rowOff>106947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34341-E2EB-FB94-122D-9DE1CADB6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n Hei Poon" refreshedDate="46044.466546296295" createdVersion="8" refreshedVersion="8" minRefreshableVersion="3" recordCount="1000" xr:uid="{FD11A02E-EC29-4AC2-BE80-45D5AE5AF946}">
  <cacheSource type="worksheet">
    <worksheetSource name="ecommerce_sales_all_data"/>
  </cacheSource>
  <cacheFields count="32">
    <cacheField name="product_id" numFmtId="0">
      <sharedItems containsSemiMixedTypes="0" containsString="0" containsNumber="1" containsInteger="1" minValue="1" maxValue="1000"/>
    </cacheField>
    <cacheField name="product_name" numFmtId="0">
      <sharedItems/>
    </cacheField>
    <cacheField name="category" numFmtId="0">
      <sharedItems count="7">
        <s v="Clothing"/>
        <s v="Home &amp; Kitchen"/>
        <s v="Toys"/>
        <s v="Books"/>
        <s v="Electronics"/>
        <s v="Health"/>
        <s v="Sports"/>
      </sharedItems>
    </cacheField>
    <cacheField name="price" numFmtId="0">
      <sharedItems containsSemiMixedTypes="0" containsString="0" containsNumber="1" minValue="7.29" maxValue="499.86"/>
    </cacheField>
    <cacheField name="review_score" numFmtId="0">
      <sharedItems containsSemiMixedTypes="0" containsString="0" containsNumber="1" minValue="1" maxValue="5"/>
    </cacheField>
    <cacheField name="review_count" numFmtId="0">
      <sharedItems containsSemiMixedTypes="0" containsString="0" containsNumber="1" containsInteger="1" minValue="1" maxValue="999"/>
    </cacheField>
    <cacheField name="sales_month_1" numFmtId="164">
      <sharedItems containsSemiMixedTypes="0" containsString="0" containsNumber="1" containsInteger="1" minValue="0" maxValue="1000"/>
    </cacheField>
    <cacheField name="sales_month_2" numFmtId="164">
      <sharedItems containsSemiMixedTypes="0" containsString="0" containsNumber="1" containsInteger="1" minValue="2" maxValue="1000"/>
    </cacheField>
    <cacheField name="sales_month_3" numFmtId="164">
      <sharedItems containsSemiMixedTypes="0" containsString="0" containsNumber="1" containsInteger="1" minValue="0" maxValue="999"/>
    </cacheField>
    <cacheField name="sales_month_4" numFmtId="164">
      <sharedItems containsSemiMixedTypes="0" containsString="0" containsNumber="1" containsInteger="1" minValue="0" maxValue="1000"/>
    </cacheField>
    <cacheField name="sales_month_5" numFmtId="164">
      <sharedItems containsSemiMixedTypes="0" containsString="0" containsNumber="1" containsInteger="1" minValue="0" maxValue="1000"/>
    </cacheField>
    <cacheField name="sales_month_6" numFmtId="164">
      <sharedItems containsSemiMixedTypes="0" containsString="0" containsNumber="1" containsInteger="1" minValue="0" maxValue="1000"/>
    </cacheField>
    <cacheField name="sales_month_7" numFmtId="164">
      <sharedItems containsSemiMixedTypes="0" containsString="0" containsNumber="1" containsInteger="1" minValue="0" maxValue="1000"/>
    </cacheField>
    <cacheField name="sales_month_8" numFmtId="164">
      <sharedItems containsSemiMixedTypes="0" containsString="0" containsNumber="1" containsInteger="1" minValue="5" maxValue="1000"/>
    </cacheField>
    <cacheField name="sales_month_9" numFmtId="164">
      <sharedItems containsSemiMixedTypes="0" containsString="0" containsNumber="1" containsInteger="1" minValue="0" maxValue="1000"/>
    </cacheField>
    <cacheField name="sales_month_10" numFmtId="164">
      <sharedItems containsSemiMixedTypes="0" containsString="0" containsNumber="1" containsInteger="1" minValue="1" maxValue="1000"/>
    </cacheField>
    <cacheField name="sales_month_11" numFmtId="164">
      <sharedItems containsSemiMixedTypes="0" containsString="0" containsNumber="1" containsInteger="1" minValue="0" maxValue="1000"/>
    </cacheField>
    <cacheField name="sales_month_12" numFmtId="164">
      <sharedItems containsSemiMixedTypes="0" containsString="0" containsNumber="1" containsInteger="1" minValue="4" maxValue="1000"/>
    </cacheField>
    <cacheField name="total_sales" numFmtId="164">
      <sharedItems containsSemiMixedTypes="0" containsString="0" containsNumber="1" containsInteger="1" minValue="2972" maxValue="9151"/>
    </cacheField>
    <cacheField name="revenue_month_1" numFmtId="166">
      <sharedItems containsSemiMixedTypes="0" containsString="0" containsNumber="1" minValue="0" maxValue="491787.72"/>
    </cacheField>
    <cacheField name="revenue_month_2" numFmtId="166">
      <sharedItems containsSemiMixedTypes="0" containsString="0" containsNumber="1" minValue="103.04" maxValue="470368.4"/>
    </cacheField>
    <cacheField name="revenue_month_3" numFmtId="166">
      <sharedItems containsSemiMixedTypes="0" containsString="0" containsNumber="1" minValue="0" maxValue="480744.01"/>
    </cacheField>
    <cacheField name="revenue_month_4" numFmtId="166">
      <sharedItems containsSemiMixedTypes="0" containsString="0" containsNumber="1" minValue="0" maxValue="495300"/>
    </cacheField>
    <cacheField name="revenue_month_5" numFmtId="166">
      <sharedItems containsSemiMixedTypes="0" containsString="0" containsNumber="1" minValue="0" maxValue="476614.74"/>
    </cacheField>
    <cacheField name="revenue_month_6" numFmtId="166">
      <sharedItems containsSemiMixedTypes="0" containsString="0" containsNumber="1" minValue="0" maxValue="483654.67000000004"/>
    </cacheField>
    <cacheField name="revenue_month_7" numFmtId="166">
      <sharedItems containsSemiMixedTypes="0" containsString="0" containsNumber="1" minValue="0" maxValue="494960.85"/>
    </cacheField>
    <cacheField name="revenue_month_8" numFmtId="166">
      <sharedItems containsSemiMixedTypes="0" containsString="0" containsNumber="1" minValue="201.20000000000002" maxValue="456798.39999999997"/>
    </cacheField>
    <cacheField name="revenue_month_9" numFmtId="166">
      <sharedItems containsSemiMixedTypes="0" containsString="0" containsNumber="1" minValue="0" maxValue="462673.28"/>
    </cacheField>
    <cacheField name="revenue_month_10" numFmtId="166">
      <sharedItems containsSemiMixedTypes="0" containsString="0" containsNumber="1" minValue="54.89" maxValue="478777.05"/>
    </cacheField>
    <cacheField name="revenue_month_11" numFmtId="166">
      <sharedItems containsSemiMixedTypes="0" containsString="0" containsNumber="1" minValue="0" maxValue="470032.15"/>
    </cacheField>
    <cacheField name="revenue_month_12" numFmtId="166">
      <sharedItems containsSemiMixedTypes="0" containsString="0" containsNumber="1" minValue="244.26" maxValue="482499.6"/>
    </cacheField>
    <cacheField name="total_revenue" numFmtId="166">
      <sharedItems containsSemiMixedTypes="0" containsString="0" containsNumber="1" minValue="47485.39" maxValue="3812158.55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Product_1"/>
    <x v="0"/>
    <n v="190.4"/>
    <n v="1.7"/>
    <n v="220"/>
    <n v="479"/>
    <n v="449"/>
    <n v="92"/>
    <n v="784"/>
    <n v="604"/>
    <n v="904"/>
    <n v="446"/>
    <n v="603"/>
    <n v="807"/>
    <n v="252"/>
    <n v="695"/>
    <n v="306"/>
    <n v="6421"/>
    <n v="91201.600000000006"/>
    <n v="85489.600000000006"/>
    <n v="17516.8"/>
    <n v="149273.60000000001"/>
    <n v="115001.60000000001"/>
    <n v="172121.60000000001"/>
    <n v="84918.400000000009"/>
    <n v="114811.2"/>
    <n v="153652.80000000002"/>
    <n v="47980.800000000003"/>
    <n v="132328"/>
    <n v="58262.400000000001"/>
    <n v="1222558.3999999999"/>
  </r>
  <r>
    <n v="2"/>
    <s v="Product_2"/>
    <x v="1"/>
    <n v="475.6"/>
    <n v="3.2"/>
    <n v="903"/>
    <n v="21"/>
    <n v="989"/>
    <n v="861"/>
    <n v="863"/>
    <n v="524"/>
    <n v="128"/>
    <n v="610"/>
    <n v="436"/>
    <n v="176"/>
    <n v="294"/>
    <n v="772"/>
    <n v="353"/>
    <n v="6027"/>
    <n v="9987.6"/>
    <n v="470368.4"/>
    <n v="409491.60000000003"/>
    <n v="410442.80000000005"/>
    <n v="249214.40000000002"/>
    <n v="60876.800000000003"/>
    <n v="290116"/>
    <n v="207361.6"/>
    <n v="83705.600000000006"/>
    <n v="139826.4"/>
    <n v="367163.2"/>
    <n v="167886.80000000002"/>
    <n v="2866441.2"/>
  </r>
  <r>
    <n v="3"/>
    <s v="Product_3"/>
    <x v="2"/>
    <n v="367.34"/>
    <n v="4.5"/>
    <n v="163"/>
    <n v="348"/>
    <n v="558"/>
    <n v="567"/>
    <n v="143"/>
    <n v="771"/>
    <n v="409"/>
    <n v="290"/>
    <n v="828"/>
    <n v="340"/>
    <n v="667"/>
    <n v="267"/>
    <n v="392"/>
    <n v="5580"/>
    <n v="127834.31999999999"/>
    <n v="204975.71999999997"/>
    <n v="208281.78"/>
    <n v="52529.619999999995"/>
    <n v="283219.13999999996"/>
    <n v="150242.06"/>
    <n v="106528.59999999999"/>
    <n v="304157.51999999996"/>
    <n v="124895.59999999999"/>
    <n v="245015.77999999997"/>
    <n v="98079.78"/>
    <n v="143997.28"/>
    <n v="2049757.2000000002"/>
  </r>
  <r>
    <n v="4"/>
    <s v="Product_4"/>
    <x v="2"/>
    <n v="301.33999999999997"/>
    <n v="3.9"/>
    <n v="951"/>
    <n v="725"/>
    <n v="678"/>
    <n v="59"/>
    <n v="15"/>
    <n v="937"/>
    <n v="421"/>
    <n v="670"/>
    <n v="933"/>
    <n v="56"/>
    <n v="157"/>
    <n v="168"/>
    <n v="203"/>
    <n v="5022"/>
    <n v="218471.49999999997"/>
    <n v="204308.52"/>
    <n v="17779.059999999998"/>
    <n v="4520.0999999999995"/>
    <n v="282355.57999999996"/>
    <n v="126864.13999999998"/>
    <n v="201897.8"/>
    <n v="281150.21999999997"/>
    <n v="16875.039999999997"/>
    <n v="47310.38"/>
    <n v="50625.119999999995"/>
    <n v="61172.02"/>
    <n v="1513329.48"/>
  </r>
  <r>
    <n v="5"/>
    <s v="Product_5"/>
    <x v="3"/>
    <n v="82.23"/>
    <n v="4.2"/>
    <n v="220"/>
    <n v="682"/>
    <n v="451"/>
    <n v="649"/>
    <n v="301"/>
    <n v="620"/>
    <n v="293"/>
    <n v="411"/>
    <n v="258"/>
    <n v="854"/>
    <n v="548"/>
    <n v="770"/>
    <n v="257"/>
    <n v="6094"/>
    <n v="56080.86"/>
    <n v="37085.730000000003"/>
    <n v="53367.270000000004"/>
    <n v="24751.23"/>
    <n v="50982.600000000006"/>
    <n v="24093.39"/>
    <n v="33796.53"/>
    <n v="21215.34"/>
    <n v="70224.42"/>
    <n v="45062.04"/>
    <n v="63317.100000000006"/>
    <n v="21133.11"/>
    <n v="501109.62"/>
  </r>
  <r>
    <n v="6"/>
    <s v="Product_6"/>
    <x v="2"/>
    <n v="82.22"/>
    <n v="3.6"/>
    <n v="270"/>
    <n v="834"/>
    <n v="288"/>
    <n v="38"/>
    <n v="422"/>
    <n v="329"/>
    <n v="245"/>
    <n v="614"/>
    <n v="979"/>
    <n v="851"/>
    <n v="630"/>
    <n v="738"/>
    <n v="485"/>
    <n v="6453"/>
    <n v="68571.48"/>
    <n v="23679.360000000001"/>
    <n v="3124.36"/>
    <n v="34696.839999999997"/>
    <n v="27050.38"/>
    <n v="20143.900000000001"/>
    <n v="50483.08"/>
    <n v="80493.38"/>
    <n v="69969.22"/>
    <n v="51798.6"/>
    <n v="60678.36"/>
    <n v="39876.699999999997"/>
    <n v="530565.65999999992"/>
  </r>
  <r>
    <n v="7"/>
    <s v="Product_7"/>
    <x v="4"/>
    <n v="33.75"/>
    <n v="3.8"/>
    <n v="632"/>
    <n v="565"/>
    <n v="140"/>
    <n v="539"/>
    <n v="244"/>
    <n v="188"/>
    <n v="700"/>
    <n v="896"/>
    <n v="965"/>
    <n v="447"/>
    <n v="66"/>
    <n v="32"/>
    <n v="516"/>
    <n v="5298"/>
    <n v="19068.75"/>
    <n v="4725"/>
    <n v="18191.25"/>
    <n v="8235"/>
    <n v="6345"/>
    <n v="23625"/>
    <n v="30240"/>
    <n v="32568.75"/>
    <n v="15086.25"/>
    <n v="2227.5"/>
    <n v="1080"/>
    <n v="17415"/>
    <n v="178807.5"/>
  </r>
  <r>
    <n v="8"/>
    <s v="Product_8"/>
    <x v="4"/>
    <n v="433.76"/>
    <n v="4.4000000000000004"/>
    <n v="906"/>
    <n v="905"/>
    <n v="83"/>
    <n v="48"/>
    <n v="926"/>
    <n v="94"/>
    <n v="555"/>
    <n v="280"/>
    <n v="102"/>
    <n v="202"/>
    <n v="753"/>
    <n v="376"/>
    <n v="445"/>
    <n v="4769"/>
    <n v="392552.8"/>
    <n v="36002.080000000002"/>
    <n v="20820.48"/>
    <n v="401661.76"/>
    <n v="40773.440000000002"/>
    <n v="240736.8"/>
    <n v="121452.8"/>
    <n v="44243.519999999997"/>
    <n v="87619.520000000004"/>
    <n v="326621.27999999997"/>
    <n v="163093.76000000001"/>
    <n v="193023.19999999998"/>
    <n v="2068601.4400000002"/>
  </r>
  <r>
    <n v="9"/>
    <s v="Product_9"/>
    <x v="4"/>
    <n v="302.55"/>
    <n v="2"/>
    <n v="848"/>
    <n v="809"/>
    <n v="693"/>
    <n v="419"/>
    <n v="106"/>
    <n v="616"/>
    <n v="85"/>
    <n v="42"/>
    <n v="992"/>
    <n v="696"/>
    <n v="298"/>
    <n v="213"/>
    <n v="708"/>
    <n v="5677"/>
    <n v="244762.95"/>
    <n v="209667.15"/>
    <n v="126768.45000000001"/>
    <n v="32070.300000000003"/>
    <n v="186370.80000000002"/>
    <n v="25716.75"/>
    <n v="12707.1"/>
    <n v="300129.60000000003"/>
    <n v="210574.80000000002"/>
    <n v="90159.900000000009"/>
    <n v="64443.15"/>
    <n v="214205.4"/>
    <n v="1717576.3499999999"/>
  </r>
  <r>
    <n v="10"/>
    <s v="Product_10"/>
    <x v="0"/>
    <n v="355.5"/>
    <n v="3"/>
    <n v="400"/>
    <n v="319"/>
    <n v="390"/>
    <n v="636"/>
    <n v="87"/>
    <n v="7"/>
    <n v="555"/>
    <n v="485"/>
    <n v="566"/>
    <n v="632"/>
    <n v="462"/>
    <n v="561"/>
    <n v="179"/>
    <n v="4879"/>
    <n v="113404.5"/>
    <n v="138645"/>
    <n v="226098"/>
    <n v="30928.5"/>
    <n v="2488.5"/>
    <n v="197302.5"/>
    <n v="172417.5"/>
    <n v="201213"/>
    <n v="224676"/>
    <n v="164241"/>
    <n v="199435.5"/>
    <n v="63634.5"/>
    <n v="1734484.5"/>
  </r>
  <r>
    <n v="11"/>
    <s v="Product_11"/>
    <x v="2"/>
    <n v="15.19"/>
    <n v="1.9"/>
    <n v="182"/>
    <n v="125"/>
    <n v="590"/>
    <n v="12"/>
    <n v="128"/>
    <n v="66"/>
    <n v="841"/>
    <n v="595"/>
    <n v="768"/>
    <n v="737"/>
    <n v="724"/>
    <n v="439"/>
    <n v="341"/>
    <n v="5366"/>
    <n v="1898.75"/>
    <n v="8962.1"/>
    <n v="182.28"/>
    <n v="1944.32"/>
    <n v="1002.54"/>
    <n v="12774.789999999999"/>
    <n v="9038.0499999999993"/>
    <n v="11665.92"/>
    <n v="11195.029999999999"/>
    <n v="10997.56"/>
    <n v="6668.41"/>
    <n v="5179.79"/>
    <n v="81509.539999999994"/>
  </r>
  <r>
    <n v="12"/>
    <s v="Product_12"/>
    <x v="5"/>
    <n v="485.11"/>
    <n v="5"/>
    <n v="991"/>
    <n v="276"/>
    <n v="214"/>
    <n v="991"/>
    <n v="906"/>
    <n v="495"/>
    <n v="374"/>
    <n v="962"/>
    <n v="100"/>
    <n v="201"/>
    <n v="819"/>
    <n v="491"/>
    <n v="132"/>
    <n v="5961"/>
    <n v="133890.36000000002"/>
    <n v="103813.54000000001"/>
    <n v="480744.01"/>
    <n v="439509.66000000003"/>
    <n v="240129.45"/>
    <n v="181431.14"/>
    <n v="466675.82"/>
    <n v="48511"/>
    <n v="97507.11"/>
    <n v="397305.09"/>
    <n v="238189.01"/>
    <n v="64034.520000000004"/>
    <n v="2891740.7100000004"/>
  </r>
  <r>
    <n v="13"/>
    <s v="Product_13"/>
    <x v="4"/>
    <n v="417.06"/>
    <n v="4.8"/>
    <n v="618"/>
    <n v="975"/>
    <n v="525"/>
    <n v="35"/>
    <n v="886"/>
    <n v="190"/>
    <n v="445"/>
    <n v="702"/>
    <n v="197"/>
    <n v="329"/>
    <n v="100"/>
    <n v="392"/>
    <n v="442"/>
    <n v="5218"/>
    <n v="406633.5"/>
    <n v="218956.5"/>
    <n v="14597.1"/>
    <n v="369515.16"/>
    <n v="79241.399999999994"/>
    <n v="185591.7"/>
    <n v="292776.12"/>
    <n v="82160.820000000007"/>
    <n v="137212.74"/>
    <n v="41706"/>
    <n v="163487.51999999999"/>
    <n v="184340.52"/>
    <n v="2176219.08"/>
  </r>
  <r>
    <n v="14"/>
    <s v="Product_14"/>
    <x v="3"/>
    <n v="110.11"/>
    <n v="1.2"/>
    <n v="729"/>
    <n v="203"/>
    <n v="214"/>
    <n v="100"/>
    <n v="340"/>
    <n v="365"/>
    <n v="377"/>
    <n v="50"/>
    <n v="812"/>
    <n v="362"/>
    <n v="55"/>
    <n v="488"/>
    <n v="835"/>
    <n v="4201"/>
    <n v="22352.329999999998"/>
    <n v="23563.54"/>
    <n v="11011"/>
    <n v="37437.4"/>
    <n v="40190.15"/>
    <n v="41511.47"/>
    <n v="5505.5"/>
    <n v="89409.319999999992"/>
    <n v="39859.82"/>
    <n v="6056.05"/>
    <n v="53733.68"/>
    <n v="91941.85"/>
    <n v="462572.11"/>
  </r>
  <r>
    <n v="15"/>
    <s v="Product_15"/>
    <x v="0"/>
    <n v="95"/>
    <n v="3.8"/>
    <n v="205"/>
    <n v="193"/>
    <n v="402"/>
    <n v="793"/>
    <n v="3"/>
    <n v="767"/>
    <n v="389"/>
    <n v="897"/>
    <n v="225"/>
    <n v="891"/>
    <n v="331"/>
    <n v="721"/>
    <n v="252"/>
    <n v="5864"/>
    <n v="18335"/>
    <n v="38190"/>
    <n v="75335"/>
    <n v="285"/>
    <n v="72865"/>
    <n v="36955"/>
    <n v="85215"/>
    <n v="21375"/>
    <n v="84645"/>
    <n v="31445"/>
    <n v="68495"/>
    <n v="23940"/>
    <n v="557080"/>
  </r>
  <r>
    <n v="16"/>
    <s v="Product_16"/>
    <x v="3"/>
    <n v="95.79"/>
    <n v="4.7"/>
    <n v="582"/>
    <n v="680"/>
    <n v="127"/>
    <n v="85"/>
    <n v="326"/>
    <n v="520"/>
    <n v="656"/>
    <n v="209"/>
    <n v="942"/>
    <n v="453"/>
    <n v="835"/>
    <n v="945"/>
    <n v="264"/>
    <n v="6042"/>
    <n v="65137.200000000004"/>
    <n v="12165.33"/>
    <n v="8142.1500000000005"/>
    <n v="31227.54"/>
    <n v="49810.8"/>
    <n v="62838.240000000005"/>
    <n v="20020.11"/>
    <n v="90234.180000000008"/>
    <n v="43392.87"/>
    <n v="79984.650000000009"/>
    <n v="90521.55"/>
    <n v="25288.560000000001"/>
    <n v="578763.18000000005"/>
  </r>
  <r>
    <n v="17"/>
    <s v="Product_17"/>
    <x v="2"/>
    <n v="155.6"/>
    <n v="1.7"/>
    <n v="556"/>
    <n v="663"/>
    <n v="821"/>
    <n v="515"/>
    <n v="409"/>
    <n v="989"/>
    <n v="50"/>
    <n v="125"/>
    <n v="462"/>
    <n v="355"/>
    <n v="750"/>
    <n v="28"/>
    <n v="92"/>
    <n v="5259"/>
    <n v="103162.8"/>
    <n v="127747.59999999999"/>
    <n v="80134"/>
    <n v="63640.399999999994"/>
    <n v="153888.4"/>
    <n v="7780"/>
    <n v="19450"/>
    <n v="71887.199999999997"/>
    <n v="55238"/>
    <n v="116700"/>
    <n v="4356.8"/>
    <n v="14315.199999999999"/>
    <n v="818300.4"/>
  </r>
  <r>
    <n v="18"/>
    <s v="Product_18"/>
    <x v="1"/>
    <n v="264.75"/>
    <n v="3.3"/>
    <n v="841"/>
    <n v="546"/>
    <n v="476"/>
    <n v="222"/>
    <n v="878"/>
    <n v="116"/>
    <n v="241"/>
    <n v="491"/>
    <n v="236"/>
    <n v="215"/>
    <n v="392"/>
    <n v="38"/>
    <n v="661"/>
    <n v="4512"/>
    <n v="144553.5"/>
    <n v="126021"/>
    <n v="58774.5"/>
    <n v="232450.5"/>
    <n v="30711"/>
    <n v="63804.75"/>
    <n v="129992.25"/>
    <n v="62481"/>
    <n v="56921.25"/>
    <n v="103782"/>
    <n v="10060.5"/>
    <n v="174999.75"/>
    <n v="1194552"/>
  </r>
  <r>
    <n v="19"/>
    <s v="Product_19"/>
    <x v="3"/>
    <n v="218.81"/>
    <n v="4.7"/>
    <n v="813"/>
    <n v="695"/>
    <n v="759"/>
    <n v="337"/>
    <n v="305"/>
    <n v="266"/>
    <n v="293"/>
    <n v="508"/>
    <n v="25"/>
    <n v="971"/>
    <n v="742"/>
    <n v="858"/>
    <n v="410"/>
    <n v="6169"/>
    <n v="152072.95000000001"/>
    <n v="166076.79"/>
    <n v="73738.97"/>
    <n v="66737.05"/>
    <n v="58203.46"/>
    <n v="64111.33"/>
    <n v="111155.48"/>
    <n v="5470.25"/>
    <n v="212464.51"/>
    <n v="162357.01999999999"/>
    <n v="187738.98"/>
    <n v="89712.1"/>
    <n v="1349838.89"/>
  </r>
  <r>
    <n v="20"/>
    <s v="Product_20"/>
    <x v="1"/>
    <n v="149.16"/>
    <n v="1.1000000000000001"/>
    <n v="228"/>
    <n v="285"/>
    <n v="403"/>
    <n v="959"/>
    <n v="907"/>
    <n v="610"/>
    <n v="919"/>
    <n v="959"/>
    <n v="120"/>
    <n v="554"/>
    <n v="873"/>
    <n v="611"/>
    <n v="137"/>
    <n v="7337"/>
    <n v="42510.6"/>
    <n v="60111.479999999996"/>
    <n v="143044.44"/>
    <n v="135288.12"/>
    <n v="90987.599999999991"/>
    <n v="137078.04"/>
    <n v="143044.44"/>
    <n v="17899.2"/>
    <n v="82634.64"/>
    <n v="130216.68"/>
    <n v="91136.76"/>
    <n v="20434.919999999998"/>
    <n v="1094386.92"/>
  </r>
  <r>
    <n v="21"/>
    <s v="Product_21"/>
    <x v="0"/>
    <n v="307.87"/>
    <n v="3.8"/>
    <n v="696"/>
    <n v="56"/>
    <n v="28"/>
    <n v="165"/>
    <n v="606"/>
    <n v="484"/>
    <n v="562"/>
    <n v="969"/>
    <n v="909"/>
    <n v="886"/>
    <n v="380"/>
    <n v="172"/>
    <n v="207"/>
    <n v="5424"/>
    <n v="17240.72"/>
    <n v="8620.36"/>
    <n v="50798.55"/>
    <n v="186569.22"/>
    <n v="149009.08000000002"/>
    <n v="173022.94"/>
    <n v="298326.03000000003"/>
    <n v="279853.83"/>
    <n v="272772.82"/>
    <n v="116990.6"/>
    <n v="52953.64"/>
    <n v="63729.090000000004"/>
    <n v="1669886.8800000001"/>
  </r>
  <r>
    <n v="22"/>
    <s v="Product_22"/>
    <x v="3"/>
    <n v="74.05"/>
    <n v="2.2000000000000002"/>
    <n v="619"/>
    <n v="733"/>
    <n v="791"/>
    <n v="382"/>
    <n v="720"/>
    <n v="508"/>
    <n v="265"/>
    <n v="580"/>
    <n v="505"/>
    <n v="22"/>
    <n v="91"/>
    <n v="16"/>
    <n v="636"/>
    <n v="5249"/>
    <n v="54278.65"/>
    <n v="58573.549999999996"/>
    <n v="28287.1"/>
    <n v="53316"/>
    <n v="37617.4"/>
    <n v="19623.25"/>
    <n v="42949"/>
    <n v="37395.25"/>
    <n v="1629.1"/>
    <n v="6738.55"/>
    <n v="1184.8"/>
    <n v="47095.799999999996"/>
    <n v="388688.4499999999"/>
  </r>
  <r>
    <n v="23"/>
    <s v="Product_23"/>
    <x v="3"/>
    <n v="149.61000000000001"/>
    <n v="4.7"/>
    <n v="596"/>
    <n v="302"/>
    <n v="337"/>
    <n v="855"/>
    <n v="224"/>
    <n v="297"/>
    <n v="119"/>
    <n v="776"/>
    <n v="181"/>
    <n v="154"/>
    <n v="790"/>
    <n v="55"/>
    <n v="745"/>
    <n v="4835"/>
    <n v="45182.22"/>
    <n v="50418.570000000007"/>
    <n v="127916.55000000002"/>
    <n v="33512.639999999999"/>
    <n v="44434.170000000006"/>
    <n v="17803.59"/>
    <n v="116097.36000000002"/>
    <n v="27079.410000000003"/>
    <n v="23039.940000000002"/>
    <n v="118191.90000000001"/>
    <n v="8228.5500000000011"/>
    <n v="111459.45000000001"/>
    <n v="723364.35000000009"/>
  </r>
  <r>
    <n v="24"/>
    <s v="Product_24"/>
    <x v="6"/>
    <n v="186.35"/>
    <n v="4.9000000000000004"/>
    <n v="850"/>
    <n v="162"/>
    <n v="830"/>
    <n v="894"/>
    <n v="970"/>
    <n v="908"/>
    <n v="711"/>
    <n v="257"/>
    <n v="710"/>
    <n v="185"/>
    <n v="446"/>
    <n v="225"/>
    <n v="572"/>
    <n v="6870"/>
    <n v="30188.7"/>
    <n v="154670.5"/>
    <n v="166596.9"/>
    <n v="180759.5"/>
    <n v="169205.8"/>
    <n v="132494.85"/>
    <n v="47891.95"/>
    <n v="132308.5"/>
    <n v="34474.75"/>
    <n v="83112.099999999991"/>
    <n v="41928.75"/>
    <n v="106592.2"/>
    <n v="1280224.4999999998"/>
  </r>
  <r>
    <n v="25"/>
    <s v="Product_25"/>
    <x v="0"/>
    <n v="230.75"/>
    <n v="4.8"/>
    <n v="250"/>
    <n v="18"/>
    <n v="713"/>
    <n v="375"/>
    <n v="347"/>
    <n v="163"/>
    <n v="916"/>
    <n v="929"/>
    <n v="813"/>
    <n v="248"/>
    <n v="108"/>
    <n v="557"/>
    <n v="306"/>
    <n v="5493"/>
    <n v="4153.5"/>
    <n v="164524.75"/>
    <n v="86531.25"/>
    <n v="80070.25"/>
    <n v="37612.25"/>
    <n v="211367"/>
    <n v="214366.75"/>
    <n v="187599.75"/>
    <n v="57226"/>
    <n v="24921"/>
    <n v="128527.75"/>
    <n v="70609.5"/>
    <n v="1267509.75"/>
  </r>
  <r>
    <n v="26"/>
    <s v="Product_26"/>
    <x v="0"/>
    <n v="393.66"/>
    <n v="2.9"/>
    <n v="875"/>
    <n v="369"/>
    <n v="360"/>
    <n v="470"/>
    <n v="991"/>
    <n v="375"/>
    <n v="247"/>
    <n v="187"/>
    <n v="766"/>
    <n v="748"/>
    <n v="316"/>
    <n v="66"/>
    <n v="265"/>
    <n v="5160"/>
    <n v="145260.54"/>
    <n v="141717.6"/>
    <n v="185020.2"/>
    <n v="390117.06"/>
    <n v="147622.5"/>
    <n v="97234.02"/>
    <n v="73614.42"/>
    <n v="301543.56"/>
    <n v="294457.68"/>
    <n v="124396.56000000001"/>
    <n v="25981.56"/>
    <n v="104319.90000000001"/>
    <n v="2031285.5999999999"/>
  </r>
  <r>
    <n v="27"/>
    <s v="Product_27"/>
    <x v="4"/>
    <n v="103.84"/>
    <n v="4.4000000000000004"/>
    <n v="441"/>
    <n v="263"/>
    <n v="568"/>
    <n v="789"/>
    <n v="320"/>
    <n v="652"/>
    <n v="69"/>
    <n v="229"/>
    <n v="633"/>
    <n v="804"/>
    <n v="167"/>
    <n v="196"/>
    <n v="645"/>
    <n v="5335"/>
    <n v="27309.920000000002"/>
    <n v="58981.120000000003"/>
    <n v="81929.760000000009"/>
    <n v="33228.800000000003"/>
    <n v="67703.680000000008"/>
    <n v="7164.96"/>
    <n v="23779.360000000001"/>
    <n v="65730.720000000001"/>
    <n v="83487.360000000001"/>
    <n v="17341.28"/>
    <n v="20352.64"/>
    <n v="66976.800000000003"/>
    <n v="553986.40000000014"/>
  </r>
  <r>
    <n v="28"/>
    <s v="Product_28"/>
    <x v="2"/>
    <n v="259.55"/>
    <n v="4.4000000000000004"/>
    <n v="533"/>
    <n v="793"/>
    <n v="391"/>
    <n v="641"/>
    <n v="558"/>
    <n v="267"/>
    <n v="852"/>
    <n v="188"/>
    <n v="542"/>
    <n v="133"/>
    <n v="811"/>
    <n v="653"/>
    <n v="317"/>
    <n v="6146"/>
    <n v="205823.15000000002"/>
    <n v="101484.05"/>
    <n v="166371.55000000002"/>
    <n v="144828.9"/>
    <n v="69299.850000000006"/>
    <n v="221136.6"/>
    <n v="48795.4"/>
    <n v="140676.1"/>
    <n v="34520.15"/>
    <n v="210495.05000000002"/>
    <n v="169486.15"/>
    <n v="82277.350000000006"/>
    <n v="1595194.3"/>
  </r>
  <r>
    <n v="29"/>
    <s v="Product_29"/>
    <x v="3"/>
    <n v="298.25"/>
    <n v="2.2999999999999998"/>
    <n v="196"/>
    <n v="112"/>
    <n v="217"/>
    <n v="30"/>
    <n v="987"/>
    <n v="548"/>
    <n v="56"/>
    <n v="414"/>
    <n v="983"/>
    <n v="320"/>
    <n v="981"/>
    <n v="834"/>
    <n v="112"/>
    <n v="5594"/>
    <n v="33404"/>
    <n v="64720.25"/>
    <n v="8947.5"/>
    <n v="294372.75"/>
    <n v="163441"/>
    <n v="16702"/>
    <n v="123475.5"/>
    <n v="293179.75"/>
    <n v="95440"/>
    <n v="292583.25"/>
    <n v="248740.5"/>
    <n v="33404"/>
    <n v="1668410.5"/>
  </r>
  <r>
    <n v="30"/>
    <s v="Product_30"/>
    <x v="3"/>
    <n v="27.99"/>
    <n v="4.3"/>
    <n v="690"/>
    <n v="487"/>
    <n v="573"/>
    <n v="374"/>
    <n v="180"/>
    <n v="73"/>
    <n v="381"/>
    <n v="9"/>
    <n v="314"/>
    <n v="389"/>
    <n v="919"/>
    <n v="22"/>
    <n v="900"/>
    <n v="4621"/>
    <n v="13631.13"/>
    <n v="16038.269999999999"/>
    <n v="10468.26"/>
    <n v="5038.2"/>
    <n v="2043.27"/>
    <n v="10664.189999999999"/>
    <n v="251.91"/>
    <n v="8788.8599999999988"/>
    <n v="10888.109999999999"/>
    <n v="25722.809999999998"/>
    <n v="615.78"/>
    <n v="25191"/>
    <n v="129341.79"/>
  </r>
  <r>
    <n v="31"/>
    <s v="Product_31"/>
    <x v="5"/>
    <n v="305.73"/>
    <n v="1.1000000000000001"/>
    <n v="929"/>
    <n v="326"/>
    <n v="668"/>
    <n v="10"/>
    <n v="617"/>
    <n v="507"/>
    <n v="38"/>
    <n v="113"/>
    <n v="990"/>
    <n v="433"/>
    <n v="434"/>
    <n v="998"/>
    <n v="377"/>
    <n v="5511"/>
    <n v="99667.98000000001"/>
    <n v="204227.64"/>
    <n v="3057.3"/>
    <n v="188635.41"/>
    <n v="155005.11000000002"/>
    <n v="11617.740000000002"/>
    <n v="34547.490000000005"/>
    <n v="302672.7"/>
    <n v="132381.09"/>
    <n v="132686.82"/>
    <n v="305118.54000000004"/>
    <n v="115260.21"/>
    <n v="1684878.03"/>
  </r>
  <r>
    <n v="32"/>
    <s v="Product_32"/>
    <x v="0"/>
    <n v="89.41"/>
    <n v="3.4"/>
    <n v="987"/>
    <n v="541"/>
    <n v="201"/>
    <n v="987"/>
    <n v="710"/>
    <n v="72"/>
    <n v="983"/>
    <n v="75"/>
    <n v="796"/>
    <n v="21"/>
    <n v="441"/>
    <n v="605"/>
    <n v="453"/>
    <n v="5885"/>
    <n v="48370.81"/>
    <n v="17971.41"/>
    <n v="88247.67"/>
    <n v="63481.1"/>
    <n v="6437.5199999999995"/>
    <n v="87890.03"/>
    <n v="6705.75"/>
    <n v="71170.36"/>
    <n v="1877.61"/>
    <n v="39429.81"/>
    <n v="54093.049999999996"/>
    <n v="40502.729999999996"/>
    <n v="526177.85"/>
  </r>
  <r>
    <n v="33"/>
    <s v="Product_33"/>
    <x v="0"/>
    <n v="37.200000000000003"/>
    <n v="1.9"/>
    <n v="519"/>
    <n v="646"/>
    <n v="16"/>
    <n v="301"/>
    <n v="385"/>
    <n v="307"/>
    <n v="800"/>
    <n v="675"/>
    <n v="617"/>
    <n v="872"/>
    <n v="217"/>
    <n v="753"/>
    <n v="190"/>
    <n v="5779"/>
    <n v="24031.200000000001"/>
    <n v="595.20000000000005"/>
    <n v="11197.2"/>
    <n v="14322.000000000002"/>
    <n v="11420.400000000001"/>
    <n v="29760.000000000004"/>
    <n v="25110.000000000004"/>
    <n v="22952.400000000001"/>
    <n v="32438.400000000001"/>
    <n v="8072.4000000000005"/>
    <n v="28011.600000000002"/>
    <n v="7068.0000000000009"/>
    <n v="214978.80000000002"/>
  </r>
  <r>
    <n v="34"/>
    <s v="Product_34"/>
    <x v="2"/>
    <n v="474.7"/>
    <n v="1.5"/>
    <n v="70"/>
    <n v="578"/>
    <n v="321"/>
    <n v="95"/>
    <n v="617"/>
    <n v="198"/>
    <n v="442"/>
    <n v="501"/>
    <n v="735"/>
    <n v="599"/>
    <n v="221"/>
    <n v="236"/>
    <n v="890"/>
    <n v="5433"/>
    <n v="274376.59999999998"/>
    <n v="152378.69999999998"/>
    <n v="45096.5"/>
    <n v="292889.89999999997"/>
    <n v="93990.599999999991"/>
    <n v="209817.4"/>
    <n v="237824.69999999998"/>
    <n v="348904.5"/>
    <n v="284345.3"/>
    <n v="104908.7"/>
    <n v="112029.2"/>
    <n v="422483"/>
    <n v="2579045.1"/>
  </r>
  <r>
    <n v="35"/>
    <s v="Product_35"/>
    <x v="0"/>
    <n v="482.99"/>
    <n v="1.3"/>
    <n v="639"/>
    <n v="64"/>
    <n v="517"/>
    <n v="189"/>
    <n v="791"/>
    <n v="129"/>
    <n v="17"/>
    <n v="84"/>
    <n v="272"/>
    <n v="664"/>
    <n v="672"/>
    <n v="956"/>
    <n v="439"/>
    <n v="4794"/>
    <n v="30911.360000000001"/>
    <n v="249705.83000000002"/>
    <n v="91285.11"/>
    <n v="382045.09"/>
    <n v="62305.71"/>
    <n v="8210.83"/>
    <n v="40571.160000000003"/>
    <n v="131373.28"/>
    <n v="320705.36"/>
    <n v="324569.28000000003"/>
    <n v="461738.44"/>
    <n v="212032.61000000002"/>
    <n v="2315454.06"/>
  </r>
  <r>
    <n v="36"/>
    <s v="Product_36"/>
    <x v="1"/>
    <n v="405.16"/>
    <n v="3.8"/>
    <n v="399"/>
    <n v="291"/>
    <n v="569"/>
    <n v="452"/>
    <n v="771"/>
    <n v="757"/>
    <n v="951"/>
    <n v="48"/>
    <n v="909"/>
    <n v="124"/>
    <n v="527"/>
    <n v="918"/>
    <n v="186"/>
    <n v="6503"/>
    <n v="117901.56000000001"/>
    <n v="230536.04"/>
    <n v="183132.32"/>
    <n v="312378.36000000004"/>
    <n v="306706.12"/>
    <n v="385307.16000000003"/>
    <n v="19447.68"/>
    <n v="368290.44"/>
    <n v="50239.840000000004"/>
    <n v="213519.32"/>
    <n v="371936.88"/>
    <n v="75359.760000000009"/>
    <n v="2634755.4799999995"/>
  </r>
  <r>
    <n v="37"/>
    <s v="Product_37"/>
    <x v="1"/>
    <n v="155.78"/>
    <n v="2.4"/>
    <n v="978"/>
    <n v="24"/>
    <n v="324"/>
    <n v="191"/>
    <n v="107"/>
    <n v="823"/>
    <n v="731"/>
    <n v="494"/>
    <n v="231"/>
    <n v="78"/>
    <n v="277"/>
    <n v="922"/>
    <n v="830"/>
    <n v="5032"/>
    <n v="3738.7200000000003"/>
    <n v="50472.72"/>
    <n v="29753.98"/>
    <n v="16668.46"/>
    <n v="128206.94"/>
    <n v="113875.18000000001"/>
    <n v="76955.320000000007"/>
    <n v="35985.18"/>
    <n v="12150.84"/>
    <n v="43151.06"/>
    <n v="143629.16"/>
    <n v="129297.4"/>
    <n v="783884.96000000008"/>
  </r>
  <r>
    <n v="38"/>
    <s v="Product_38"/>
    <x v="6"/>
    <n v="53.35"/>
    <n v="3.9"/>
    <n v="672"/>
    <n v="548"/>
    <n v="411"/>
    <n v="485"/>
    <n v="530"/>
    <n v="571"/>
    <n v="824"/>
    <n v="837"/>
    <n v="419"/>
    <n v="857"/>
    <n v="568"/>
    <n v="565"/>
    <n v="366"/>
    <n v="6981"/>
    <n v="29235.8"/>
    <n v="21926.850000000002"/>
    <n v="25874.75"/>
    <n v="28275.5"/>
    <n v="30462.850000000002"/>
    <n v="43960.4"/>
    <n v="44653.950000000004"/>
    <n v="22353.65"/>
    <n v="45720.950000000004"/>
    <n v="30302.799999999999"/>
    <n v="30142.75"/>
    <n v="19526.100000000002"/>
    <n v="372436.35"/>
  </r>
  <r>
    <n v="39"/>
    <s v="Product_39"/>
    <x v="1"/>
    <n v="343.7"/>
    <n v="1.3"/>
    <n v="760"/>
    <n v="0"/>
    <n v="317"/>
    <n v="265"/>
    <n v="409"/>
    <n v="790"/>
    <n v="755"/>
    <n v="688"/>
    <n v="767"/>
    <n v="967"/>
    <n v="573"/>
    <n v="137"/>
    <n v="88"/>
    <n v="5756"/>
    <n v="0"/>
    <n v="108952.9"/>
    <n v="91080.5"/>
    <n v="140573.29999999999"/>
    <n v="271523"/>
    <n v="259493.5"/>
    <n v="236465.6"/>
    <n v="263617.89999999997"/>
    <n v="332357.89999999997"/>
    <n v="196940.1"/>
    <n v="47086.9"/>
    <n v="30245.599999999999"/>
    <n v="1978337.2"/>
  </r>
  <r>
    <n v="40"/>
    <s v="Product_40"/>
    <x v="1"/>
    <n v="222.88"/>
    <n v="2.2999999999999998"/>
    <n v="203"/>
    <n v="910"/>
    <n v="680"/>
    <n v="423"/>
    <n v="970"/>
    <n v="614"/>
    <n v="351"/>
    <n v="386"/>
    <n v="441"/>
    <n v="50"/>
    <n v="874"/>
    <n v="472"/>
    <n v="186"/>
    <n v="6357"/>
    <n v="202820.8"/>
    <n v="151558.39999999999"/>
    <n v="94278.24"/>
    <n v="216193.6"/>
    <n v="136848.32000000001"/>
    <n v="78230.880000000005"/>
    <n v="86031.679999999993"/>
    <n v="98290.08"/>
    <n v="11144"/>
    <n v="194797.12"/>
    <n v="105199.36"/>
    <n v="41455.68"/>
    <n v="1416848.1600000001"/>
  </r>
  <r>
    <n v="41"/>
    <s v="Product_41"/>
    <x v="2"/>
    <n v="65.41"/>
    <n v="3.2"/>
    <n v="148"/>
    <n v="548"/>
    <n v="964"/>
    <n v="127"/>
    <n v="295"/>
    <n v="807"/>
    <n v="971"/>
    <n v="969"/>
    <n v="495"/>
    <n v="727"/>
    <n v="465"/>
    <n v="844"/>
    <n v="818"/>
    <n v="8030"/>
    <n v="35844.68"/>
    <n v="63055.24"/>
    <n v="8307.07"/>
    <n v="19295.95"/>
    <n v="52785.869999999995"/>
    <n v="63513.109999999993"/>
    <n v="63382.289999999994"/>
    <n v="32377.949999999997"/>
    <n v="47553.07"/>
    <n v="30415.649999999998"/>
    <n v="55206.039999999994"/>
    <n v="53505.38"/>
    <n v="525242.29999999993"/>
  </r>
  <r>
    <n v="42"/>
    <s v="Product_42"/>
    <x v="3"/>
    <n v="250.11"/>
    <n v="4.2"/>
    <n v="472"/>
    <n v="140"/>
    <n v="81"/>
    <n v="237"/>
    <n v="817"/>
    <n v="831"/>
    <n v="815"/>
    <n v="388"/>
    <n v="23"/>
    <n v="175"/>
    <n v="838"/>
    <n v="783"/>
    <n v="945"/>
    <n v="6073"/>
    <n v="35015.4"/>
    <n v="20258.91"/>
    <n v="59276.07"/>
    <n v="204339.87000000002"/>
    <n v="207841.41"/>
    <n v="203839.65000000002"/>
    <n v="97042.680000000008"/>
    <n v="5752.5300000000007"/>
    <n v="43769.25"/>
    <n v="209592.18000000002"/>
    <n v="195836.13"/>
    <n v="236353.95"/>
    <n v="1518918.03"/>
  </r>
  <r>
    <n v="43"/>
    <s v="Product_43"/>
    <x v="1"/>
    <n v="22.02"/>
    <n v="2.2999999999999998"/>
    <n v="655"/>
    <n v="743"/>
    <n v="473"/>
    <n v="919"/>
    <n v="170"/>
    <n v="486"/>
    <n v="297"/>
    <n v="217"/>
    <n v="108"/>
    <n v="869"/>
    <n v="753"/>
    <n v="552"/>
    <n v="131"/>
    <n v="5718"/>
    <n v="16360.86"/>
    <n v="10415.459999999999"/>
    <n v="20236.38"/>
    <n v="3743.4"/>
    <n v="10701.72"/>
    <n v="6539.94"/>
    <n v="4778.34"/>
    <n v="2378.16"/>
    <n v="19135.38"/>
    <n v="16581.060000000001"/>
    <n v="12155.039999999999"/>
    <n v="2884.62"/>
    <n v="125910.35999999999"/>
  </r>
  <r>
    <n v="44"/>
    <s v="Product_44"/>
    <x v="6"/>
    <n v="455.11"/>
    <n v="3.5"/>
    <n v="944"/>
    <n v="647"/>
    <n v="467"/>
    <n v="354"/>
    <n v="330"/>
    <n v="852"/>
    <n v="282"/>
    <n v="700"/>
    <n v="702"/>
    <n v="252"/>
    <n v="601"/>
    <n v="609"/>
    <n v="871"/>
    <n v="6667"/>
    <n v="294456.17"/>
    <n v="212536.37"/>
    <n v="161108.94"/>
    <n v="150186.30000000002"/>
    <n v="387753.72000000003"/>
    <n v="128341.02"/>
    <n v="318577"/>
    <n v="319487.22000000003"/>
    <n v="114687.72"/>
    <n v="273521.11"/>
    <n v="277161.99"/>
    <n v="396400.81"/>
    <n v="3034218.3699999996"/>
  </r>
  <r>
    <n v="45"/>
    <s v="Product_45"/>
    <x v="0"/>
    <n v="133.1"/>
    <n v="4.5"/>
    <n v="199"/>
    <n v="900"/>
    <n v="424"/>
    <n v="939"/>
    <n v="492"/>
    <n v="150"/>
    <n v="585"/>
    <n v="980"/>
    <n v="501"/>
    <n v="965"/>
    <n v="583"/>
    <n v="694"/>
    <n v="634"/>
    <n v="7847"/>
    <n v="119790"/>
    <n v="56434.399999999994"/>
    <n v="124980.9"/>
    <n v="65485.2"/>
    <n v="19965"/>
    <n v="77863.5"/>
    <n v="130438"/>
    <n v="66683.099999999991"/>
    <n v="128441.5"/>
    <n v="77597.3"/>
    <n v="92371.4"/>
    <n v="84385.4"/>
    <n v="1044435.7000000001"/>
  </r>
  <r>
    <n v="46"/>
    <s v="Product_46"/>
    <x v="1"/>
    <n v="332.95"/>
    <n v="3.5"/>
    <n v="917"/>
    <n v="187"/>
    <n v="944"/>
    <n v="111"/>
    <n v="194"/>
    <n v="668"/>
    <n v="109"/>
    <n v="345"/>
    <n v="858"/>
    <n v="245"/>
    <n v="837"/>
    <n v="639"/>
    <n v="559"/>
    <n v="5696"/>
    <n v="62261.65"/>
    <n v="314304.8"/>
    <n v="36957.449999999997"/>
    <n v="64592.299999999996"/>
    <n v="222410.6"/>
    <n v="36291.549999999996"/>
    <n v="114867.75"/>
    <n v="285671.09999999998"/>
    <n v="81572.75"/>
    <n v="278679.14999999997"/>
    <n v="212755.05"/>
    <n v="186119.05"/>
    <n v="1896483.2000000002"/>
  </r>
  <r>
    <n v="47"/>
    <s v="Product_47"/>
    <x v="6"/>
    <n v="159.30000000000001"/>
    <n v="1.9"/>
    <n v="426"/>
    <n v="127"/>
    <n v="730"/>
    <n v="827"/>
    <n v="11"/>
    <n v="205"/>
    <n v="179"/>
    <n v="229"/>
    <n v="24"/>
    <n v="738"/>
    <n v="29"/>
    <n v="228"/>
    <n v="799"/>
    <n v="4126"/>
    <n v="20231.100000000002"/>
    <n v="116289.00000000001"/>
    <n v="131741.1"/>
    <n v="1752.3000000000002"/>
    <n v="32656.500000000004"/>
    <n v="28514.7"/>
    <n v="36479.700000000004"/>
    <n v="3823.2000000000003"/>
    <n v="117563.40000000001"/>
    <n v="4619.7000000000007"/>
    <n v="36320.400000000001"/>
    <n v="127280.70000000001"/>
    <n v="657271.80000000005"/>
  </r>
  <r>
    <n v="48"/>
    <s v="Product_48"/>
    <x v="2"/>
    <n v="262.43"/>
    <n v="1.1000000000000001"/>
    <n v="666"/>
    <n v="200"/>
    <n v="688"/>
    <n v="445"/>
    <n v="194"/>
    <n v="985"/>
    <n v="937"/>
    <n v="254"/>
    <n v="186"/>
    <n v="105"/>
    <n v="358"/>
    <n v="316"/>
    <n v="375"/>
    <n v="5043"/>
    <n v="52486"/>
    <n v="180551.84"/>
    <n v="116781.35"/>
    <n v="50911.42"/>
    <n v="258493.55000000002"/>
    <n v="245896.91"/>
    <n v="66657.22"/>
    <n v="48811.98"/>
    <n v="27555.15"/>
    <n v="93949.94"/>
    <n v="82927.88"/>
    <n v="98411.25"/>
    <n v="1323434.4900000002"/>
  </r>
  <r>
    <n v="49"/>
    <s v="Product_49"/>
    <x v="5"/>
    <n v="275.62"/>
    <n v="4.5"/>
    <n v="492"/>
    <n v="126"/>
    <n v="203"/>
    <n v="342"/>
    <n v="489"/>
    <n v="178"/>
    <n v="543"/>
    <n v="235"/>
    <n v="287"/>
    <n v="192"/>
    <n v="918"/>
    <n v="597"/>
    <n v="690"/>
    <n v="4800"/>
    <n v="34728.120000000003"/>
    <n v="55950.86"/>
    <n v="94262.040000000008"/>
    <n v="134778.18"/>
    <n v="49060.36"/>
    <n v="149661.66"/>
    <n v="64770.700000000004"/>
    <n v="79102.94"/>
    <n v="52919.040000000001"/>
    <n v="253019.16"/>
    <n v="164545.14000000001"/>
    <n v="190177.80000000002"/>
    <n v="1322976"/>
  </r>
  <r>
    <n v="50"/>
    <s v="Product_50"/>
    <x v="5"/>
    <n v="96.5"/>
    <n v="1.1000000000000001"/>
    <n v="888"/>
    <n v="256"/>
    <n v="582"/>
    <n v="144"/>
    <n v="794"/>
    <n v="196"/>
    <n v="745"/>
    <n v="25"/>
    <n v="627"/>
    <n v="315"/>
    <n v="287"/>
    <n v="767"/>
    <n v="691"/>
    <n v="5429"/>
    <n v="24704"/>
    <n v="56163"/>
    <n v="13896"/>
    <n v="76621"/>
    <n v="18914"/>
    <n v="71892.5"/>
    <n v="2412.5"/>
    <n v="60505.5"/>
    <n v="30397.5"/>
    <n v="27695.5"/>
    <n v="74015.5"/>
    <n v="66681.5"/>
    <n v="523898.5"/>
  </r>
  <r>
    <n v="51"/>
    <s v="Product_51"/>
    <x v="5"/>
    <n v="484.94"/>
    <n v="4.5"/>
    <n v="896"/>
    <n v="675"/>
    <n v="386"/>
    <n v="64"/>
    <n v="880"/>
    <n v="734"/>
    <n v="793"/>
    <n v="583"/>
    <n v="337"/>
    <n v="301"/>
    <n v="85"/>
    <n v="720"/>
    <n v="98"/>
    <n v="5656"/>
    <n v="327334.5"/>
    <n v="187186.84"/>
    <n v="31036.16"/>
    <n v="426747.2"/>
    <n v="355945.96"/>
    <n v="384557.42"/>
    <n v="282720.02"/>
    <n v="163424.78"/>
    <n v="145966.94"/>
    <n v="41219.9"/>
    <n v="349156.8"/>
    <n v="47524.12"/>
    <n v="2742820.6399999997"/>
  </r>
  <r>
    <n v="52"/>
    <s v="Product_52"/>
    <x v="0"/>
    <n v="388.69"/>
    <n v="3.1"/>
    <n v="142"/>
    <n v="546"/>
    <n v="777"/>
    <n v="246"/>
    <n v="181"/>
    <n v="88"/>
    <n v="24"/>
    <n v="260"/>
    <n v="877"/>
    <n v="547"/>
    <n v="233"/>
    <n v="726"/>
    <n v="841"/>
    <n v="5346"/>
    <n v="212224.74"/>
    <n v="302012.13"/>
    <n v="95617.74"/>
    <n v="70352.89"/>
    <n v="34204.720000000001"/>
    <n v="9328.56"/>
    <n v="101059.4"/>
    <n v="340881.13"/>
    <n v="212613.43"/>
    <n v="90564.77"/>
    <n v="282188.94"/>
    <n v="326888.28999999998"/>
    <n v="2077936.74"/>
  </r>
  <r>
    <n v="53"/>
    <s v="Product_53"/>
    <x v="6"/>
    <n v="470.05"/>
    <n v="4.8"/>
    <n v="313"/>
    <n v="193"/>
    <n v="97"/>
    <n v="734"/>
    <n v="961"/>
    <n v="798"/>
    <n v="842"/>
    <n v="765"/>
    <n v="913"/>
    <n v="953"/>
    <n v="746"/>
    <n v="885"/>
    <n v="33"/>
    <n v="7920"/>
    <n v="90719.650000000009"/>
    <n v="45594.85"/>
    <n v="345016.7"/>
    <n v="451718.05"/>
    <n v="375099.9"/>
    <n v="395782.10000000003"/>
    <n v="359588.25"/>
    <n v="429155.65"/>
    <n v="447957.65"/>
    <n v="350657.3"/>
    <n v="415994.25"/>
    <n v="15511.65"/>
    <n v="3722795.9999999995"/>
  </r>
  <r>
    <n v="54"/>
    <s v="Product_54"/>
    <x v="1"/>
    <n v="447.94"/>
    <n v="4.2"/>
    <n v="165"/>
    <n v="702"/>
    <n v="344"/>
    <n v="990"/>
    <n v="816"/>
    <n v="433"/>
    <n v="790"/>
    <n v="270"/>
    <n v="36"/>
    <n v="715"/>
    <n v="312"/>
    <n v="611"/>
    <n v="931"/>
    <n v="6950"/>
    <n v="314453.88"/>
    <n v="154091.35999999999"/>
    <n v="443460.6"/>
    <n v="365519.04"/>
    <n v="193958.02"/>
    <n v="353872.6"/>
    <n v="120943.8"/>
    <n v="16125.84"/>
    <n v="320277.09999999998"/>
    <n v="139757.28"/>
    <n v="273691.34000000003"/>
    <n v="417032.14"/>
    <n v="3113183"/>
  </r>
  <r>
    <n v="55"/>
    <s v="Product_55"/>
    <x v="3"/>
    <n v="300.95999999999998"/>
    <n v="5"/>
    <n v="314"/>
    <n v="103"/>
    <n v="802"/>
    <n v="489"/>
    <n v="655"/>
    <n v="787"/>
    <n v="737"/>
    <n v="122"/>
    <n v="793"/>
    <n v="933"/>
    <n v="364"/>
    <n v="560"/>
    <n v="581"/>
    <n v="6926"/>
    <n v="30998.879999999997"/>
    <n v="241369.91999999998"/>
    <n v="147169.44"/>
    <n v="197128.8"/>
    <n v="236855.52"/>
    <n v="221807.52"/>
    <n v="36717.119999999995"/>
    <n v="238661.27999999997"/>
    <n v="280795.68"/>
    <n v="109549.43999999999"/>
    <n v="168537.59999999998"/>
    <n v="174857.75999999998"/>
    <n v="2084448.9600000002"/>
  </r>
  <r>
    <n v="56"/>
    <s v="Product_56"/>
    <x v="0"/>
    <n v="461.33"/>
    <n v="2.4"/>
    <n v="21"/>
    <n v="534"/>
    <n v="207"/>
    <n v="824"/>
    <n v="897"/>
    <n v="747"/>
    <n v="56"/>
    <n v="655"/>
    <n v="136"/>
    <n v="778"/>
    <n v="776"/>
    <n v="200"/>
    <n v="170"/>
    <n v="5980"/>
    <n v="246350.22"/>
    <n v="95495.31"/>
    <n v="380135.92"/>
    <n v="413813.01"/>
    <n v="344613.51"/>
    <n v="25834.48"/>
    <n v="302171.14999999997"/>
    <n v="62740.88"/>
    <n v="358914.74"/>
    <n v="357992.08"/>
    <n v="92266"/>
    <n v="78426.099999999991"/>
    <n v="2758753.4"/>
  </r>
  <r>
    <n v="57"/>
    <s v="Product_57"/>
    <x v="0"/>
    <n v="48.8"/>
    <n v="4.0999999999999996"/>
    <n v="82"/>
    <n v="264"/>
    <n v="513"/>
    <n v="438"/>
    <n v="315"/>
    <n v="182"/>
    <n v="179"/>
    <n v="256"/>
    <n v="507"/>
    <n v="267"/>
    <n v="798"/>
    <n v="947"/>
    <n v="365"/>
    <n v="5031"/>
    <n v="12883.199999999999"/>
    <n v="25034.399999999998"/>
    <n v="21374.399999999998"/>
    <n v="15372"/>
    <n v="8881.6"/>
    <n v="8735.1999999999989"/>
    <n v="12492.8"/>
    <n v="24741.599999999999"/>
    <n v="13029.599999999999"/>
    <n v="38942.399999999994"/>
    <n v="46213.599999999999"/>
    <n v="17812"/>
    <n v="245512.80000000002"/>
  </r>
  <r>
    <n v="58"/>
    <s v="Product_58"/>
    <x v="5"/>
    <n v="102.01"/>
    <n v="2.6"/>
    <n v="581"/>
    <n v="801"/>
    <n v="635"/>
    <n v="105"/>
    <n v="693"/>
    <n v="208"/>
    <n v="231"/>
    <n v="655"/>
    <n v="226"/>
    <n v="169"/>
    <n v="838"/>
    <n v="257"/>
    <n v="783"/>
    <n v="5601"/>
    <n v="81710.010000000009"/>
    <n v="64776.350000000006"/>
    <n v="10711.050000000001"/>
    <n v="70692.930000000008"/>
    <n v="21218.080000000002"/>
    <n v="23564.31"/>
    <n v="66816.55"/>
    <n v="23054.260000000002"/>
    <n v="17239.690000000002"/>
    <n v="85484.38"/>
    <n v="26216.57"/>
    <n v="79873.83"/>
    <n v="571358.01"/>
  </r>
  <r>
    <n v="59"/>
    <s v="Product_59"/>
    <x v="3"/>
    <n v="27.39"/>
    <n v="2.9"/>
    <n v="131"/>
    <n v="941"/>
    <n v="791"/>
    <n v="180"/>
    <n v="29"/>
    <n v="492"/>
    <n v="893"/>
    <n v="420"/>
    <n v="319"/>
    <n v="550"/>
    <n v="904"/>
    <n v="479"/>
    <n v="58"/>
    <n v="6056"/>
    <n v="25773.99"/>
    <n v="21665.49"/>
    <n v="4930.2"/>
    <n v="794.31000000000006"/>
    <n v="13475.880000000001"/>
    <n v="24459.27"/>
    <n v="11503.800000000001"/>
    <n v="8737.41"/>
    <n v="15064.5"/>
    <n v="24760.560000000001"/>
    <n v="13119.81"/>
    <n v="1588.6200000000001"/>
    <n v="165873.84"/>
  </r>
  <r>
    <n v="60"/>
    <s v="Product_60"/>
    <x v="5"/>
    <n v="166.04"/>
    <n v="3.5"/>
    <n v="599"/>
    <n v="973"/>
    <n v="585"/>
    <n v="183"/>
    <n v="595"/>
    <n v="129"/>
    <n v="342"/>
    <n v="258"/>
    <n v="839"/>
    <n v="454"/>
    <n v="268"/>
    <n v="887"/>
    <n v="180"/>
    <n v="5693"/>
    <n v="161556.91999999998"/>
    <n v="97133.4"/>
    <n v="30385.32"/>
    <n v="98793.799999999988"/>
    <n v="21419.16"/>
    <n v="56785.68"/>
    <n v="42838.32"/>
    <n v="139307.56"/>
    <n v="75382.16"/>
    <n v="44498.720000000001"/>
    <n v="147277.47999999998"/>
    <n v="29887.199999999997"/>
    <n v="945265.71999999986"/>
  </r>
  <r>
    <n v="61"/>
    <s v="Product_61"/>
    <x v="0"/>
    <n v="197.4"/>
    <n v="4.5"/>
    <n v="730"/>
    <n v="383"/>
    <n v="165"/>
    <n v="225"/>
    <n v="677"/>
    <n v="664"/>
    <n v="476"/>
    <n v="947"/>
    <n v="915"/>
    <n v="650"/>
    <n v="697"/>
    <n v="177"/>
    <n v="18"/>
    <n v="5994"/>
    <n v="75604.2"/>
    <n v="32571"/>
    <n v="44415"/>
    <n v="133639.80000000002"/>
    <n v="131073.60000000001"/>
    <n v="93962.400000000009"/>
    <n v="186937.80000000002"/>
    <n v="180621"/>
    <n v="128310"/>
    <n v="137587.80000000002"/>
    <n v="34939.800000000003"/>
    <n v="3553.2000000000003"/>
    <n v="1183215.6000000001"/>
  </r>
  <r>
    <n v="62"/>
    <s v="Product_62"/>
    <x v="1"/>
    <n v="139.32"/>
    <n v="4.9000000000000004"/>
    <n v="933"/>
    <n v="259"/>
    <n v="21"/>
    <n v="776"/>
    <n v="795"/>
    <n v="12"/>
    <n v="798"/>
    <n v="46"/>
    <n v="181"/>
    <n v="291"/>
    <n v="130"/>
    <n v="756"/>
    <n v="225"/>
    <n v="4290"/>
    <n v="36083.879999999997"/>
    <n v="2925.72"/>
    <n v="108112.31999999999"/>
    <n v="110759.4"/>
    <n v="1671.84"/>
    <n v="111177.36"/>
    <n v="6408.7199999999993"/>
    <n v="25216.92"/>
    <n v="40542.119999999995"/>
    <n v="18111.599999999999"/>
    <n v="105325.92"/>
    <n v="31347"/>
    <n v="597682.79999999993"/>
  </r>
  <r>
    <n v="63"/>
    <s v="Product_63"/>
    <x v="5"/>
    <n v="415.23"/>
    <n v="4.0999999999999996"/>
    <n v="984"/>
    <n v="413"/>
    <n v="153"/>
    <n v="789"/>
    <n v="792"/>
    <n v="633"/>
    <n v="575"/>
    <n v="862"/>
    <n v="873"/>
    <n v="563"/>
    <n v="802"/>
    <n v="122"/>
    <n v="472"/>
    <n v="7049"/>
    <n v="171489.99000000002"/>
    <n v="63530.19"/>
    <n v="327616.47000000003"/>
    <n v="328862.16000000003"/>
    <n v="262840.59000000003"/>
    <n v="238757.25"/>
    <n v="357928.26"/>
    <n v="362495.79000000004"/>
    <n v="233774.49000000002"/>
    <n v="333014.46000000002"/>
    <n v="50658.060000000005"/>
    <n v="195988.56"/>
    <n v="2926956.2700000005"/>
  </r>
  <r>
    <n v="64"/>
    <s v="Product_64"/>
    <x v="5"/>
    <n v="181.59"/>
    <n v="2.7"/>
    <n v="305"/>
    <n v="990"/>
    <n v="938"/>
    <n v="908"/>
    <n v="95"/>
    <n v="870"/>
    <n v="454"/>
    <n v="524"/>
    <n v="85"/>
    <n v="798"/>
    <n v="992"/>
    <n v="341"/>
    <n v="94"/>
    <n v="7089"/>
    <n v="179774.1"/>
    <n v="170331.42"/>
    <n v="164883.72"/>
    <n v="17251.05"/>
    <n v="157983.30000000002"/>
    <n v="82441.86"/>
    <n v="95153.16"/>
    <n v="15435.15"/>
    <n v="144908.82"/>
    <n v="180137.28"/>
    <n v="61922.19"/>
    <n v="17069.46"/>
    <n v="1287291.51"/>
  </r>
  <r>
    <n v="65"/>
    <s v="Product_65"/>
    <x v="5"/>
    <n v="144.06"/>
    <n v="2.7"/>
    <n v="915"/>
    <n v="357"/>
    <n v="438"/>
    <n v="88"/>
    <n v="380"/>
    <n v="731"/>
    <n v="231"/>
    <n v="887"/>
    <n v="466"/>
    <n v="800"/>
    <n v="788"/>
    <n v="170"/>
    <n v="880"/>
    <n v="6216"/>
    <n v="51429.42"/>
    <n v="63098.28"/>
    <n v="12677.28"/>
    <n v="54742.8"/>
    <n v="105307.86"/>
    <n v="33277.86"/>
    <n v="127781.22"/>
    <n v="67131.960000000006"/>
    <n v="115248"/>
    <n v="113519.28"/>
    <n v="24490.2"/>
    <n v="126772.8"/>
    <n v="895476.96"/>
  </r>
  <r>
    <n v="66"/>
    <s v="Product_66"/>
    <x v="0"/>
    <n v="273.63"/>
    <n v="4"/>
    <n v="371"/>
    <n v="74"/>
    <n v="294"/>
    <n v="687"/>
    <n v="777"/>
    <n v="105"/>
    <n v="288"/>
    <n v="207"/>
    <n v="925"/>
    <n v="140"/>
    <n v="831"/>
    <n v="844"/>
    <n v="296"/>
    <n v="5468"/>
    <n v="20248.62"/>
    <n v="80447.22"/>
    <n v="187983.81"/>
    <n v="212610.51"/>
    <n v="28731.149999999998"/>
    <n v="78805.440000000002"/>
    <n v="56641.409999999996"/>
    <n v="253107.75"/>
    <n v="38308.199999999997"/>
    <n v="227386.53"/>
    <n v="230943.72"/>
    <n v="80994.48"/>
    <n v="1496208.8399999999"/>
  </r>
  <r>
    <n v="67"/>
    <s v="Product_67"/>
    <x v="1"/>
    <n v="74.760000000000005"/>
    <n v="2"/>
    <n v="857"/>
    <n v="354"/>
    <n v="218"/>
    <n v="529"/>
    <n v="443"/>
    <n v="374"/>
    <n v="212"/>
    <n v="310"/>
    <n v="52"/>
    <n v="145"/>
    <n v="350"/>
    <n v="647"/>
    <n v="592"/>
    <n v="4226"/>
    <n v="26465.040000000001"/>
    <n v="16297.68"/>
    <n v="39548.04"/>
    <n v="33118.68"/>
    <n v="27960.240000000002"/>
    <n v="15849.12"/>
    <n v="23175.600000000002"/>
    <n v="3887.5200000000004"/>
    <n v="10840.2"/>
    <n v="26166"/>
    <n v="48369.72"/>
    <n v="44257.920000000006"/>
    <n v="315935.75999999995"/>
  </r>
  <r>
    <n v="68"/>
    <s v="Product_68"/>
    <x v="3"/>
    <n v="402.09"/>
    <n v="1.4"/>
    <n v="853"/>
    <n v="583"/>
    <n v="668"/>
    <n v="370"/>
    <n v="297"/>
    <n v="581"/>
    <n v="257"/>
    <n v="746"/>
    <n v="859"/>
    <n v="424"/>
    <n v="179"/>
    <n v="58"/>
    <n v="174"/>
    <n v="5196"/>
    <n v="234418.46999999997"/>
    <n v="268596.12"/>
    <n v="148773.29999999999"/>
    <n v="119420.73"/>
    <n v="233614.28999999998"/>
    <n v="103337.12999999999"/>
    <n v="299959.13999999996"/>
    <n v="345395.31"/>
    <n v="170486.16"/>
    <n v="71974.11"/>
    <n v="23321.219999999998"/>
    <n v="69963.659999999989"/>
    <n v="2089259.6399999997"/>
  </r>
  <r>
    <n v="69"/>
    <s v="Product_69"/>
    <x v="4"/>
    <n v="41.9"/>
    <n v="2.4"/>
    <n v="384"/>
    <n v="770"/>
    <n v="494"/>
    <n v="971"/>
    <n v="807"/>
    <n v="706"/>
    <n v="529"/>
    <n v="148"/>
    <n v="866"/>
    <n v="313"/>
    <n v="801"/>
    <n v="704"/>
    <n v="221"/>
    <n v="7330"/>
    <n v="32263"/>
    <n v="20698.599999999999"/>
    <n v="40684.9"/>
    <n v="33813.299999999996"/>
    <n v="29581.399999999998"/>
    <n v="22165.1"/>
    <n v="6201.2"/>
    <n v="36285.4"/>
    <n v="13114.699999999999"/>
    <n v="33561.9"/>
    <n v="29497.599999999999"/>
    <n v="9259.9"/>
    <n v="307127"/>
  </r>
  <r>
    <n v="70"/>
    <s v="Product_70"/>
    <x v="3"/>
    <n v="493.51"/>
    <n v="2.1"/>
    <n v="908"/>
    <n v="909"/>
    <n v="229"/>
    <n v="935"/>
    <n v="736"/>
    <n v="697"/>
    <n v="686"/>
    <n v="833"/>
    <n v="234"/>
    <n v="183"/>
    <n v="479"/>
    <n v="464"/>
    <n v="614"/>
    <n v="6999"/>
    <n v="448600.58999999997"/>
    <n v="113013.79"/>
    <n v="461431.85"/>
    <n v="363223.36"/>
    <n v="343976.47"/>
    <n v="338547.86"/>
    <n v="411093.83"/>
    <n v="115481.34"/>
    <n v="90312.33"/>
    <n v="236391.29"/>
    <n v="228988.63999999998"/>
    <n v="303015.14"/>
    <n v="3454076.49"/>
  </r>
  <r>
    <n v="71"/>
    <s v="Product_71"/>
    <x v="1"/>
    <n v="387.26"/>
    <n v="2.2000000000000002"/>
    <n v="445"/>
    <n v="187"/>
    <n v="19"/>
    <n v="912"/>
    <n v="844"/>
    <n v="98"/>
    <n v="928"/>
    <n v="437"/>
    <n v="958"/>
    <n v="663"/>
    <n v="888"/>
    <n v="779"/>
    <n v="53"/>
    <n v="6766"/>
    <n v="72417.62"/>
    <n v="7357.94"/>
    <n v="353181.12"/>
    <n v="326847.44"/>
    <n v="37951.479999999996"/>
    <n v="359377.27999999997"/>
    <n v="169232.62"/>
    <n v="370995.08"/>
    <n v="256753.38"/>
    <n v="343886.88"/>
    <n v="301675.53999999998"/>
    <n v="20524.78"/>
    <n v="2620201.1599999997"/>
  </r>
  <r>
    <n v="72"/>
    <s v="Product_72"/>
    <x v="2"/>
    <n v="103.36"/>
    <n v="1.9"/>
    <n v="425"/>
    <n v="972"/>
    <n v="986"/>
    <n v="398"/>
    <n v="360"/>
    <n v="593"/>
    <n v="228"/>
    <n v="154"/>
    <n v="778"/>
    <n v="712"/>
    <n v="162"/>
    <n v="259"/>
    <n v="694"/>
    <n v="6296"/>
    <n v="100465.92"/>
    <n v="101912.96000000001"/>
    <n v="41137.279999999999"/>
    <n v="37209.599999999999"/>
    <n v="61292.480000000003"/>
    <n v="23566.079999999998"/>
    <n v="15917.44"/>
    <n v="80414.080000000002"/>
    <n v="73592.319999999992"/>
    <n v="16744.32"/>
    <n v="26770.240000000002"/>
    <n v="71731.839999999997"/>
    <n v="650754.55999999994"/>
  </r>
  <r>
    <n v="73"/>
    <s v="Product_73"/>
    <x v="5"/>
    <n v="7.73"/>
    <n v="1.2"/>
    <n v="161"/>
    <n v="684"/>
    <n v="552"/>
    <n v="105"/>
    <n v="373"/>
    <n v="586"/>
    <n v="225"/>
    <n v="677"/>
    <n v="798"/>
    <n v="127"/>
    <n v="782"/>
    <n v="372"/>
    <n v="862"/>
    <n v="6143"/>
    <n v="5287.3200000000006"/>
    <n v="4266.96"/>
    <n v="811.65000000000009"/>
    <n v="2883.29"/>
    <n v="4529.7800000000007"/>
    <n v="1739.25"/>
    <n v="5233.21"/>
    <n v="6168.54"/>
    <n v="981.71"/>
    <n v="6044.8600000000006"/>
    <n v="2875.56"/>
    <n v="6663.26"/>
    <n v="47485.39"/>
  </r>
  <r>
    <n v="74"/>
    <s v="Product_74"/>
    <x v="3"/>
    <n v="408.65"/>
    <n v="1.1000000000000001"/>
    <n v="178"/>
    <n v="991"/>
    <n v="949"/>
    <n v="270"/>
    <n v="553"/>
    <n v="885"/>
    <n v="595"/>
    <n v="89"/>
    <n v="432"/>
    <n v="286"/>
    <n v="887"/>
    <n v="972"/>
    <n v="402"/>
    <n v="7311"/>
    <n v="404972.14999999997"/>
    <n v="387808.85"/>
    <n v="110335.5"/>
    <n v="225983.44999999998"/>
    <n v="361655.25"/>
    <n v="243146.75"/>
    <n v="36369.85"/>
    <n v="176536.8"/>
    <n v="116873.9"/>
    <n v="362472.55"/>
    <n v="397207.8"/>
    <n v="164277.29999999999"/>
    <n v="2987640.1499999994"/>
  </r>
  <r>
    <n v="75"/>
    <s v="Product_75"/>
    <x v="2"/>
    <n v="354.89"/>
    <n v="5"/>
    <n v="629"/>
    <n v="289"/>
    <n v="147"/>
    <n v="974"/>
    <n v="302"/>
    <n v="851"/>
    <n v="802"/>
    <n v="697"/>
    <n v="495"/>
    <n v="822"/>
    <n v="95"/>
    <n v="94"/>
    <n v="317"/>
    <n v="5885"/>
    <n v="102563.20999999999"/>
    <n v="52168.829999999994"/>
    <n v="345662.86"/>
    <n v="107176.78"/>
    <n v="302011.39"/>
    <n v="284621.77999999997"/>
    <n v="247358.33"/>
    <n v="175670.55"/>
    <n v="291719.58"/>
    <n v="33714.549999999996"/>
    <n v="33359.659999999996"/>
    <n v="112500.12999999999"/>
    <n v="2088527.65"/>
  </r>
  <r>
    <n v="76"/>
    <s v="Product_76"/>
    <x v="2"/>
    <n v="365.86"/>
    <n v="2.7"/>
    <n v="708"/>
    <n v="44"/>
    <n v="107"/>
    <n v="830"/>
    <n v="420"/>
    <n v="191"/>
    <n v="434"/>
    <n v="829"/>
    <n v="998"/>
    <n v="252"/>
    <n v="773"/>
    <n v="124"/>
    <n v="866"/>
    <n v="5868"/>
    <n v="16097.84"/>
    <n v="39147.020000000004"/>
    <n v="303663.8"/>
    <n v="153661.20000000001"/>
    <n v="69879.260000000009"/>
    <n v="158783.24000000002"/>
    <n v="303297.94"/>
    <n v="365128.28"/>
    <n v="92196.72"/>
    <n v="282809.78000000003"/>
    <n v="45366.64"/>
    <n v="316834.76"/>
    <n v="2146866.48"/>
  </r>
  <r>
    <n v="77"/>
    <s v="Product_77"/>
    <x v="1"/>
    <n v="386.78"/>
    <n v="2.5"/>
    <n v="895"/>
    <n v="572"/>
    <n v="402"/>
    <n v="502"/>
    <n v="245"/>
    <n v="324"/>
    <n v="881"/>
    <n v="357"/>
    <n v="99"/>
    <n v="1000"/>
    <n v="509"/>
    <n v="40"/>
    <n v="348"/>
    <n v="5279"/>
    <n v="221238.15999999997"/>
    <n v="155485.56"/>
    <n v="194163.56"/>
    <n v="94761.099999999991"/>
    <n v="125316.71999999999"/>
    <n v="340753.18"/>
    <n v="138080.46"/>
    <n v="38291.219999999994"/>
    <n v="386780"/>
    <n v="196871.02"/>
    <n v="15471.199999999999"/>
    <n v="134599.44"/>
    <n v="2041811.6199999999"/>
  </r>
  <r>
    <n v="78"/>
    <s v="Product_78"/>
    <x v="1"/>
    <n v="41.65"/>
    <n v="3.7"/>
    <n v="490"/>
    <n v="82"/>
    <n v="595"/>
    <n v="678"/>
    <n v="719"/>
    <n v="978"/>
    <n v="757"/>
    <n v="173"/>
    <n v="989"/>
    <n v="777"/>
    <n v="364"/>
    <n v="890"/>
    <n v="442"/>
    <n v="7444"/>
    <n v="3415.2999999999997"/>
    <n v="24781.75"/>
    <n v="28238.7"/>
    <n v="29946.35"/>
    <n v="40733.699999999997"/>
    <n v="31529.05"/>
    <n v="7205.45"/>
    <n v="41191.85"/>
    <n v="32362.05"/>
    <n v="15160.6"/>
    <n v="37068.5"/>
    <n v="18409.3"/>
    <n v="310042.60000000003"/>
  </r>
  <r>
    <n v="79"/>
    <s v="Product_79"/>
    <x v="5"/>
    <n v="182.44"/>
    <n v="1.9"/>
    <n v="327"/>
    <n v="122"/>
    <n v="482"/>
    <n v="524"/>
    <n v="236"/>
    <n v="725"/>
    <n v="401"/>
    <n v="216"/>
    <n v="598"/>
    <n v="699"/>
    <n v="980"/>
    <n v="253"/>
    <n v="832"/>
    <n v="6068"/>
    <n v="22257.68"/>
    <n v="87936.08"/>
    <n v="95598.56"/>
    <n v="43055.839999999997"/>
    <n v="132269"/>
    <n v="73158.44"/>
    <n v="39407.040000000001"/>
    <n v="109099.12"/>
    <n v="127525.56"/>
    <n v="178791.2"/>
    <n v="46157.32"/>
    <n v="151790.07999999999"/>
    <n v="1107045.92"/>
  </r>
  <r>
    <n v="80"/>
    <s v="Product_80"/>
    <x v="4"/>
    <n v="62.36"/>
    <n v="4.8"/>
    <n v="598"/>
    <n v="357"/>
    <n v="366"/>
    <n v="848"/>
    <n v="533"/>
    <n v="826"/>
    <n v="621"/>
    <n v="906"/>
    <n v="402"/>
    <n v="385"/>
    <n v="352"/>
    <n v="6"/>
    <n v="579"/>
    <n v="6181"/>
    <n v="22262.52"/>
    <n v="22823.759999999998"/>
    <n v="52881.279999999999"/>
    <n v="33237.879999999997"/>
    <n v="51509.36"/>
    <n v="38725.56"/>
    <n v="56498.159999999996"/>
    <n v="25068.720000000001"/>
    <n v="24008.6"/>
    <n v="21950.720000000001"/>
    <n v="374.15999999999997"/>
    <n v="36106.44"/>
    <n v="385447.15999999992"/>
  </r>
  <r>
    <n v="81"/>
    <s v="Product_81"/>
    <x v="6"/>
    <n v="432.24"/>
    <n v="4.0999999999999996"/>
    <n v="289"/>
    <n v="527"/>
    <n v="833"/>
    <n v="31"/>
    <n v="184"/>
    <n v="955"/>
    <n v="765"/>
    <n v="455"/>
    <n v="395"/>
    <n v="229"/>
    <n v="799"/>
    <n v="470"/>
    <n v="539"/>
    <n v="6182"/>
    <n v="227790.48"/>
    <n v="360055.92"/>
    <n v="13399.44"/>
    <n v="79532.160000000003"/>
    <n v="412789.2"/>
    <n v="330663.60000000003"/>
    <n v="196669.2"/>
    <n v="170734.80000000002"/>
    <n v="98982.96"/>
    <n v="345359.76"/>
    <n v="203152.80000000002"/>
    <n v="232977.36000000002"/>
    <n v="2672107.6799999997"/>
  </r>
  <r>
    <n v="82"/>
    <s v="Product_82"/>
    <x v="0"/>
    <n v="313.52999999999997"/>
    <n v="1.4"/>
    <n v="593"/>
    <n v="65"/>
    <n v="413"/>
    <n v="392"/>
    <n v="467"/>
    <n v="466"/>
    <n v="87"/>
    <n v="775"/>
    <n v="526"/>
    <n v="270"/>
    <n v="435"/>
    <n v="727"/>
    <n v="785"/>
    <n v="5408"/>
    <n v="20379.449999999997"/>
    <n v="129487.88999999998"/>
    <n v="122903.76"/>
    <n v="146418.50999999998"/>
    <n v="146104.97999999998"/>
    <n v="27277.109999999997"/>
    <n v="242985.74999999997"/>
    <n v="164916.78"/>
    <n v="84653.099999999991"/>
    <n v="136385.54999999999"/>
    <n v="227936.30999999997"/>
    <n v="246121.05"/>
    <n v="1695570.2400000002"/>
  </r>
  <r>
    <n v="83"/>
    <s v="Product_83"/>
    <x v="3"/>
    <n v="168.79"/>
    <n v="2.7"/>
    <n v="664"/>
    <n v="935"/>
    <n v="308"/>
    <n v="39"/>
    <n v="753"/>
    <n v="893"/>
    <n v="583"/>
    <n v="608"/>
    <n v="414"/>
    <n v="770"/>
    <n v="82"/>
    <n v="510"/>
    <n v="281"/>
    <n v="6176"/>
    <n v="157818.65"/>
    <n v="51987.32"/>
    <n v="6582.8099999999995"/>
    <n v="127098.87"/>
    <n v="150729.47"/>
    <n v="98404.569999999992"/>
    <n v="102624.31999999999"/>
    <n v="69879.06"/>
    <n v="129968.29999999999"/>
    <n v="13840.779999999999"/>
    <n v="86082.9"/>
    <n v="47429.99"/>
    <n v="1042447.0399999999"/>
  </r>
  <r>
    <n v="84"/>
    <s v="Product_84"/>
    <x v="1"/>
    <n v="36.46"/>
    <n v="4.5"/>
    <n v="573"/>
    <n v="656"/>
    <n v="801"/>
    <n v="659"/>
    <n v="362"/>
    <n v="366"/>
    <n v="892"/>
    <n v="628"/>
    <n v="938"/>
    <n v="810"/>
    <n v="224"/>
    <n v="580"/>
    <n v="359"/>
    <n v="7275"/>
    <n v="23917.760000000002"/>
    <n v="29204.46"/>
    <n v="24027.14"/>
    <n v="13198.52"/>
    <n v="13344.36"/>
    <n v="32522.32"/>
    <n v="22896.880000000001"/>
    <n v="34199.480000000003"/>
    <n v="29532.600000000002"/>
    <n v="8167.04"/>
    <n v="21146.799999999999"/>
    <n v="13089.14"/>
    <n v="265246.5"/>
  </r>
  <r>
    <n v="85"/>
    <s v="Product_85"/>
    <x v="3"/>
    <n v="158.94"/>
    <n v="4.8"/>
    <n v="573"/>
    <n v="374"/>
    <n v="917"/>
    <n v="217"/>
    <n v="282"/>
    <n v="317"/>
    <n v="541"/>
    <n v="198"/>
    <n v="612"/>
    <n v="414"/>
    <n v="411"/>
    <n v="68"/>
    <n v="914"/>
    <n v="5265"/>
    <n v="59443.56"/>
    <n v="145747.98000000001"/>
    <n v="34489.979999999996"/>
    <n v="44821.08"/>
    <n v="50383.979999999996"/>
    <n v="85986.54"/>
    <n v="31470.12"/>
    <n v="97271.28"/>
    <n v="65801.16"/>
    <n v="65324.34"/>
    <n v="10807.92"/>
    <n v="145271.16"/>
    <n v="836819.10000000009"/>
  </r>
  <r>
    <n v="86"/>
    <s v="Product_86"/>
    <x v="6"/>
    <n v="165.97"/>
    <n v="2.9"/>
    <n v="354"/>
    <n v="161"/>
    <n v="834"/>
    <n v="730"/>
    <n v="552"/>
    <n v="143"/>
    <n v="683"/>
    <n v="831"/>
    <n v="676"/>
    <n v="197"/>
    <n v="734"/>
    <n v="80"/>
    <n v="822"/>
    <n v="6443"/>
    <n v="26721.17"/>
    <n v="138418.98000000001"/>
    <n v="121158.1"/>
    <n v="91615.44"/>
    <n v="23733.71"/>
    <n v="113357.51"/>
    <n v="137921.07"/>
    <n v="112195.72"/>
    <n v="32696.09"/>
    <n v="121821.98"/>
    <n v="13277.6"/>
    <n v="136427.34"/>
    <n v="1069344.71"/>
  </r>
  <r>
    <n v="87"/>
    <s v="Product_87"/>
    <x v="6"/>
    <n v="366.16"/>
    <n v="3.5"/>
    <n v="28"/>
    <n v="745"/>
    <n v="133"/>
    <n v="980"/>
    <n v="335"/>
    <n v="383"/>
    <n v="308"/>
    <n v="485"/>
    <n v="462"/>
    <n v="322"/>
    <n v="980"/>
    <n v="541"/>
    <n v="630"/>
    <n v="6304"/>
    <n v="272789.2"/>
    <n v="48699.280000000006"/>
    <n v="358836.80000000005"/>
    <n v="122663.6"/>
    <n v="140239.28"/>
    <n v="112777.28000000001"/>
    <n v="177587.6"/>
    <n v="169165.92"/>
    <n v="117903.52"/>
    <n v="358836.80000000005"/>
    <n v="198092.56000000003"/>
    <n v="230680.80000000002"/>
    <n v="2308272.64"/>
  </r>
  <r>
    <n v="88"/>
    <s v="Product_88"/>
    <x v="5"/>
    <n v="320.58999999999997"/>
    <n v="1.7"/>
    <n v="954"/>
    <n v="379"/>
    <n v="718"/>
    <n v="81"/>
    <n v="161"/>
    <n v="215"/>
    <n v="905"/>
    <n v="532"/>
    <n v="540"/>
    <n v="55"/>
    <n v="117"/>
    <n v="584"/>
    <n v="891"/>
    <n v="5178"/>
    <n v="121503.60999999999"/>
    <n v="230183.62"/>
    <n v="25967.789999999997"/>
    <n v="51614.99"/>
    <n v="68926.849999999991"/>
    <n v="290133.94999999995"/>
    <n v="170553.87999999998"/>
    <n v="173118.59999999998"/>
    <n v="17632.449999999997"/>
    <n v="37509.03"/>
    <n v="187224.56"/>
    <n v="285645.69"/>
    <n v="1660015.0199999998"/>
  </r>
  <r>
    <n v="89"/>
    <s v="Product_89"/>
    <x v="2"/>
    <n v="444.17"/>
    <n v="5"/>
    <n v="43"/>
    <n v="655"/>
    <n v="282"/>
    <n v="844"/>
    <n v="159"/>
    <n v="360"/>
    <n v="342"/>
    <n v="199"/>
    <n v="625"/>
    <n v="830"/>
    <n v="481"/>
    <n v="261"/>
    <n v="952"/>
    <n v="5990"/>
    <n v="290931.35000000003"/>
    <n v="125255.94"/>
    <n v="374879.48000000004"/>
    <n v="70623.03"/>
    <n v="159901.20000000001"/>
    <n v="151906.14000000001"/>
    <n v="88389.83"/>
    <n v="277606.25"/>
    <n v="368661.10000000003"/>
    <n v="213645.77000000002"/>
    <n v="115928.37000000001"/>
    <n v="422849.84"/>
    <n v="2660578.3000000003"/>
  </r>
  <r>
    <n v="90"/>
    <s v="Product_90"/>
    <x v="5"/>
    <n v="238.75"/>
    <n v="1.9"/>
    <n v="681"/>
    <n v="357"/>
    <n v="777"/>
    <n v="719"/>
    <n v="473"/>
    <n v="323"/>
    <n v="435"/>
    <n v="370"/>
    <n v="618"/>
    <n v="202"/>
    <n v="191"/>
    <n v="88"/>
    <n v="645"/>
    <n v="5198"/>
    <n v="85233.75"/>
    <n v="185508.75"/>
    <n v="171661.25"/>
    <n v="112928.75"/>
    <n v="77116.25"/>
    <n v="103856.25"/>
    <n v="88337.5"/>
    <n v="147547.5"/>
    <n v="48227.5"/>
    <n v="45601.25"/>
    <n v="21010"/>
    <n v="153993.75"/>
    <n v="1241022.5"/>
  </r>
  <r>
    <n v="91"/>
    <s v="Product_91"/>
    <x v="0"/>
    <n v="64.2"/>
    <n v="4.8"/>
    <n v="423"/>
    <n v="187"/>
    <n v="72"/>
    <n v="200"/>
    <n v="600"/>
    <n v="14"/>
    <n v="176"/>
    <n v="958"/>
    <n v="921"/>
    <n v="782"/>
    <n v="590"/>
    <n v="914"/>
    <n v="640"/>
    <n v="6054"/>
    <n v="12005.4"/>
    <n v="4622.4000000000005"/>
    <n v="12840"/>
    <n v="38520"/>
    <n v="898.80000000000007"/>
    <n v="11299.2"/>
    <n v="61503.600000000006"/>
    <n v="59128.200000000004"/>
    <n v="50204.4"/>
    <n v="37878"/>
    <n v="58678.8"/>
    <n v="41088"/>
    <n v="388666.8"/>
  </r>
  <r>
    <n v="92"/>
    <s v="Product_92"/>
    <x v="4"/>
    <n v="358.06"/>
    <n v="3.6"/>
    <n v="598"/>
    <n v="321"/>
    <n v="480"/>
    <n v="446"/>
    <n v="321"/>
    <n v="216"/>
    <n v="138"/>
    <n v="852"/>
    <n v="363"/>
    <n v="620"/>
    <n v="589"/>
    <n v="207"/>
    <n v="7"/>
    <n v="4560"/>
    <n v="114937.26"/>
    <n v="171868.79999999999"/>
    <n v="159694.76"/>
    <n v="114937.26"/>
    <n v="77340.960000000006"/>
    <n v="49412.28"/>
    <n v="305067.12"/>
    <n v="129975.78"/>
    <n v="221997.2"/>
    <n v="210897.34"/>
    <n v="74118.42"/>
    <n v="2506.42"/>
    <n v="1632753.5999999999"/>
  </r>
  <r>
    <n v="93"/>
    <s v="Product_93"/>
    <x v="3"/>
    <n v="381.59"/>
    <n v="3.4"/>
    <n v="177"/>
    <n v="449"/>
    <n v="351"/>
    <n v="843"/>
    <n v="11"/>
    <n v="491"/>
    <n v="193"/>
    <n v="447"/>
    <n v="129"/>
    <n v="627"/>
    <n v="658"/>
    <n v="212"/>
    <n v="992"/>
    <n v="5403"/>
    <n v="171333.90999999997"/>
    <n v="133938.09"/>
    <n v="321680.37"/>
    <n v="4197.49"/>
    <n v="187360.68999999997"/>
    <n v="73646.87"/>
    <n v="170570.72999999998"/>
    <n v="49225.109999999993"/>
    <n v="239256.93"/>
    <n v="251086.21999999997"/>
    <n v="80897.08"/>
    <n v="378537.27999999997"/>
    <n v="2061730.77"/>
  </r>
  <r>
    <n v="94"/>
    <s v="Product_94"/>
    <x v="0"/>
    <n v="282.83"/>
    <n v="3.1"/>
    <n v="529"/>
    <n v="473"/>
    <n v="559"/>
    <n v="427"/>
    <n v="423"/>
    <n v="950"/>
    <n v="185"/>
    <n v="247"/>
    <n v="83"/>
    <n v="603"/>
    <n v="106"/>
    <n v="833"/>
    <n v="562"/>
    <n v="5451"/>
    <n v="133778.59"/>
    <n v="158101.97"/>
    <n v="120768.40999999999"/>
    <n v="119637.09"/>
    <n v="268688.5"/>
    <n v="52323.549999999996"/>
    <n v="69859.009999999995"/>
    <n v="23474.89"/>
    <n v="170546.49"/>
    <n v="29979.98"/>
    <n v="235597.38999999998"/>
    <n v="158950.46"/>
    <n v="1541706.3299999998"/>
  </r>
  <r>
    <n v="95"/>
    <s v="Product_95"/>
    <x v="4"/>
    <n v="386.63"/>
    <n v="1.9"/>
    <n v="610"/>
    <n v="12"/>
    <n v="325"/>
    <n v="37"/>
    <n v="72"/>
    <n v="546"/>
    <n v="217"/>
    <n v="787"/>
    <n v="270"/>
    <n v="137"/>
    <n v="381"/>
    <n v="265"/>
    <n v="490"/>
    <n v="3539"/>
    <n v="4639.5599999999995"/>
    <n v="125654.75"/>
    <n v="14305.31"/>
    <n v="27837.360000000001"/>
    <n v="211099.98"/>
    <n v="83898.709999999992"/>
    <n v="304277.81"/>
    <n v="104390.1"/>
    <n v="52968.31"/>
    <n v="147306.03"/>
    <n v="102456.95"/>
    <n v="189448.7"/>
    <n v="1368283.5699999998"/>
  </r>
  <r>
    <n v="96"/>
    <s v="Product_96"/>
    <x v="3"/>
    <n v="249.43"/>
    <n v="1.7"/>
    <n v="966"/>
    <n v="183"/>
    <n v="744"/>
    <n v="210"/>
    <n v="587"/>
    <n v="182"/>
    <n v="163"/>
    <n v="263"/>
    <n v="243"/>
    <n v="421"/>
    <n v="782"/>
    <n v="911"/>
    <n v="340"/>
    <n v="5029"/>
    <n v="45645.69"/>
    <n v="185575.92"/>
    <n v="52380.3"/>
    <n v="146415.41"/>
    <n v="45396.26"/>
    <n v="40657.090000000004"/>
    <n v="65600.09"/>
    <n v="60611.490000000005"/>
    <n v="105010.03"/>
    <n v="195054.26"/>
    <n v="227230.73"/>
    <n v="84806.2"/>
    <n v="1254383.4700000002"/>
  </r>
  <r>
    <n v="97"/>
    <s v="Product_97"/>
    <x v="0"/>
    <n v="263.75"/>
    <n v="1.9"/>
    <n v="494"/>
    <n v="110"/>
    <n v="442"/>
    <n v="443"/>
    <n v="857"/>
    <n v="269"/>
    <n v="160"/>
    <n v="57"/>
    <n v="387"/>
    <n v="814"/>
    <n v="389"/>
    <n v="292"/>
    <n v="471"/>
    <n v="4691"/>
    <n v="29012.5"/>
    <n v="116577.5"/>
    <n v="116841.25"/>
    <n v="226033.75"/>
    <n v="70948.75"/>
    <n v="42200"/>
    <n v="15033.75"/>
    <n v="102071.25"/>
    <n v="214692.5"/>
    <n v="102598.75"/>
    <n v="77015"/>
    <n v="124226.25"/>
    <n v="1237251.25"/>
  </r>
  <r>
    <n v="98"/>
    <s v="Product_98"/>
    <x v="1"/>
    <n v="216.63"/>
    <n v="1.7"/>
    <n v="198"/>
    <n v="926"/>
    <n v="99"/>
    <n v="326"/>
    <n v="200"/>
    <n v="944"/>
    <n v="942"/>
    <n v="301"/>
    <n v="213"/>
    <n v="56"/>
    <n v="243"/>
    <n v="206"/>
    <n v="792"/>
    <n v="5248"/>
    <n v="200599.38"/>
    <n v="21446.37"/>
    <n v="70621.38"/>
    <n v="43326"/>
    <n v="204498.72"/>
    <n v="204065.46"/>
    <n v="65205.63"/>
    <n v="46142.19"/>
    <n v="12131.279999999999"/>
    <n v="52641.09"/>
    <n v="44625.78"/>
    <n v="171570.96"/>
    <n v="1136874.24"/>
  </r>
  <r>
    <n v="99"/>
    <s v="Product_99"/>
    <x v="3"/>
    <n v="17.579999999999998"/>
    <n v="4.0999999999999996"/>
    <n v="610"/>
    <n v="507"/>
    <n v="58"/>
    <n v="760"/>
    <n v="521"/>
    <n v="466"/>
    <n v="524"/>
    <n v="30"/>
    <n v="817"/>
    <n v="561"/>
    <n v="584"/>
    <n v="332"/>
    <n v="686"/>
    <n v="5846"/>
    <n v="8913.06"/>
    <n v="1019.6399999999999"/>
    <n v="13360.8"/>
    <n v="9159.1799999999985"/>
    <n v="8192.2799999999988"/>
    <n v="9211.9199999999983"/>
    <n v="527.4"/>
    <n v="14362.859999999999"/>
    <n v="9862.3799999999992"/>
    <n v="10266.719999999999"/>
    <n v="5836.5599999999995"/>
    <n v="12059.88"/>
    <n v="102772.68000000001"/>
  </r>
  <r>
    <n v="100"/>
    <s v="Product_100"/>
    <x v="0"/>
    <n v="58.41"/>
    <n v="2.4"/>
    <n v="577"/>
    <n v="289"/>
    <n v="507"/>
    <n v="226"/>
    <n v="863"/>
    <n v="869"/>
    <n v="807"/>
    <n v="497"/>
    <n v="165"/>
    <n v="70"/>
    <n v="868"/>
    <n v="76"/>
    <n v="694"/>
    <n v="5931"/>
    <n v="16880.489999999998"/>
    <n v="29613.87"/>
    <n v="13200.66"/>
    <n v="50407.829999999994"/>
    <n v="50758.289999999994"/>
    <n v="47136.869999999995"/>
    <n v="29029.769999999997"/>
    <n v="9637.65"/>
    <n v="4088.7"/>
    <n v="50699.88"/>
    <n v="4439.16"/>
    <n v="40536.54"/>
    <n v="346429.70999999996"/>
  </r>
  <r>
    <n v="101"/>
    <s v="Product_101"/>
    <x v="6"/>
    <n v="20.56"/>
    <n v="1.2"/>
    <n v="842"/>
    <n v="294"/>
    <n v="257"/>
    <n v="47"/>
    <n v="504"/>
    <n v="611"/>
    <n v="600"/>
    <n v="248"/>
    <n v="790"/>
    <n v="910"/>
    <n v="467"/>
    <n v="287"/>
    <n v="703"/>
    <n v="5718"/>
    <n v="6044.6399999999994"/>
    <n v="5283.92"/>
    <n v="966.31999999999994"/>
    <n v="10362.24"/>
    <n v="12562.16"/>
    <n v="12336"/>
    <n v="5098.88"/>
    <n v="16242.4"/>
    <n v="18709.599999999999"/>
    <n v="9601.5199999999986"/>
    <n v="5900.7199999999993"/>
    <n v="14453.679999999998"/>
    <n v="117562.08"/>
  </r>
  <r>
    <n v="102"/>
    <s v="Product_102"/>
    <x v="4"/>
    <n v="320.02"/>
    <n v="4.9000000000000004"/>
    <n v="853"/>
    <n v="450"/>
    <n v="412"/>
    <n v="17"/>
    <n v="737"/>
    <n v="518"/>
    <n v="835"/>
    <n v="604"/>
    <n v="58"/>
    <n v="913"/>
    <n v="865"/>
    <n v="46"/>
    <n v="248"/>
    <n v="5703"/>
    <n v="144009"/>
    <n v="131848.24"/>
    <n v="5440.34"/>
    <n v="235854.74"/>
    <n v="165770.35999999999"/>
    <n v="267216.7"/>
    <n v="193292.08"/>
    <n v="18561.16"/>
    <n v="292178.26"/>
    <n v="276817.3"/>
    <n v="14720.919999999998"/>
    <n v="79364.959999999992"/>
    <n v="1825074.0599999998"/>
  </r>
  <r>
    <n v="103"/>
    <s v="Product_103"/>
    <x v="0"/>
    <n v="160.61000000000001"/>
    <n v="4.5"/>
    <n v="517"/>
    <n v="903"/>
    <n v="451"/>
    <n v="911"/>
    <n v="687"/>
    <n v="541"/>
    <n v="41"/>
    <n v="776"/>
    <n v="601"/>
    <n v="593"/>
    <n v="933"/>
    <n v="621"/>
    <n v="234"/>
    <n v="7292"/>
    <n v="145030.83000000002"/>
    <n v="72435.11"/>
    <n v="146315.71000000002"/>
    <n v="110339.07"/>
    <n v="86890.010000000009"/>
    <n v="6585.01"/>
    <n v="124633.36000000002"/>
    <n v="96526.610000000015"/>
    <n v="95241.73000000001"/>
    <n v="149849.13"/>
    <n v="99738.810000000012"/>
    <n v="37582.740000000005"/>
    <n v="1171168.1199999999"/>
  </r>
  <r>
    <n v="104"/>
    <s v="Product_104"/>
    <x v="1"/>
    <n v="256.74"/>
    <n v="4.7"/>
    <n v="514"/>
    <n v="214"/>
    <n v="64"/>
    <n v="438"/>
    <n v="787"/>
    <n v="466"/>
    <n v="914"/>
    <n v="270"/>
    <n v="882"/>
    <n v="371"/>
    <n v="537"/>
    <n v="199"/>
    <n v="82"/>
    <n v="5224"/>
    <n v="54942.36"/>
    <n v="16431.36"/>
    <n v="112452.12000000001"/>
    <n v="202054.38"/>
    <n v="119640.84000000001"/>
    <n v="234660.36000000002"/>
    <n v="69319.8"/>
    <n v="226444.68000000002"/>
    <n v="95250.540000000008"/>
    <n v="137869.38"/>
    <n v="51091.26"/>
    <n v="21052.68"/>
    <n v="1341209.7600000002"/>
  </r>
  <r>
    <n v="105"/>
    <s v="Product_105"/>
    <x v="5"/>
    <n v="454.25"/>
    <n v="5"/>
    <n v="22"/>
    <n v="973"/>
    <n v="594"/>
    <n v="806"/>
    <n v="38"/>
    <n v="304"/>
    <n v="209"/>
    <n v="605"/>
    <n v="842"/>
    <n v="616"/>
    <n v="209"/>
    <n v="426"/>
    <n v="92"/>
    <n v="5714"/>
    <n v="441985.25"/>
    <n v="269824.5"/>
    <n v="366125.5"/>
    <n v="17261.5"/>
    <n v="138092"/>
    <n v="94938.25"/>
    <n v="274821.25"/>
    <n v="382478.5"/>
    <n v="279818"/>
    <n v="94938.25"/>
    <n v="193510.5"/>
    <n v="41791"/>
    <n v="2595584.5"/>
  </r>
  <r>
    <n v="106"/>
    <s v="Product_106"/>
    <x v="3"/>
    <n v="128.4"/>
    <n v="1.7"/>
    <n v="112"/>
    <n v="631"/>
    <n v="153"/>
    <n v="707"/>
    <n v="59"/>
    <n v="984"/>
    <n v="740"/>
    <n v="665"/>
    <n v="923"/>
    <n v="599"/>
    <n v="603"/>
    <n v="209"/>
    <n v="884"/>
    <n v="7157"/>
    <n v="81020.400000000009"/>
    <n v="19645.2"/>
    <n v="90778.8"/>
    <n v="7575.6"/>
    <n v="126345.60000000001"/>
    <n v="95016"/>
    <n v="85386"/>
    <n v="118513.20000000001"/>
    <n v="76911.600000000006"/>
    <n v="77425.2"/>
    <n v="26835.600000000002"/>
    <n v="113505.60000000001"/>
    <n v="918958.79999999993"/>
  </r>
  <r>
    <n v="107"/>
    <s v="Product_107"/>
    <x v="3"/>
    <n v="208.14"/>
    <n v="2.6"/>
    <n v="57"/>
    <n v="893"/>
    <n v="984"/>
    <n v="186"/>
    <n v="577"/>
    <n v="143"/>
    <n v="861"/>
    <n v="393"/>
    <n v="503"/>
    <n v="513"/>
    <n v="636"/>
    <n v="887"/>
    <n v="393"/>
    <n v="6969"/>
    <n v="185869.02"/>
    <n v="204809.75999999998"/>
    <n v="38714.04"/>
    <n v="120096.78"/>
    <n v="29764.019999999997"/>
    <n v="179208.53999999998"/>
    <n v="81799.01999999999"/>
    <n v="104694.42"/>
    <n v="106775.81999999999"/>
    <n v="132377.03999999998"/>
    <n v="184620.18"/>
    <n v="81799.01999999999"/>
    <n v="1450527.66"/>
  </r>
  <r>
    <n v="108"/>
    <s v="Product_108"/>
    <x v="3"/>
    <n v="379"/>
    <n v="4"/>
    <n v="66"/>
    <n v="566"/>
    <n v="265"/>
    <n v="344"/>
    <n v="320"/>
    <n v="110"/>
    <n v="274"/>
    <n v="796"/>
    <n v="705"/>
    <n v="871"/>
    <n v="946"/>
    <n v="419"/>
    <n v="823"/>
    <n v="6439"/>
    <n v="214514"/>
    <n v="100435"/>
    <n v="130376"/>
    <n v="121280"/>
    <n v="41690"/>
    <n v="103846"/>
    <n v="301684"/>
    <n v="267195"/>
    <n v="330109"/>
    <n v="358534"/>
    <n v="158801"/>
    <n v="311917"/>
    <n v="2440381"/>
  </r>
  <r>
    <n v="109"/>
    <s v="Product_109"/>
    <x v="1"/>
    <n v="118.26"/>
    <n v="3.8"/>
    <n v="842"/>
    <n v="26"/>
    <n v="820"/>
    <n v="223"/>
    <n v="434"/>
    <n v="231"/>
    <n v="953"/>
    <n v="501"/>
    <n v="122"/>
    <n v="83"/>
    <n v="72"/>
    <n v="153"/>
    <n v="267"/>
    <n v="3885"/>
    <n v="3074.76"/>
    <n v="96973.2"/>
    <n v="26371.98"/>
    <n v="51324.840000000004"/>
    <n v="27318.06"/>
    <n v="112701.78"/>
    <n v="59248.26"/>
    <n v="14427.720000000001"/>
    <n v="9815.58"/>
    <n v="8514.7200000000012"/>
    <n v="18093.780000000002"/>
    <n v="31575.420000000002"/>
    <n v="459440.10000000003"/>
  </r>
  <r>
    <n v="110"/>
    <s v="Product_110"/>
    <x v="4"/>
    <n v="43.11"/>
    <n v="1.6"/>
    <n v="98"/>
    <n v="629"/>
    <n v="78"/>
    <n v="829"/>
    <n v="635"/>
    <n v="690"/>
    <n v="278"/>
    <n v="591"/>
    <n v="647"/>
    <n v="993"/>
    <n v="991"/>
    <n v="521"/>
    <n v="416"/>
    <n v="7298"/>
    <n v="27116.19"/>
    <n v="3362.58"/>
    <n v="35738.19"/>
    <n v="27374.85"/>
    <n v="29745.899999999998"/>
    <n v="11984.58"/>
    <n v="25478.01"/>
    <n v="27892.17"/>
    <n v="42808.229999999996"/>
    <n v="42722.01"/>
    <n v="22460.31"/>
    <n v="17933.759999999998"/>
    <n v="314616.77999999997"/>
  </r>
  <r>
    <n v="111"/>
    <s v="Product_111"/>
    <x v="3"/>
    <n v="148.43"/>
    <n v="4.3"/>
    <n v="144"/>
    <n v="732"/>
    <n v="314"/>
    <n v="487"/>
    <n v="675"/>
    <n v="583"/>
    <n v="250"/>
    <n v="803"/>
    <n v="412"/>
    <n v="42"/>
    <n v="634"/>
    <n v="414"/>
    <n v="631"/>
    <n v="5977"/>
    <n v="108650.76000000001"/>
    <n v="46607.020000000004"/>
    <n v="72285.41"/>
    <n v="100190.25"/>
    <n v="86534.69"/>
    <n v="37107.5"/>
    <n v="119189.29000000001"/>
    <n v="61153.16"/>
    <n v="6234.06"/>
    <n v="94104.62000000001"/>
    <n v="61450.020000000004"/>
    <n v="93659.33"/>
    <n v="887166.1100000001"/>
  </r>
  <r>
    <n v="112"/>
    <s v="Product_112"/>
    <x v="4"/>
    <n v="84.8"/>
    <n v="1.9"/>
    <n v="880"/>
    <n v="230"/>
    <n v="661"/>
    <n v="908"/>
    <n v="407"/>
    <n v="721"/>
    <n v="309"/>
    <n v="83"/>
    <n v="138"/>
    <n v="665"/>
    <n v="308"/>
    <n v="352"/>
    <n v="582"/>
    <n v="5364"/>
    <n v="19504"/>
    <n v="56052.799999999996"/>
    <n v="76998.399999999994"/>
    <n v="34513.599999999999"/>
    <n v="61140.799999999996"/>
    <n v="26203.200000000001"/>
    <n v="7038.4"/>
    <n v="11702.4"/>
    <n v="56392"/>
    <n v="26118.399999999998"/>
    <n v="29849.599999999999"/>
    <n v="49353.599999999999"/>
    <n v="454867.20000000001"/>
  </r>
  <r>
    <n v="113"/>
    <s v="Product_113"/>
    <x v="0"/>
    <n v="465.2"/>
    <n v="1.9"/>
    <n v="435"/>
    <n v="564"/>
    <n v="946"/>
    <n v="876"/>
    <n v="922"/>
    <n v="731"/>
    <n v="719"/>
    <n v="364"/>
    <n v="228"/>
    <n v="838"/>
    <n v="695"/>
    <n v="156"/>
    <n v="528"/>
    <n v="7567"/>
    <n v="262372.8"/>
    <n v="440079.2"/>
    <n v="407515.2"/>
    <n v="428914.39999999997"/>
    <n v="340061.2"/>
    <n v="334478.8"/>
    <n v="169332.8"/>
    <n v="106065.59999999999"/>
    <n v="389837.6"/>
    <n v="323314"/>
    <n v="72571.199999999997"/>
    <n v="245625.60000000001"/>
    <n v="3520168.4"/>
  </r>
  <r>
    <n v="114"/>
    <s v="Product_114"/>
    <x v="6"/>
    <n v="405.02"/>
    <n v="3.1"/>
    <n v="637"/>
    <n v="806"/>
    <n v="559"/>
    <n v="848"/>
    <n v="385"/>
    <n v="591"/>
    <n v="832"/>
    <n v="885"/>
    <n v="273"/>
    <n v="933"/>
    <n v="698"/>
    <n v="260"/>
    <n v="252"/>
    <n v="7322"/>
    <n v="326446.12"/>
    <n v="226406.18"/>
    <n v="343456.95999999996"/>
    <n v="155932.69999999998"/>
    <n v="239366.81999999998"/>
    <n v="336976.64000000001"/>
    <n v="358442.7"/>
    <n v="110570.45999999999"/>
    <n v="377883.66"/>
    <n v="282703.95999999996"/>
    <n v="105305.2"/>
    <n v="102065.04"/>
    <n v="2965556.4400000004"/>
  </r>
  <r>
    <n v="115"/>
    <s v="Product_115"/>
    <x v="6"/>
    <n v="318.52999999999997"/>
    <n v="3.4"/>
    <n v="679"/>
    <n v="320"/>
    <n v="916"/>
    <n v="228"/>
    <n v="670"/>
    <n v="499"/>
    <n v="139"/>
    <n v="548"/>
    <n v="438"/>
    <n v="605"/>
    <n v="709"/>
    <n v="76"/>
    <n v="956"/>
    <n v="6104"/>
    <n v="101929.59999999999"/>
    <n v="291773.48"/>
    <n v="72624.84"/>
    <n v="213415.09999999998"/>
    <n v="158946.46999999997"/>
    <n v="44275.67"/>
    <n v="174554.43999999997"/>
    <n v="139516.13999999998"/>
    <n v="192710.65"/>
    <n v="225837.77"/>
    <n v="24208.28"/>
    <n v="304514.68"/>
    <n v="1944307.1199999996"/>
  </r>
  <r>
    <n v="116"/>
    <s v="Product_116"/>
    <x v="4"/>
    <n v="436.37"/>
    <n v="3.3"/>
    <n v="86"/>
    <n v="912"/>
    <n v="890"/>
    <n v="389"/>
    <n v="568"/>
    <n v="594"/>
    <n v="791"/>
    <n v="341"/>
    <n v="561"/>
    <n v="809"/>
    <n v="589"/>
    <n v="768"/>
    <n v="121"/>
    <n v="7333"/>
    <n v="397969.44"/>
    <n v="388369.3"/>
    <n v="169747.93"/>
    <n v="247858.16"/>
    <n v="259203.78"/>
    <n v="345168.67"/>
    <n v="148802.17000000001"/>
    <n v="244803.57"/>
    <n v="353023.33"/>
    <n v="257021.93"/>
    <n v="335132.16000000003"/>
    <n v="52800.770000000004"/>
    <n v="3199901.21"/>
  </r>
  <r>
    <n v="117"/>
    <s v="Product_117"/>
    <x v="4"/>
    <n v="402.82"/>
    <n v="1.4"/>
    <n v="588"/>
    <n v="232"/>
    <n v="247"/>
    <n v="978"/>
    <n v="77"/>
    <n v="553"/>
    <n v="545"/>
    <n v="838"/>
    <n v="909"/>
    <n v="132"/>
    <n v="859"/>
    <n v="982"/>
    <n v="891"/>
    <n v="7243"/>
    <n v="93454.24"/>
    <n v="99496.54"/>
    <n v="393957.96"/>
    <n v="31017.14"/>
    <n v="222759.46"/>
    <n v="219536.9"/>
    <n v="337563.16"/>
    <n v="366163.38"/>
    <n v="53172.24"/>
    <n v="346022.38"/>
    <n v="395569.24"/>
    <n v="358912.62"/>
    <n v="2917625.26"/>
  </r>
  <r>
    <n v="118"/>
    <s v="Product_118"/>
    <x v="6"/>
    <n v="97.35"/>
    <n v="4.5"/>
    <n v="344"/>
    <n v="669"/>
    <n v="789"/>
    <n v="588"/>
    <n v="193"/>
    <n v="272"/>
    <n v="820"/>
    <n v="406"/>
    <n v="117"/>
    <n v="394"/>
    <n v="185"/>
    <n v="487"/>
    <n v="9"/>
    <n v="4929"/>
    <n v="65127.149999999994"/>
    <n v="76809.149999999994"/>
    <n v="57241.799999999996"/>
    <n v="18788.55"/>
    <n v="26479.199999999997"/>
    <n v="79827"/>
    <n v="39524.1"/>
    <n v="11389.949999999999"/>
    <n v="38355.899999999994"/>
    <n v="18009.75"/>
    <n v="47409.45"/>
    <n v="876.15"/>
    <n v="479838.14999999997"/>
  </r>
  <r>
    <n v="119"/>
    <s v="Product_119"/>
    <x v="3"/>
    <n v="446.82"/>
    <n v="2.1"/>
    <n v="936"/>
    <n v="436"/>
    <n v="867"/>
    <n v="187"/>
    <n v="284"/>
    <n v="702"/>
    <n v="903"/>
    <n v="424"/>
    <n v="713"/>
    <n v="64"/>
    <n v="855"/>
    <n v="130"/>
    <n v="798"/>
    <n v="6363"/>
    <n v="194813.52"/>
    <n v="387392.94"/>
    <n v="83555.34"/>
    <n v="126896.88"/>
    <n v="313667.64"/>
    <n v="403478.46"/>
    <n v="189451.68"/>
    <n v="318582.65999999997"/>
    <n v="28596.48"/>
    <n v="382031.1"/>
    <n v="58086.6"/>
    <n v="356562.36"/>
    <n v="2843115.6599999997"/>
  </r>
  <r>
    <n v="120"/>
    <s v="Product_120"/>
    <x v="2"/>
    <n v="271.97000000000003"/>
    <n v="1.5"/>
    <n v="294"/>
    <n v="780"/>
    <n v="609"/>
    <n v="857"/>
    <n v="526"/>
    <n v="172"/>
    <n v="529"/>
    <n v="743"/>
    <n v="994"/>
    <n v="289"/>
    <n v="252"/>
    <n v="578"/>
    <n v="315"/>
    <n v="6644"/>
    <n v="212136.60000000003"/>
    <n v="165629.73000000001"/>
    <n v="233078.29000000004"/>
    <n v="143056.22"/>
    <n v="46778.840000000004"/>
    <n v="143872.13"/>
    <n v="202073.71000000002"/>
    <n v="270338.18000000005"/>
    <n v="78599.33"/>
    <n v="68536.44"/>
    <n v="157198.66"/>
    <n v="85670.55"/>
    <n v="1806968.6800000002"/>
  </r>
  <r>
    <n v="121"/>
    <s v="Product_121"/>
    <x v="2"/>
    <n v="404.68"/>
    <n v="4.5999999999999996"/>
    <n v="956"/>
    <n v="532"/>
    <n v="413"/>
    <n v="269"/>
    <n v="523"/>
    <n v="972"/>
    <n v="56"/>
    <n v="92"/>
    <n v="904"/>
    <n v="375"/>
    <n v="12"/>
    <n v="454"/>
    <n v="837"/>
    <n v="5439"/>
    <n v="215289.76"/>
    <n v="167132.84"/>
    <n v="108858.92"/>
    <n v="211647.64"/>
    <n v="393348.96"/>
    <n v="22662.080000000002"/>
    <n v="37230.559999999998"/>
    <n v="365830.72000000003"/>
    <n v="151755"/>
    <n v="4856.16"/>
    <n v="183724.72"/>
    <n v="338717.16000000003"/>
    <n v="2201054.52"/>
  </r>
  <r>
    <n v="122"/>
    <s v="Product_122"/>
    <x v="1"/>
    <n v="448.57"/>
    <n v="4.8"/>
    <n v="571"/>
    <n v="402"/>
    <n v="24"/>
    <n v="606"/>
    <n v="612"/>
    <n v="6"/>
    <n v="111"/>
    <n v="847"/>
    <n v="482"/>
    <n v="768"/>
    <n v="298"/>
    <n v="739"/>
    <n v="272"/>
    <n v="5167"/>
    <n v="180325.13999999998"/>
    <n v="10765.68"/>
    <n v="271833.42"/>
    <n v="274524.83999999997"/>
    <n v="2691.42"/>
    <n v="49791.27"/>
    <n v="379938.79"/>
    <n v="216210.74"/>
    <n v="344501.76000000001"/>
    <n v="133673.85999999999"/>
    <n v="331493.23"/>
    <n v="122011.04"/>
    <n v="2317761.19"/>
  </r>
  <r>
    <n v="123"/>
    <s v="Product_123"/>
    <x v="5"/>
    <n v="162.41"/>
    <n v="4.4000000000000004"/>
    <n v="650"/>
    <n v="52"/>
    <n v="283"/>
    <n v="309"/>
    <n v="155"/>
    <n v="154"/>
    <n v="4"/>
    <n v="613"/>
    <n v="394"/>
    <n v="466"/>
    <n v="75"/>
    <n v="162"/>
    <n v="305"/>
    <n v="2972"/>
    <n v="8445.32"/>
    <n v="45962.03"/>
    <n v="50184.69"/>
    <n v="25173.55"/>
    <n v="25011.14"/>
    <n v="649.64"/>
    <n v="99557.33"/>
    <n v="63989.54"/>
    <n v="75683.06"/>
    <n v="12180.75"/>
    <n v="26310.42"/>
    <n v="49535.049999999996"/>
    <n v="482682.51999999996"/>
  </r>
  <r>
    <n v="124"/>
    <s v="Product_124"/>
    <x v="6"/>
    <n v="59.48"/>
    <n v="4.2"/>
    <n v="611"/>
    <n v="786"/>
    <n v="448"/>
    <n v="131"/>
    <n v="339"/>
    <n v="521"/>
    <n v="409"/>
    <n v="411"/>
    <n v="702"/>
    <n v="897"/>
    <n v="50"/>
    <n v="14"/>
    <n v="804"/>
    <n v="5512"/>
    <n v="46751.28"/>
    <n v="26647.039999999997"/>
    <n v="7791.8799999999992"/>
    <n v="20163.719999999998"/>
    <n v="30989.079999999998"/>
    <n v="24327.32"/>
    <n v="24446.28"/>
    <n v="41754.959999999999"/>
    <n v="53353.56"/>
    <n v="2974"/>
    <n v="832.71999999999991"/>
    <n v="47821.919999999998"/>
    <n v="327853.75999999995"/>
  </r>
  <r>
    <n v="125"/>
    <s v="Product_125"/>
    <x v="6"/>
    <n v="117.83"/>
    <n v="3.6"/>
    <n v="704"/>
    <n v="312"/>
    <n v="880"/>
    <n v="550"/>
    <n v="124"/>
    <n v="545"/>
    <n v="413"/>
    <n v="431"/>
    <n v="875"/>
    <n v="212"/>
    <n v="786"/>
    <n v="231"/>
    <n v="209"/>
    <n v="5568"/>
    <n v="36762.959999999999"/>
    <n v="103690.4"/>
    <n v="64806.5"/>
    <n v="14610.92"/>
    <n v="64217.35"/>
    <n v="48663.79"/>
    <n v="50784.729999999996"/>
    <n v="103101.25"/>
    <n v="24979.96"/>
    <n v="92614.38"/>
    <n v="27218.73"/>
    <n v="24626.47"/>
    <n v="656077.43999999994"/>
  </r>
  <r>
    <n v="126"/>
    <s v="Product_126"/>
    <x v="1"/>
    <n v="216.42"/>
    <n v="3.2"/>
    <n v="243"/>
    <n v="280"/>
    <n v="300"/>
    <n v="71"/>
    <n v="870"/>
    <n v="547"/>
    <n v="181"/>
    <n v="677"/>
    <n v="459"/>
    <n v="147"/>
    <n v="148"/>
    <n v="194"/>
    <n v="957"/>
    <n v="4831"/>
    <n v="60597.599999999999"/>
    <n v="64925.999999999993"/>
    <n v="15365.82"/>
    <n v="188285.4"/>
    <n v="118381.73999999999"/>
    <n v="39172.019999999997"/>
    <n v="146516.34"/>
    <n v="99336.78"/>
    <n v="31813.739999999998"/>
    <n v="32030.16"/>
    <n v="41985.479999999996"/>
    <n v="207113.94"/>
    <n v="1045525.02"/>
  </r>
  <r>
    <n v="127"/>
    <s v="Product_127"/>
    <x v="2"/>
    <n v="409.92"/>
    <n v="1.3"/>
    <n v="831"/>
    <n v="725"/>
    <n v="67"/>
    <n v="792"/>
    <n v="279"/>
    <n v="920"/>
    <n v="12"/>
    <n v="158"/>
    <n v="834"/>
    <n v="572"/>
    <n v="730"/>
    <n v="860"/>
    <n v="729"/>
    <n v="6678"/>
    <n v="297192"/>
    <n v="27464.639999999999"/>
    <n v="324656.64000000001"/>
    <n v="114367.68000000001"/>
    <n v="377126.40000000002"/>
    <n v="4919.04"/>
    <n v="64767.360000000001"/>
    <n v="341873.28"/>
    <n v="234474.24000000002"/>
    <n v="299241.60000000003"/>
    <n v="352531.20000000001"/>
    <n v="298831.68"/>
    <n v="2737445.7600000007"/>
  </r>
  <r>
    <n v="128"/>
    <s v="Product_128"/>
    <x v="0"/>
    <n v="431.06"/>
    <n v="2.6"/>
    <n v="561"/>
    <n v="30"/>
    <n v="6"/>
    <n v="844"/>
    <n v="916"/>
    <n v="517"/>
    <n v="338"/>
    <n v="13"/>
    <n v="692"/>
    <n v="470"/>
    <n v="121"/>
    <n v="541"/>
    <n v="752"/>
    <n v="5240"/>
    <n v="12931.8"/>
    <n v="2586.36"/>
    <n v="363814.64"/>
    <n v="394850.96"/>
    <n v="222858.02"/>
    <n v="145698.28"/>
    <n v="5603.78"/>
    <n v="298293.52"/>
    <n v="202598.2"/>
    <n v="52158.26"/>
    <n v="233203.46"/>
    <n v="324157.12"/>
    <n v="2258754.4"/>
  </r>
  <r>
    <n v="129"/>
    <s v="Product_129"/>
    <x v="3"/>
    <n v="8.44"/>
    <n v="2.5"/>
    <n v="960"/>
    <n v="336"/>
    <n v="816"/>
    <n v="671"/>
    <n v="905"/>
    <n v="919"/>
    <n v="796"/>
    <n v="372"/>
    <n v="934"/>
    <n v="148"/>
    <n v="210"/>
    <n v="358"/>
    <n v="885"/>
    <n v="7350"/>
    <n v="2835.8399999999997"/>
    <n v="6887.04"/>
    <n v="5663.24"/>
    <n v="7638.2"/>
    <n v="7756.36"/>
    <n v="6718.24"/>
    <n v="3139.68"/>
    <n v="7882.9599999999991"/>
    <n v="1249.1199999999999"/>
    <n v="1772.3999999999999"/>
    <n v="3021.52"/>
    <n v="7469.4"/>
    <n v="62034"/>
  </r>
  <r>
    <n v="130"/>
    <s v="Product_130"/>
    <x v="3"/>
    <n v="257.82"/>
    <n v="2"/>
    <n v="32"/>
    <n v="182"/>
    <n v="136"/>
    <n v="186"/>
    <n v="621"/>
    <n v="913"/>
    <n v="258"/>
    <n v="224"/>
    <n v="77"/>
    <n v="87"/>
    <n v="279"/>
    <n v="849"/>
    <n v="463"/>
    <n v="4275"/>
    <n v="46923.24"/>
    <n v="35063.519999999997"/>
    <n v="47954.52"/>
    <n v="160106.22"/>
    <n v="235389.66"/>
    <n v="66517.56"/>
    <n v="57751.68"/>
    <n v="19852.14"/>
    <n v="22430.34"/>
    <n v="71931.78"/>
    <n v="218889.18"/>
    <n v="119370.66"/>
    <n v="1102180.5"/>
  </r>
  <r>
    <n v="131"/>
    <s v="Product_131"/>
    <x v="0"/>
    <n v="211.62"/>
    <n v="3.9"/>
    <n v="391"/>
    <n v="22"/>
    <n v="163"/>
    <n v="485"/>
    <n v="845"/>
    <n v="214"/>
    <n v="89"/>
    <n v="504"/>
    <n v="951"/>
    <n v="323"/>
    <n v="537"/>
    <n v="330"/>
    <n v="711"/>
    <n v="5174"/>
    <n v="4655.6400000000003"/>
    <n v="34494.06"/>
    <n v="102635.7"/>
    <n v="178818.9"/>
    <n v="45286.68"/>
    <n v="18834.18"/>
    <n v="106656.48"/>
    <n v="201250.62"/>
    <n v="68353.259999999995"/>
    <n v="113639.94"/>
    <n v="69834.600000000006"/>
    <n v="150461.82"/>
    <n v="1094921.8799999999"/>
  </r>
  <r>
    <n v="132"/>
    <s v="Product_132"/>
    <x v="0"/>
    <n v="114.94"/>
    <n v="3"/>
    <n v="277"/>
    <n v="543"/>
    <n v="82"/>
    <n v="190"/>
    <n v="868"/>
    <n v="133"/>
    <n v="615"/>
    <n v="72"/>
    <n v="411"/>
    <n v="894"/>
    <n v="684"/>
    <n v="426"/>
    <n v="727"/>
    <n v="5645"/>
    <n v="62412.42"/>
    <n v="9425.08"/>
    <n v="21838.6"/>
    <n v="99767.92"/>
    <n v="15287.02"/>
    <n v="70688.100000000006"/>
    <n v="8275.68"/>
    <n v="47240.34"/>
    <n v="102756.36"/>
    <n v="78618.959999999992"/>
    <n v="48964.44"/>
    <n v="83561.38"/>
    <n v="648836.29999999993"/>
  </r>
  <r>
    <n v="133"/>
    <s v="Product_133"/>
    <x v="2"/>
    <n v="64.33"/>
    <n v="1.3"/>
    <n v="532"/>
    <n v="445"/>
    <n v="896"/>
    <n v="421"/>
    <n v="657"/>
    <n v="284"/>
    <n v="890"/>
    <n v="248"/>
    <n v="74"/>
    <n v="395"/>
    <n v="155"/>
    <n v="496"/>
    <n v="716"/>
    <n v="5677"/>
    <n v="28626.85"/>
    <n v="57639.68"/>
    <n v="27082.93"/>
    <n v="42264.81"/>
    <n v="18269.72"/>
    <n v="57253.7"/>
    <n v="15953.84"/>
    <n v="4760.42"/>
    <n v="25410.35"/>
    <n v="9971.15"/>
    <n v="31907.68"/>
    <n v="46060.28"/>
    <n v="365201.41000000003"/>
  </r>
  <r>
    <n v="134"/>
    <s v="Product_134"/>
    <x v="1"/>
    <n v="172.12"/>
    <n v="1.9"/>
    <n v="154"/>
    <n v="73"/>
    <n v="649"/>
    <n v="119"/>
    <n v="727"/>
    <n v="125"/>
    <n v="697"/>
    <n v="510"/>
    <n v="294"/>
    <n v="789"/>
    <n v="237"/>
    <n v="827"/>
    <n v="924"/>
    <n v="5971"/>
    <n v="12564.76"/>
    <n v="111705.88"/>
    <n v="20482.28"/>
    <n v="125131.24"/>
    <n v="21515"/>
    <n v="119967.64"/>
    <n v="87781.2"/>
    <n v="50603.28"/>
    <n v="135802.68"/>
    <n v="40792.44"/>
    <n v="142343.24"/>
    <n v="159038.88"/>
    <n v="1027728.5199999999"/>
  </r>
  <r>
    <n v="135"/>
    <s v="Product_135"/>
    <x v="0"/>
    <n v="471.74"/>
    <n v="3.7"/>
    <n v="383"/>
    <n v="9"/>
    <n v="419"/>
    <n v="219"/>
    <n v="909"/>
    <n v="920"/>
    <n v="249"/>
    <n v="602"/>
    <n v="792"/>
    <n v="403"/>
    <n v="375"/>
    <n v="485"/>
    <n v="415"/>
    <n v="5797"/>
    <n v="4245.66"/>
    <n v="197659.06"/>
    <n v="103311.06"/>
    <n v="428811.66000000003"/>
    <n v="434000.8"/>
    <n v="117463.26000000001"/>
    <n v="283987.48"/>
    <n v="373618.08"/>
    <n v="190111.22"/>
    <n v="176902.5"/>
    <n v="228793.9"/>
    <n v="195772.1"/>
    <n v="2734676.7800000003"/>
  </r>
  <r>
    <n v="136"/>
    <s v="Product_136"/>
    <x v="1"/>
    <n v="164.99"/>
    <n v="1.3"/>
    <n v="68"/>
    <n v="483"/>
    <n v="72"/>
    <n v="52"/>
    <n v="673"/>
    <n v="438"/>
    <n v="254"/>
    <n v="215"/>
    <n v="20"/>
    <n v="81"/>
    <n v="81"/>
    <n v="807"/>
    <n v="215"/>
    <n v="3391"/>
    <n v="79690.17"/>
    <n v="11879.28"/>
    <n v="8579.48"/>
    <n v="111038.27"/>
    <n v="72265.62000000001"/>
    <n v="41907.46"/>
    <n v="35472.85"/>
    <n v="3299.8"/>
    <n v="13364.19"/>
    <n v="13364.19"/>
    <n v="133146.93"/>
    <n v="35472.85"/>
    <n v="559481.09"/>
  </r>
  <r>
    <n v="137"/>
    <s v="Product_137"/>
    <x v="5"/>
    <n v="261.8"/>
    <n v="4.4000000000000004"/>
    <n v="878"/>
    <n v="455"/>
    <n v="236"/>
    <n v="733"/>
    <n v="127"/>
    <n v="848"/>
    <n v="587"/>
    <n v="972"/>
    <n v="905"/>
    <n v="640"/>
    <n v="491"/>
    <n v="448"/>
    <n v="79"/>
    <n v="6521"/>
    <n v="119119"/>
    <n v="61784.800000000003"/>
    <n v="191899.4"/>
    <n v="33248.6"/>
    <n v="222006.40000000002"/>
    <n v="153676.6"/>
    <n v="254469.6"/>
    <n v="236929"/>
    <n v="167552"/>
    <n v="128543.8"/>
    <n v="117286.40000000001"/>
    <n v="20682.2"/>
    <n v="1707197.7999999998"/>
  </r>
  <r>
    <n v="138"/>
    <s v="Product_138"/>
    <x v="4"/>
    <n v="352.99"/>
    <n v="3"/>
    <n v="884"/>
    <n v="565"/>
    <n v="45"/>
    <n v="450"/>
    <n v="313"/>
    <n v="685"/>
    <n v="897"/>
    <n v="601"/>
    <n v="170"/>
    <n v="285"/>
    <n v="355"/>
    <n v="412"/>
    <n v="778"/>
    <n v="5556"/>
    <n v="199439.35"/>
    <n v="15884.550000000001"/>
    <n v="158845.5"/>
    <n v="110485.87000000001"/>
    <n v="241798.15"/>
    <n v="316632.03000000003"/>
    <n v="212146.99000000002"/>
    <n v="60008.3"/>
    <n v="100602.15000000001"/>
    <n v="125311.45"/>
    <n v="145431.88"/>
    <n v="274626.22000000003"/>
    <n v="1961212.4400000002"/>
  </r>
  <r>
    <n v="139"/>
    <s v="Product_139"/>
    <x v="3"/>
    <n v="185"/>
    <n v="2.9"/>
    <n v="214"/>
    <n v="563"/>
    <n v="617"/>
    <n v="411"/>
    <n v="331"/>
    <n v="151"/>
    <n v="970"/>
    <n v="540"/>
    <n v="14"/>
    <n v="381"/>
    <n v="924"/>
    <n v="329"/>
    <n v="479"/>
    <n v="5710"/>
    <n v="104155"/>
    <n v="114145"/>
    <n v="76035"/>
    <n v="61235"/>
    <n v="27935"/>
    <n v="179450"/>
    <n v="99900"/>
    <n v="2590"/>
    <n v="70485"/>
    <n v="170940"/>
    <n v="60865"/>
    <n v="88615"/>
    <n v="1056350"/>
  </r>
  <r>
    <n v="140"/>
    <s v="Product_140"/>
    <x v="2"/>
    <n v="486.03"/>
    <n v="3.4"/>
    <n v="655"/>
    <n v="659"/>
    <n v="927"/>
    <n v="642"/>
    <n v="149"/>
    <n v="330"/>
    <n v="107"/>
    <n v="946"/>
    <n v="210"/>
    <n v="864"/>
    <n v="272"/>
    <n v="731"/>
    <n v="901"/>
    <n v="6738"/>
    <n v="320293.76999999996"/>
    <n v="450549.81"/>
    <n v="312031.26"/>
    <n v="72418.47"/>
    <n v="160389.9"/>
    <n v="52005.21"/>
    <n v="459784.37999999995"/>
    <n v="102066.29999999999"/>
    <n v="419929.92"/>
    <n v="132200.16"/>
    <n v="355287.93"/>
    <n v="437913.02999999997"/>
    <n v="3274870.1399999997"/>
  </r>
  <r>
    <n v="141"/>
    <s v="Product_141"/>
    <x v="3"/>
    <n v="481.41"/>
    <n v="4.3"/>
    <n v="376"/>
    <n v="159"/>
    <n v="799"/>
    <n v="236"/>
    <n v="453"/>
    <n v="537"/>
    <n v="667"/>
    <n v="816"/>
    <n v="559"/>
    <n v="791"/>
    <n v="579"/>
    <n v="888"/>
    <n v="890"/>
    <n v="7374"/>
    <n v="76544.19"/>
    <n v="384646.59"/>
    <n v="113612.76000000001"/>
    <n v="218078.73"/>
    <n v="258517.17"/>
    <n v="321100.47000000003"/>
    <n v="392830.56"/>
    <n v="269108.19"/>
    <n v="380795.31"/>
    <n v="278736.39"/>
    <n v="427492.08"/>
    <n v="428454.9"/>
    <n v="3549917.34"/>
  </r>
  <r>
    <n v="142"/>
    <s v="Product_142"/>
    <x v="2"/>
    <n v="129.63"/>
    <n v="2.4"/>
    <n v="744"/>
    <n v="881"/>
    <n v="261"/>
    <n v="757"/>
    <n v="35"/>
    <n v="382"/>
    <n v="593"/>
    <n v="938"/>
    <n v="85"/>
    <n v="269"/>
    <n v="43"/>
    <n v="990"/>
    <n v="546"/>
    <n v="5780"/>
    <n v="114204.03"/>
    <n v="33833.43"/>
    <n v="98129.91"/>
    <n v="4537.05"/>
    <n v="49518.659999999996"/>
    <n v="76870.59"/>
    <n v="121592.94"/>
    <n v="11018.55"/>
    <n v="34870.47"/>
    <n v="5574.09"/>
    <n v="128333.7"/>
    <n v="70777.98"/>
    <n v="749261.39999999979"/>
  </r>
  <r>
    <n v="143"/>
    <s v="Product_143"/>
    <x v="4"/>
    <n v="251.14"/>
    <n v="3.7"/>
    <n v="213"/>
    <n v="13"/>
    <n v="175"/>
    <n v="737"/>
    <n v="684"/>
    <n v="114"/>
    <n v="588"/>
    <n v="987"/>
    <n v="148"/>
    <n v="291"/>
    <n v="572"/>
    <n v="146"/>
    <n v="800"/>
    <n v="5255"/>
    <n v="3264.8199999999997"/>
    <n v="43949.5"/>
    <n v="185090.18"/>
    <n v="171779.75999999998"/>
    <n v="28629.96"/>
    <n v="147670.31999999998"/>
    <n v="247875.18"/>
    <n v="37168.720000000001"/>
    <n v="73081.739999999991"/>
    <n v="143652.07999999999"/>
    <n v="36666.439999999995"/>
    <n v="200912"/>
    <n v="1319740.7"/>
  </r>
  <r>
    <n v="144"/>
    <s v="Product_144"/>
    <x v="3"/>
    <n v="153.93"/>
    <n v="3.3"/>
    <n v="79"/>
    <n v="177"/>
    <n v="165"/>
    <n v="719"/>
    <n v="419"/>
    <n v="893"/>
    <n v="484"/>
    <n v="219"/>
    <n v="699"/>
    <n v="452"/>
    <n v="122"/>
    <n v="258"/>
    <n v="17"/>
    <n v="4624"/>
    <n v="27245.61"/>
    <n v="25398.45"/>
    <n v="110675.67"/>
    <n v="64496.670000000006"/>
    <n v="137459.49000000002"/>
    <n v="74502.12000000001"/>
    <n v="33710.67"/>
    <n v="107597.07"/>
    <n v="69576.36"/>
    <n v="18779.46"/>
    <n v="39713.94"/>
    <n v="2616.81"/>
    <n v="711772.32000000007"/>
  </r>
  <r>
    <n v="145"/>
    <s v="Product_145"/>
    <x v="4"/>
    <n v="146"/>
    <n v="2.1"/>
    <n v="726"/>
    <n v="411"/>
    <n v="656"/>
    <n v="405"/>
    <n v="21"/>
    <n v="481"/>
    <n v="981"/>
    <n v="839"/>
    <n v="371"/>
    <n v="714"/>
    <n v="348"/>
    <n v="291"/>
    <n v="164"/>
    <n v="5682"/>
    <n v="60006"/>
    <n v="95776"/>
    <n v="59130"/>
    <n v="3066"/>
    <n v="70226"/>
    <n v="143226"/>
    <n v="122494"/>
    <n v="54166"/>
    <n v="104244"/>
    <n v="50808"/>
    <n v="42486"/>
    <n v="23944"/>
    <n v="829572"/>
  </r>
  <r>
    <n v="146"/>
    <s v="Product_146"/>
    <x v="2"/>
    <n v="23.26"/>
    <n v="4.5"/>
    <n v="628"/>
    <n v="877"/>
    <n v="841"/>
    <n v="607"/>
    <n v="205"/>
    <n v="283"/>
    <n v="971"/>
    <n v="726"/>
    <n v="479"/>
    <n v="23"/>
    <n v="707"/>
    <n v="810"/>
    <n v="524"/>
    <n v="7053"/>
    <n v="20399.02"/>
    <n v="19561.66"/>
    <n v="14118.820000000002"/>
    <n v="4768.3"/>
    <n v="6582.5800000000008"/>
    <n v="22585.460000000003"/>
    <n v="16886.760000000002"/>
    <n v="11141.54"/>
    <n v="534.98"/>
    <n v="16444.82"/>
    <n v="18840.600000000002"/>
    <n v="12188.240000000002"/>
    <n v="164052.78"/>
  </r>
  <r>
    <n v="147"/>
    <s v="Product_147"/>
    <x v="0"/>
    <n v="306.73"/>
    <n v="4.2"/>
    <n v="604"/>
    <n v="52"/>
    <n v="369"/>
    <n v="421"/>
    <n v="638"/>
    <n v="898"/>
    <n v="257"/>
    <n v="220"/>
    <n v="817"/>
    <n v="955"/>
    <n v="329"/>
    <n v="142"/>
    <n v="201"/>
    <n v="5299"/>
    <n v="15949.960000000001"/>
    <n v="113183.37000000001"/>
    <n v="129133.33"/>
    <n v="195693.74000000002"/>
    <n v="275443.54000000004"/>
    <n v="78829.61"/>
    <n v="67480.600000000006"/>
    <n v="250598.41"/>
    <n v="292927.15000000002"/>
    <n v="100914.17000000001"/>
    <n v="43555.66"/>
    <n v="61652.73"/>
    <n v="1625362.2699999998"/>
  </r>
  <r>
    <n v="148"/>
    <s v="Product_148"/>
    <x v="5"/>
    <n v="253.83"/>
    <n v="3.6"/>
    <n v="782"/>
    <n v="407"/>
    <n v="794"/>
    <n v="711"/>
    <n v="847"/>
    <n v="74"/>
    <n v="638"/>
    <n v="388"/>
    <n v="150"/>
    <n v="862"/>
    <n v="408"/>
    <n v="992"/>
    <n v="740"/>
    <n v="7011"/>
    <n v="103308.81000000001"/>
    <n v="201541.02000000002"/>
    <n v="180473.13"/>
    <n v="214994.01"/>
    <n v="18783.420000000002"/>
    <n v="161943.54"/>
    <n v="98486.040000000008"/>
    <n v="38074.5"/>
    <n v="218801.46000000002"/>
    <n v="103562.64"/>
    <n v="251799.36000000002"/>
    <n v="187834.2"/>
    <n v="1779602.1300000001"/>
  </r>
  <r>
    <n v="149"/>
    <s v="Product_149"/>
    <x v="3"/>
    <n v="30.48"/>
    <n v="4.4000000000000004"/>
    <n v="923"/>
    <n v="846"/>
    <n v="53"/>
    <n v="246"/>
    <n v="956"/>
    <n v="165"/>
    <n v="996"/>
    <n v="553"/>
    <n v="140"/>
    <n v="310"/>
    <n v="990"/>
    <n v="936"/>
    <n v="345"/>
    <n v="6536"/>
    <n v="25786.080000000002"/>
    <n v="1615.44"/>
    <n v="7498.08"/>
    <n v="29138.880000000001"/>
    <n v="5029.2"/>
    <n v="30358.080000000002"/>
    <n v="16855.439999999999"/>
    <n v="4267.2"/>
    <n v="9448.7999999999993"/>
    <n v="30175.200000000001"/>
    <n v="28529.279999999999"/>
    <n v="10515.6"/>
    <n v="199217.28"/>
  </r>
  <r>
    <n v="150"/>
    <s v="Product_150"/>
    <x v="4"/>
    <n v="142.93"/>
    <n v="4.5"/>
    <n v="381"/>
    <n v="21"/>
    <n v="689"/>
    <n v="71"/>
    <n v="355"/>
    <n v="188"/>
    <n v="902"/>
    <n v="646"/>
    <n v="68"/>
    <n v="460"/>
    <n v="322"/>
    <n v="746"/>
    <n v="365"/>
    <n v="4833"/>
    <n v="3001.53"/>
    <n v="98478.77"/>
    <n v="10148.030000000001"/>
    <n v="50740.15"/>
    <n v="26870.84"/>
    <n v="128922.86"/>
    <n v="92332.78"/>
    <n v="9719.24"/>
    <n v="65747.8"/>
    <n v="46023.46"/>
    <n v="106625.78"/>
    <n v="52169.450000000004"/>
    <n v="690780.69"/>
  </r>
  <r>
    <n v="151"/>
    <s v="Product_151"/>
    <x v="6"/>
    <n v="454.59"/>
    <n v="3.8"/>
    <n v="680"/>
    <n v="29"/>
    <n v="418"/>
    <n v="829"/>
    <n v="439"/>
    <n v="77"/>
    <n v="281"/>
    <n v="41"/>
    <n v="259"/>
    <n v="207"/>
    <n v="110"/>
    <n v="626"/>
    <n v="976"/>
    <n v="4292"/>
    <n v="13183.109999999999"/>
    <n v="190018.62"/>
    <n v="376855.11"/>
    <n v="199565.00999999998"/>
    <n v="35003.43"/>
    <n v="127739.79"/>
    <n v="18638.189999999999"/>
    <n v="117738.81"/>
    <n v="94100.12999999999"/>
    <n v="50004.899999999994"/>
    <n v="284573.33999999997"/>
    <n v="443679.83999999997"/>
    <n v="1951100.2799999998"/>
  </r>
  <r>
    <n v="152"/>
    <s v="Product_152"/>
    <x v="3"/>
    <n v="123.58"/>
    <n v="4.3"/>
    <n v="58"/>
    <n v="702"/>
    <n v="755"/>
    <n v="184"/>
    <n v="728"/>
    <n v="946"/>
    <n v="985"/>
    <n v="675"/>
    <n v="987"/>
    <n v="791"/>
    <n v="769"/>
    <n v="364"/>
    <n v="447"/>
    <n v="8333"/>
    <n v="86753.16"/>
    <n v="93302.9"/>
    <n v="22738.720000000001"/>
    <n v="89966.24"/>
    <n v="116906.68"/>
    <n v="121726.3"/>
    <n v="83416.5"/>
    <n v="121973.45999999999"/>
    <n v="97751.78"/>
    <n v="95033.02"/>
    <n v="44983.12"/>
    <n v="55240.26"/>
    <n v="1029792.14"/>
  </r>
  <r>
    <n v="153"/>
    <s v="Product_153"/>
    <x v="3"/>
    <n v="76.72"/>
    <n v="3.8"/>
    <n v="796"/>
    <n v="259"/>
    <n v="506"/>
    <n v="5"/>
    <n v="95"/>
    <n v="601"/>
    <n v="87"/>
    <n v="872"/>
    <n v="845"/>
    <n v="716"/>
    <n v="88"/>
    <n v="89"/>
    <n v="512"/>
    <n v="4675"/>
    <n v="19870.48"/>
    <n v="38820.32"/>
    <n v="383.6"/>
    <n v="7288.4"/>
    <n v="46108.72"/>
    <n v="6674.64"/>
    <n v="66899.839999999997"/>
    <n v="64828.4"/>
    <n v="54931.519999999997"/>
    <n v="6751.36"/>
    <n v="6828.08"/>
    <n v="39280.639999999999"/>
    <n v="358666"/>
  </r>
  <r>
    <n v="154"/>
    <s v="Product_154"/>
    <x v="3"/>
    <n v="247.28"/>
    <n v="3.7"/>
    <n v="26"/>
    <n v="204"/>
    <n v="340"/>
    <n v="205"/>
    <n v="928"/>
    <n v="687"/>
    <n v="203"/>
    <n v="282"/>
    <n v="967"/>
    <n v="663"/>
    <n v="432"/>
    <n v="719"/>
    <n v="318"/>
    <n v="5948"/>
    <n v="50445.120000000003"/>
    <n v="84075.199999999997"/>
    <n v="50692.4"/>
    <n v="229475.84"/>
    <n v="169881.36000000002"/>
    <n v="50197.840000000004"/>
    <n v="69732.960000000006"/>
    <n v="239119.76"/>
    <n v="163946.64000000001"/>
    <n v="106824.96000000001"/>
    <n v="177794.32"/>
    <n v="78635.039999999994"/>
    <n v="1470821.4400000002"/>
  </r>
  <r>
    <n v="155"/>
    <s v="Product_155"/>
    <x v="1"/>
    <n v="492.9"/>
    <n v="3.5"/>
    <n v="881"/>
    <n v="58"/>
    <n v="126"/>
    <n v="543"/>
    <n v="940"/>
    <n v="20"/>
    <n v="15"/>
    <n v="57"/>
    <n v="520"/>
    <n v="437"/>
    <n v="709"/>
    <n v="163"/>
    <n v="216"/>
    <n v="3804"/>
    <n v="28588.199999999997"/>
    <n v="62105.399999999994"/>
    <n v="267644.7"/>
    <n v="463326"/>
    <n v="9858"/>
    <n v="7393.5"/>
    <n v="28095.3"/>
    <n v="256308"/>
    <n v="215397.3"/>
    <n v="349466.1"/>
    <n v="80342.7"/>
    <n v="106466.4"/>
    <n v="1874991.5999999999"/>
  </r>
  <r>
    <n v="156"/>
    <s v="Product_156"/>
    <x v="4"/>
    <n v="124.82"/>
    <n v="4"/>
    <n v="447"/>
    <n v="470"/>
    <n v="408"/>
    <n v="610"/>
    <n v="163"/>
    <n v="565"/>
    <n v="150"/>
    <n v="813"/>
    <n v="632"/>
    <n v="537"/>
    <n v="793"/>
    <n v="480"/>
    <n v="33"/>
    <n v="5654"/>
    <n v="58665.399999999994"/>
    <n v="50926.559999999998"/>
    <n v="76140.2"/>
    <n v="20345.66"/>
    <n v="70523.3"/>
    <n v="18723"/>
    <n v="101478.65999999999"/>
    <n v="78886.239999999991"/>
    <n v="67028.34"/>
    <n v="98982.26"/>
    <n v="59913.599999999999"/>
    <n v="4119.0599999999995"/>
    <n v="705732.28"/>
  </r>
  <r>
    <n v="157"/>
    <s v="Product_157"/>
    <x v="4"/>
    <n v="337.71"/>
    <n v="1.6"/>
    <n v="66"/>
    <n v="775"/>
    <n v="923"/>
    <n v="905"/>
    <n v="147"/>
    <n v="183"/>
    <n v="935"/>
    <n v="833"/>
    <n v="370"/>
    <n v="705"/>
    <n v="711"/>
    <n v="83"/>
    <n v="870"/>
    <n v="7440"/>
    <n v="261725.24999999997"/>
    <n v="311706.32999999996"/>
    <n v="305627.55"/>
    <n v="49643.369999999995"/>
    <n v="61800.929999999993"/>
    <n v="315758.84999999998"/>
    <n v="281312.43"/>
    <n v="124952.7"/>
    <n v="238085.55"/>
    <n v="240111.81"/>
    <n v="28029.929999999997"/>
    <n v="293807.69999999995"/>
    <n v="2512562.3999999994"/>
  </r>
  <r>
    <n v="158"/>
    <s v="Product_158"/>
    <x v="3"/>
    <n v="382"/>
    <n v="4.5"/>
    <n v="921"/>
    <n v="465"/>
    <n v="366"/>
    <n v="386"/>
    <n v="529"/>
    <n v="870"/>
    <n v="253"/>
    <n v="536"/>
    <n v="418"/>
    <n v="335"/>
    <n v="98"/>
    <n v="76"/>
    <n v="265"/>
    <n v="4597"/>
    <n v="177630"/>
    <n v="139812"/>
    <n v="147452"/>
    <n v="202078"/>
    <n v="332340"/>
    <n v="96646"/>
    <n v="204752"/>
    <n v="159676"/>
    <n v="127970"/>
    <n v="37436"/>
    <n v="29032"/>
    <n v="101230"/>
    <n v="1756054"/>
  </r>
  <r>
    <n v="159"/>
    <s v="Product_159"/>
    <x v="0"/>
    <n v="122.63"/>
    <n v="4.5"/>
    <n v="760"/>
    <n v="11"/>
    <n v="270"/>
    <n v="767"/>
    <n v="293"/>
    <n v="221"/>
    <n v="187"/>
    <n v="72"/>
    <n v="100"/>
    <n v="421"/>
    <n v="538"/>
    <n v="672"/>
    <n v="639"/>
    <n v="4191"/>
    <n v="1348.9299999999998"/>
    <n v="33110.1"/>
    <n v="94057.209999999992"/>
    <n v="35930.589999999997"/>
    <n v="27101.23"/>
    <n v="22931.809999999998"/>
    <n v="8829.36"/>
    <n v="12263"/>
    <n v="51627.229999999996"/>
    <n v="65974.94"/>
    <n v="82407.360000000001"/>
    <n v="78360.569999999992"/>
    <n v="513942.32999999996"/>
  </r>
  <r>
    <n v="160"/>
    <s v="Product_160"/>
    <x v="3"/>
    <n v="365.47"/>
    <n v="1.1000000000000001"/>
    <n v="254"/>
    <n v="630"/>
    <n v="643"/>
    <n v="698"/>
    <n v="194"/>
    <n v="826"/>
    <n v="328"/>
    <n v="884"/>
    <n v="660"/>
    <n v="749"/>
    <n v="600"/>
    <n v="516"/>
    <n v="723"/>
    <n v="7451"/>
    <n v="230246.1"/>
    <n v="234997.21000000002"/>
    <n v="255098.06000000003"/>
    <n v="70901.180000000008"/>
    <n v="301878.22000000003"/>
    <n v="119874.16"/>
    <n v="323075.48000000004"/>
    <n v="241210.2"/>
    <n v="273737.03000000003"/>
    <n v="219282.00000000003"/>
    <n v="188582.52000000002"/>
    <n v="264234.81"/>
    <n v="2723116.97"/>
  </r>
  <r>
    <n v="161"/>
    <s v="Product_161"/>
    <x v="1"/>
    <n v="187.05"/>
    <n v="4.3"/>
    <n v="899"/>
    <n v="926"/>
    <n v="604"/>
    <n v="75"/>
    <n v="662"/>
    <n v="327"/>
    <n v="543"/>
    <n v="922"/>
    <n v="953"/>
    <n v="320"/>
    <n v="145"/>
    <n v="484"/>
    <n v="774"/>
    <n v="6735"/>
    <n v="173208.30000000002"/>
    <n v="112978.20000000001"/>
    <n v="14028.75"/>
    <n v="123827.1"/>
    <n v="61165.350000000006"/>
    <n v="101568.15000000001"/>
    <n v="172460.1"/>
    <n v="178258.65000000002"/>
    <n v="59856"/>
    <n v="27122.25"/>
    <n v="90532.200000000012"/>
    <n v="144776.70000000001"/>
    <n v="1259781.75"/>
  </r>
  <r>
    <n v="162"/>
    <s v="Product_162"/>
    <x v="2"/>
    <n v="317.99"/>
    <n v="1.5"/>
    <n v="968"/>
    <n v="973"/>
    <n v="378"/>
    <n v="176"/>
    <n v="479"/>
    <n v="178"/>
    <n v="782"/>
    <n v="128"/>
    <n v="657"/>
    <n v="496"/>
    <n v="693"/>
    <n v="589"/>
    <n v="823"/>
    <n v="6352"/>
    <n v="309404.27"/>
    <n v="120200.22"/>
    <n v="55966.240000000005"/>
    <n v="152317.21"/>
    <n v="56602.22"/>
    <n v="248668.18"/>
    <n v="40702.720000000001"/>
    <n v="208919.43"/>
    <n v="157723.04"/>
    <n v="220367.07"/>
    <n v="187296.11000000002"/>
    <n v="261705.77000000002"/>
    <n v="2019872.48"/>
  </r>
  <r>
    <n v="163"/>
    <s v="Product_163"/>
    <x v="1"/>
    <n v="318.60000000000002"/>
    <n v="2.2999999999999998"/>
    <n v="44"/>
    <n v="289"/>
    <n v="72"/>
    <n v="826"/>
    <n v="876"/>
    <n v="787"/>
    <n v="996"/>
    <n v="598"/>
    <n v="864"/>
    <n v="586"/>
    <n v="256"/>
    <n v="602"/>
    <n v="79"/>
    <n v="6831"/>
    <n v="92075.400000000009"/>
    <n v="22939.200000000001"/>
    <n v="263163.60000000003"/>
    <n v="279093.60000000003"/>
    <n v="250738.2"/>
    <n v="317325.60000000003"/>
    <n v="190522.80000000002"/>
    <n v="275270.40000000002"/>
    <n v="186699.6"/>
    <n v="81561.600000000006"/>
    <n v="191797.2"/>
    <n v="25169.4"/>
    <n v="2176356.6000000006"/>
  </r>
  <r>
    <n v="164"/>
    <s v="Product_164"/>
    <x v="0"/>
    <n v="270.20999999999998"/>
    <n v="4"/>
    <n v="97"/>
    <n v="849"/>
    <n v="922"/>
    <n v="798"/>
    <n v="122"/>
    <n v="111"/>
    <n v="396"/>
    <n v="841"/>
    <n v="967"/>
    <n v="946"/>
    <n v="188"/>
    <n v="598"/>
    <n v="676"/>
    <n v="7414"/>
    <n v="229408.28999999998"/>
    <n v="249133.62"/>
    <n v="215627.58"/>
    <n v="32965.619999999995"/>
    <n v="29993.309999999998"/>
    <n v="107003.15999999999"/>
    <n v="227246.61"/>
    <n v="261293.06999999998"/>
    <n v="255618.65999999997"/>
    <n v="50799.479999999996"/>
    <n v="161585.57999999999"/>
    <n v="182661.96"/>
    <n v="2003336.94"/>
  </r>
  <r>
    <n v="165"/>
    <s v="Product_165"/>
    <x v="3"/>
    <n v="49.69"/>
    <n v="1.6"/>
    <n v="554"/>
    <n v="759"/>
    <n v="921"/>
    <n v="348"/>
    <n v="399"/>
    <n v="735"/>
    <n v="516"/>
    <n v="425"/>
    <n v="242"/>
    <n v="162"/>
    <n v="239"/>
    <n v="781"/>
    <n v="412"/>
    <n v="5939"/>
    <n v="37714.71"/>
    <n v="45764.49"/>
    <n v="17292.12"/>
    <n v="19826.309999999998"/>
    <n v="36522.15"/>
    <n v="25640.039999999997"/>
    <n v="21118.25"/>
    <n v="12024.98"/>
    <n v="8049.78"/>
    <n v="11875.91"/>
    <n v="38807.89"/>
    <n v="20472.28"/>
    <n v="295108.91000000003"/>
  </r>
  <r>
    <n v="166"/>
    <s v="Product_166"/>
    <x v="4"/>
    <n v="418.47"/>
    <n v="4.3"/>
    <n v="227"/>
    <n v="353"/>
    <n v="914"/>
    <n v="254"/>
    <n v="698"/>
    <n v="725"/>
    <n v="458"/>
    <n v="947"/>
    <n v="752"/>
    <n v="810"/>
    <n v="870"/>
    <n v="103"/>
    <n v="251"/>
    <n v="7135"/>
    <n v="147719.91"/>
    <n v="382481.58"/>
    <n v="106291.38"/>
    <n v="292092.06"/>
    <n v="303390.75"/>
    <n v="191659.26"/>
    <n v="396291.09"/>
    <n v="314689.44"/>
    <n v="338960.7"/>
    <n v="364068.9"/>
    <n v="43102.41"/>
    <n v="105035.97"/>
    <n v="2985783.4500000007"/>
  </r>
  <r>
    <n v="167"/>
    <s v="Product_167"/>
    <x v="5"/>
    <n v="163.79"/>
    <n v="4.3"/>
    <n v="774"/>
    <n v="638"/>
    <n v="247"/>
    <n v="836"/>
    <n v="964"/>
    <n v="58"/>
    <n v="329"/>
    <n v="664"/>
    <n v="511"/>
    <n v="540"/>
    <n v="898"/>
    <n v="451"/>
    <n v="11"/>
    <n v="6147"/>
    <n v="104498.01999999999"/>
    <n v="40456.129999999997"/>
    <n v="136928.44"/>
    <n v="157893.56"/>
    <n v="9499.82"/>
    <n v="53886.909999999996"/>
    <n v="108756.56"/>
    <n v="83696.69"/>
    <n v="88446.599999999991"/>
    <n v="147083.41999999998"/>
    <n v="73869.289999999994"/>
    <n v="1801.6899999999998"/>
    <n v="1006817.1299999999"/>
  </r>
  <r>
    <n v="168"/>
    <s v="Product_168"/>
    <x v="6"/>
    <n v="97.33"/>
    <n v="3"/>
    <n v="679"/>
    <n v="74"/>
    <n v="859"/>
    <n v="701"/>
    <n v="451"/>
    <n v="326"/>
    <n v="819"/>
    <n v="693"/>
    <n v="848"/>
    <n v="164"/>
    <n v="502"/>
    <n v="486"/>
    <n v="400"/>
    <n v="6323"/>
    <n v="7202.42"/>
    <n v="83606.47"/>
    <n v="68228.33"/>
    <n v="43895.83"/>
    <n v="31729.579999999998"/>
    <n v="79713.27"/>
    <n v="67449.69"/>
    <n v="82535.839999999997"/>
    <n v="15962.119999999999"/>
    <n v="48859.659999999996"/>
    <n v="47302.38"/>
    <n v="38932"/>
    <n v="615417.59"/>
  </r>
  <r>
    <n v="169"/>
    <s v="Product_169"/>
    <x v="3"/>
    <n v="25.18"/>
    <n v="1"/>
    <n v="436"/>
    <n v="872"/>
    <n v="784"/>
    <n v="307"/>
    <n v="660"/>
    <n v="904"/>
    <n v="844"/>
    <n v="124"/>
    <n v="554"/>
    <n v="848"/>
    <n v="707"/>
    <n v="338"/>
    <n v="815"/>
    <n v="7757"/>
    <n v="21956.959999999999"/>
    <n v="19741.12"/>
    <n v="7730.26"/>
    <n v="16618.8"/>
    <n v="22762.720000000001"/>
    <n v="21251.919999999998"/>
    <n v="3122.32"/>
    <n v="13949.72"/>
    <n v="21352.639999999999"/>
    <n v="17802.259999999998"/>
    <n v="8510.84"/>
    <n v="20521.7"/>
    <n v="195321.26000000004"/>
  </r>
  <r>
    <n v="170"/>
    <s v="Product_170"/>
    <x v="0"/>
    <n v="297.49"/>
    <n v="2.1"/>
    <n v="791"/>
    <n v="715"/>
    <n v="42"/>
    <n v="344"/>
    <n v="103"/>
    <n v="620"/>
    <n v="168"/>
    <n v="66"/>
    <n v="94"/>
    <n v="697"/>
    <n v="808"/>
    <n v="686"/>
    <n v="723"/>
    <n v="5066"/>
    <n v="212705.35"/>
    <n v="12494.58"/>
    <n v="102336.56"/>
    <n v="30641.47"/>
    <n v="184443.80000000002"/>
    <n v="49978.32"/>
    <n v="19634.34"/>
    <n v="27964.06"/>
    <n v="207350.53"/>
    <n v="240371.92"/>
    <n v="204078.14"/>
    <n v="215085.27000000002"/>
    <n v="1507084.3399999999"/>
  </r>
  <r>
    <n v="171"/>
    <s v="Product_171"/>
    <x v="4"/>
    <n v="340.39"/>
    <n v="3.5"/>
    <n v="601"/>
    <n v="560"/>
    <n v="376"/>
    <n v="126"/>
    <n v="754"/>
    <n v="896"/>
    <n v="692"/>
    <n v="5"/>
    <n v="225"/>
    <n v="565"/>
    <n v="676"/>
    <n v="565"/>
    <n v="281"/>
    <n v="5721"/>
    <n v="190618.4"/>
    <n v="127986.64"/>
    <n v="42889.14"/>
    <n v="256654.06"/>
    <n v="304989.44"/>
    <n v="235549.88"/>
    <n v="1701.9499999999998"/>
    <n v="76587.75"/>
    <n v="192320.35"/>
    <n v="230103.63999999998"/>
    <n v="192320.35"/>
    <n v="95649.59"/>
    <n v="1947371.1900000002"/>
  </r>
  <r>
    <n v="172"/>
    <s v="Product_172"/>
    <x v="1"/>
    <n v="13.21"/>
    <n v="4.9000000000000004"/>
    <n v="379"/>
    <n v="590"/>
    <n v="40"/>
    <n v="936"/>
    <n v="461"/>
    <n v="668"/>
    <n v="365"/>
    <n v="636"/>
    <n v="517"/>
    <n v="294"/>
    <n v="818"/>
    <n v="899"/>
    <n v="111"/>
    <n v="6335"/>
    <n v="7793.9000000000005"/>
    <n v="528.40000000000009"/>
    <n v="12364.560000000001"/>
    <n v="6089.81"/>
    <n v="8824.2800000000007"/>
    <n v="4821.6500000000005"/>
    <n v="8401.5600000000013"/>
    <n v="6829.5700000000006"/>
    <n v="3883.7400000000002"/>
    <n v="10805.78"/>
    <n v="11875.79"/>
    <n v="1466.3100000000002"/>
    <n v="83685.350000000006"/>
  </r>
  <r>
    <n v="173"/>
    <s v="Product_173"/>
    <x v="2"/>
    <n v="258.49"/>
    <n v="3.5"/>
    <n v="178"/>
    <n v="440"/>
    <n v="169"/>
    <n v="286"/>
    <n v="742"/>
    <n v="190"/>
    <n v="177"/>
    <n v="313"/>
    <n v="213"/>
    <n v="41"/>
    <n v="270"/>
    <n v="477"/>
    <n v="722"/>
    <n v="4040"/>
    <n v="113735.6"/>
    <n v="43684.810000000005"/>
    <n v="73928.14"/>
    <n v="191799.58000000002"/>
    <n v="49113.1"/>
    <n v="45752.73"/>
    <n v="80907.37000000001"/>
    <n v="55058.37"/>
    <n v="10598.09"/>
    <n v="69792.3"/>
    <n v="123299.73000000001"/>
    <n v="186629.78"/>
    <n v="1044299.6"/>
  </r>
  <r>
    <n v="174"/>
    <s v="Product_174"/>
    <x v="2"/>
    <n v="117.12"/>
    <n v="2"/>
    <n v="427"/>
    <n v="990"/>
    <n v="945"/>
    <n v="765"/>
    <n v="990"/>
    <n v="199"/>
    <n v="654"/>
    <n v="325"/>
    <n v="717"/>
    <n v="923"/>
    <n v="519"/>
    <n v="722"/>
    <n v="377"/>
    <n v="8126"/>
    <n v="115948.8"/>
    <n v="110678.40000000001"/>
    <n v="89596.800000000003"/>
    <n v="115948.8"/>
    <n v="23306.880000000001"/>
    <n v="76596.479999999996"/>
    <n v="38064"/>
    <n v="83975.040000000008"/>
    <n v="108101.76000000001"/>
    <n v="60785.279999999999"/>
    <n v="84560.639999999999"/>
    <n v="44154.240000000005"/>
    <n v="951717.12000000011"/>
  </r>
  <r>
    <n v="175"/>
    <s v="Product_175"/>
    <x v="5"/>
    <n v="324.36"/>
    <n v="3.5"/>
    <n v="915"/>
    <n v="240"/>
    <n v="211"/>
    <n v="724"/>
    <n v="717"/>
    <n v="311"/>
    <n v="361"/>
    <n v="564"/>
    <n v="66"/>
    <n v="284"/>
    <n v="549"/>
    <n v="606"/>
    <n v="750"/>
    <n v="5383"/>
    <n v="77846.400000000009"/>
    <n v="68439.960000000006"/>
    <n v="234836.64"/>
    <n v="232566.12"/>
    <n v="100875.96"/>
    <n v="117093.96"/>
    <n v="182939.04"/>
    <n v="21407.760000000002"/>
    <n v="92118.24"/>
    <n v="178073.64"/>
    <n v="196562.16"/>
    <n v="243270"/>
    <n v="1746029.8800000001"/>
  </r>
  <r>
    <n v="176"/>
    <s v="Product_176"/>
    <x v="3"/>
    <n v="91.31"/>
    <n v="3.2"/>
    <n v="709"/>
    <n v="860"/>
    <n v="492"/>
    <n v="761"/>
    <n v="709"/>
    <n v="707"/>
    <n v="759"/>
    <n v="577"/>
    <n v="395"/>
    <n v="938"/>
    <n v="113"/>
    <n v="222"/>
    <n v="267"/>
    <n v="6800"/>
    <n v="78526.600000000006"/>
    <n v="44924.520000000004"/>
    <n v="69486.91"/>
    <n v="64738.79"/>
    <n v="64556.17"/>
    <n v="69304.290000000008"/>
    <n v="52685.87"/>
    <n v="36067.450000000004"/>
    <n v="85648.78"/>
    <n v="10318.030000000001"/>
    <n v="20270.82"/>
    <n v="24379.77"/>
    <n v="620908"/>
  </r>
  <r>
    <n v="177"/>
    <s v="Product_177"/>
    <x v="1"/>
    <n v="347.01"/>
    <n v="4.0999999999999996"/>
    <n v="307"/>
    <n v="153"/>
    <n v="679"/>
    <n v="595"/>
    <n v="395"/>
    <n v="34"/>
    <n v="638"/>
    <n v="825"/>
    <n v="611"/>
    <n v="386"/>
    <n v="338"/>
    <n v="8"/>
    <n v="916"/>
    <n v="5578"/>
    <n v="53092.53"/>
    <n v="235619.79"/>
    <n v="206470.94999999998"/>
    <n v="137068.94999999998"/>
    <n v="11798.34"/>
    <n v="221392.38"/>
    <n v="286283.25"/>
    <n v="212023.11"/>
    <n v="133945.85999999999"/>
    <n v="117289.37999999999"/>
    <n v="2776.08"/>
    <n v="317861.15999999997"/>
    <n v="1935621.7799999996"/>
  </r>
  <r>
    <n v="178"/>
    <s v="Product_178"/>
    <x v="5"/>
    <n v="196.43"/>
    <n v="1.4"/>
    <n v="779"/>
    <n v="785"/>
    <n v="38"/>
    <n v="486"/>
    <n v="911"/>
    <n v="378"/>
    <n v="774"/>
    <n v="505"/>
    <n v="11"/>
    <n v="137"/>
    <n v="567"/>
    <n v="52"/>
    <n v="297"/>
    <n v="4941"/>
    <n v="154197.55000000002"/>
    <n v="7464.34"/>
    <n v="95464.98000000001"/>
    <n v="178947.73"/>
    <n v="74250.540000000008"/>
    <n v="152036.82"/>
    <n v="99197.150000000009"/>
    <n v="2160.73"/>
    <n v="26910.91"/>
    <n v="111375.81"/>
    <n v="10214.36"/>
    <n v="58339.71"/>
    <n v="970560.63"/>
  </r>
  <r>
    <n v="179"/>
    <s v="Product_179"/>
    <x v="6"/>
    <n v="468.68"/>
    <n v="4"/>
    <n v="504"/>
    <n v="95"/>
    <n v="368"/>
    <n v="382"/>
    <n v="336"/>
    <n v="386"/>
    <n v="39"/>
    <n v="81"/>
    <n v="236"/>
    <n v="186"/>
    <n v="942"/>
    <n v="76"/>
    <n v="316"/>
    <n v="3443"/>
    <n v="44524.6"/>
    <n v="172474.23999999999"/>
    <n v="179035.76"/>
    <n v="157476.48000000001"/>
    <n v="180910.48"/>
    <n v="18278.52"/>
    <n v="37963.08"/>
    <n v="110608.48"/>
    <n v="87174.48"/>
    <n v="441496.56"/>
    <n v="35619.68"/>
    <n v="148102.88"/>
    <n v="1613665.2399999998"/>
  </r>
  <r>
    <n v="180"/>
    <s v="Product_180"/>
    <x v="6"/>
    <n v="73.069999999999993"/>
    <n v="3.2"/>
    <n v="268"/>
    <n v="725"/>
    <n v="756"/>
    <n v="405"/>
    <n v="598"/>
    <n v="757"/>
    <n v="923"/>
    <n v="598"/>
    <n v="833"/>
    <n v="909"/>
    <n v="985"/>
    <n v="717"/>
    <n v="569"/>
    <n v="8775"/>
    <n v="52975.749999999993"/>
    <n v="55240.92"/>
    <n v="29593.35"/>
    <n v="43695.859999999993"/>
    <n v="55313.99"/>
    <n v="67443.61"/>
    <n v="43695.859999999993"/>
    <n v="60867.31"/>
    <n v="66420.62999999999"/>
    <n v="71973.95"/>
    <n v="52391.189999999995"/>
    <n v="41576.829999999994"/>
    <n v="641189.24999999988"/>
  </r>
  <r>
    <n v="181"/>
    <s v="Product_181"/>
    <x v="5"/>
    <n v="173.83"/>
    <n v="4.9000000000000004"/>
    <n v="586"/>
    <n v="293"/>
    <n v="150"/>
    <n v="387"/>
    <n v="141"/>
    <n v="236"/>
    <n v="415"/>
    <n v="1"/>
    <n v="769"/>
    <n v="715"/>
    <n v="358"/>
    <n v="502"/>
    <n v="508"/>
    <n v="4475"/>
    <n v="50932.19"/>
    <n v="26074.500000000004"/>
    <n v="67272.210000000006"/>
    <n v="24510.030000000002"/>
    <n v="41023.880000000005"/>
    <n v="72139.450000000012"/>
    <n v="173.83"/>
    <n v="133675.27000000002"/>
    <n v="124288.45000000001"/>
    <n v="62231.140000000007"/>
    <n v="87262.66"/>
    <n v="88305.64"/>
    <n v="777889.25000000012"/>
  </r>
  <r>
    <n v="182"/>
    <s v="Product_182"/>
    <x v="0"/>
    <n v="61.17"/>
    <n v="2.4"/>
    <n v="8"/>
    <n v="208"/>
    <n v="110"/>
    <n v="524"/>
    <n v="316"/>
    <n v="615"/>
    <n v="354"/>
    <n v="203"/>
    <n v="398"/>
    <n v="430"/>
    <n v="649"/>
    <n v="315"/>
    <n v="949"/>
    <n v="5071"/>
    <n v="12723.36"/>
    <n v="6728.7"/>
    <n v="32053.08"/>
    <n v="19329.72"/>
    <n v="37619.550000000003"/>
    <n v="21654.18"/>
    <n v="12417.51"/>
    <n v="24345.66"/>
    <n v="26303.100000000002"/>
    <n v="39699.33"/>
    <n v="19268.55"/>
    <n v="58050.33"/>
    <n v="310193.07"/>
  </r>
  <r>
    <n v="183"/>
    <s v="Product_183"/>
    <x v="2"/>
    <n v="462.72"/>
    <n v="3.5"/>
    <n v="920"/>
    <n v="342"/>
    <n v="479"/>
    <n v="556"/>
    <n v="710"/>
    <n v="518"/>
    <n v="254"/>
    <n v="661"/>
    <n v="406"/>
    <n v="553"/>
    <n v="613"/>
    <n v="813"/>
    <n v="545"/>
    <n v="6450"/>
    <n v="158250.24000000002"/>
    <n v="221642.88"/>
    <n v="257272.32000000001"/>
    <n v="328531.20000000001"/>
    <n v="239688.96000000002"/>
    <n v="117530.88"/>
    <n v="305857.92000000004"/>
    <n v="187864.32000000001"/>
    <n v="255884.16"/>
    <n v="283647.36000000004"/>
    <n v="376191.36000000004"/>
    <n v="252182.40000000002"/>
    <n v="2984543.9999999995"/>
  </r>
  <r>
    <n v="184"/>
    <s v="Product_184"/>
    <x v="1"/>
    <n v="439.28"/>
    <n v="4.7"/>
    <n v="508"/>
    <n v="87"/>
    <n v="435"/>
    <n v="638"/>
    <n v="557"/>
    <n v="282"/>
    <n v="142"/>
    <n v="804"/>
    <n v="924"/>
    <n v="861"/>
    <n v="333"/>
    <n v="821"/>
    <n v="774"/>
    <n v="6658"/>
    <n v="38217.360000000001"/>
    <n v="191086.8"/>
    <n v="280260.63999999996"/>
    <n v="244678.96"/>
    <n v="123876.95999999999"/>
    <n v="62377.759999999995"/>
    <n v="353181.12"/>
    <n v="405894.72"/>
    <n v="378220.07999999996"/>
    <n v="146280.24"/>
    <n v="360648.88"/>
    <n v="340002.72"/>
    <n v="2924726.2399999993"/>
  </r>
  <r>
    <n v="185"/>
    <s v="Product_185"/>
    <x v="3"/>
    <n v="132.68"/>
    <n v="1.4"/>
    <n v="476"/>
    <n v="817"/>
    <n v="46"/>
    <n v="937"/>
    <n v="799"/>
    <n v="0"/>
    <n v="751"/>
    <n v="403"/>
    <n v="848"/>
    <n v="415"/>
    <n v="688"/>
    <n v="841"/>
    <n v="364"/>
    <n v="6909"/>
    <n v="108399.56000000001"/>
    <n v="6103.2800000000007"/>
    <n v="124321.16"/>
    <n v="106011.32"/>
    <n v="0"/>
    <n v="99642.680000000008"/>
    <n v="53470.04"/>
    <n v="112512.64"/>
    <n v="55062.200000000004"/>
    <n v="91283.840000000011"/>
    <n v="111583.88"/>
    <n v="48295.520000000004"/>
    <n v="916686.11999999988"/>
  </r>
  <r>
    <n v="186"/>
    <s v="Product_186"/>
    <x v="4"/>
    <n v="331.69"/>
    <n v="4.7"/>
    <n v="297"/>
    <n v="775"/>
    <n v="574"/>
    <n v="625"/>
    <n v="526"/>
    <n v="730"/>
    <n v="739"/>
    <n v="102"/>
    <n v="479"/>
    <n v="799"/>
    <n v="168"/>
    <n v="623"/>
    <n v="546"/>
    <n v="6686"/>
    <n v="257059.75"/>
    <n v="190390.06"/>
    <n v="207306.25"/>
    <n v="174468.94"/>
    <n v="242133.7"/>
    <n v="245118.91"/>
    <n v="33832.379999999997"/>
    <n v="158879.51"/>
    <n v="265020.31"/>
    <n v="55723.92"/>
    <n v="206642.87"/>
    <n v="181102.74"/>
    <n v="2217679.34"/>
  </r>
  <r>
    <n v="187"/>
    <s v="Product_187"/>
    <x v="3"/>
    <n v="409.52"/>
    <n v="3.8"/>
    <n v="164"/>
    <n v="936"/>
    <n v="736"/>
    <n v="944"/>
    <n v="555"/>
    <n v="463"/>
    <n v="852"/>
    <n v="535"/>
    <n v="646"/>
    <n v="425"/>
    <n v="338"/>
    <n v="862"/>
    <n v="270"/>
    <n v="7562"/>
    <n v="383310.72"/>
    <n v="301406.71999999997"/>
    <n v="386586.88"/>
    <n v="227283.59999999998"/>
    <n v="189607.75999999998"/>
    <n v="348911.04"/>
    <n v="219093.19999999998"/>
    <n v="264549.92"/>
    <n v="174046"/>
    <n v="138417.75999999998"/>
    <n v="353006.24"/>
    <n v="110570.4"/>
    <n v="3096790.2399999998"/>
  </r>
  <r>
    <n v="188"/>
    <s v="Product_188"/>
    <x v="3"/>
    <n v="279.82"/>
    <n v="1.3"/>
    <n v="485"/>
    <n v="389"/>
    <n v="365"/>
    <n v="275"/>
    <n v="400"/>
    <n v="229"/>
    <n v="709"/>
    <n v="367"/>
    <n v="221"/>
    <n v="415"/>
    <n v="797"/>
    <n v="164"/>
    <n v="960"/>
    <n v="5291"/>
    <n v="108849.98"/>
    <n v="102134.3"/>
    <n v="76950.5"/>
    <n v="111928"/>
    <n v="64078.78"/>
    <n v="198392.38"/>
    <n v="102693.94"/>
    <n v="61840.22"/>
    <n v="116125.3"/>
    <n v="223016.54"/>
    <n v="45890.479999999996"/>
    <n v="268627.20000000001"/>
    <n v="1480527.62"/>
  </r>
  <r>
    <n v="189"/>
    <s v="Product_189"/>
    <x v="1"/>
    <n v="267.18"/>
    <n v="2.2000000000000002"/>
    <n v="597"/>
    <n v="324"/>
    <n v="68"/>
    <n v="499"/>
    <n v="680"/>
    <n v="966"/>
    <n v="576"/>
    <n v="211"/>
    <n v="155"/>
    <n v="25"/>
    <n v="260"/>
    <n v="278"/>
    <n v="473"/>
    <n v="4515"/>
    <n v="86566.32"/>
    <n v="18168.240000000002"/>
    <n v="133322.82"/>
    <n v="181682.4"/>
    <n v="258095.88"/>
    <n v="153895.67999999999"/>
    <n v="56374.98"/>
    <n v="41412.9"/>
    <n v="6679.5"/>
    <n v="69466.8"/>
    <n v="74276.040000000008"/>
    <n v="126376.14"/>
    <n v="1206317.7"/>
  </r>
  <r>
    <n v="190"/>
    <s v="Product_190"/>
    <x v="2"/>
    <n v="124.72"/>
    <n v="3.8"/>
    <n v="72"/>
    <n v="939"/>
    <n v="298"/>
    <n v="716"/>
    <n v="309"/>
    <n v="171"/>
    <n v="899"/>
    <n v="576"/>
    <n v="653"/>
    <n v="370"/>
    <n v="886"/>
    <n v="26"/>
    <n v="738"/>
    <n v="6581"/>
    <n v="117112.08"/>
    <n v="37166.559999999998"/>
    <n v="89299.520000000004"/>
    <n v="38538.480000000003"/>
    <n v="21327.119999999999"/>
    <n v="112123.28"/>
    <n v="71838.720000000001"/>
    <n v="81442.16"/>
    <n v="46146.400000000001"/>
    <n v="110501.92"/>
    <n v="3242.72"/>
    <n v="92043.36"/>
    <n v="820782.32000000007"/>
  </r>
  <r>
    <n v="191"/>
    <s v="Product_191"/>
    <x v="1"/>
    <n v="51.09"/>
    <n v="1.3"/>
    <n v="567"/>
    <n v="888"/>
    <n v="943"/>
    <n v="336"/>
    <n v="494"/>
    <n v="86"/>
    <n v="10"/>
    <n v="960"/>
    <n v="427"/>
    <n v="384"/>
    <n v="734"/>
    <n v="69"/>
    <n v="536"/>
    <n v="5867"/>
    <n v="45367.920000000006"/>
    <n v="48177.87"/>
    <n v="17166.240000000002"/>
    <n v="25238.460000000003"/>
    <n v="4393.7400000000007"/>
    <n v="510.90000000000003"/>
    <n v="49046.400000000001"/>
    <n v="21815.43"/>
    <n v="19618.560000000001"/>
    <n v="37500.060000000005"/>
    <n v="3525.21"/>
    <n v="27384.240000000002"/>
    <n v="299745.03000000003"/>
  </r>
  <r>
    <n v="192"/>
    <s v="Product_192"/>
    <x v="4"/>
    <n v="449.12"/>
    <n v="3.3"/>
    <n v="905"/>
    <n v="831"/>
    <n v="801"/>
    <n v="949"/>
    <n v="555"/>
    <n v="552"/>
    <n v="619"/>
    <n v="208"/>
    <n v="157"/>
    <n v="55"/>
    <n v="198"/>
    <n v="217"/>
    <n v="233"/>
    <n v="5375"/>
    <n v="373218.72000000003"/>
    <n v="359745.12"/>
    <n v="426214.88"/>
    <n v="249261.6"/>
    <n v="247914.23999999999"/>
    <n v="278005.28000000003"/>
    <n v="93416.960000000006"/>
    <n v="70511.839999999997"/>
    <n v="24701.599999999999"/>
    <n v="88925.759999999995"/>
    <n v="97459.040000000008"/>
    <n v="104644.96"/>
    <n v="2414020"/>
  </r>
  <r>
    <n v="193"/>
    <s v="Product_193"/>
    <x v="5"/>
    <n v="450.71"/>
    <n v="2.4"/>
    <n v="559"/>
    <n v="156"/>
    <n v="295"/>
    <n v="931"/>
    <n v="609"/>
    <n v="122"/>
    <n v="25"/>
    <n v="762"/>
    <n v="976"/>
    <n v="252"/>
    <n v="210"/>
    <n v="961"/>
    <n v="58"/>
    <n v="5357"/>
    <n v="70310.759999999995"/>
    <n v="132959.44999999998"/>
    <n v="419611.01"/>
    <n v="274482.39"/>
    <n v="54986.619999999995"/>
    <n v="11267.75"/>
    <n v="343441.01999999996"/>
    <n v="439892.95999999996"/>
    <n v="113578.92"/>
    <n v="94649.099999999991"/>
    <n v="433132.31"/>
    <n v="26141.18"/>
    <n v="2414453.4700000002"/>
  </r>
  <r>
    <n v="194"/>
    <s v="Product_194"/>
    <x v="1"/>
    <n v="318.39"/>
    <n v="3.5"/>
    <n v="911"/>
    <n v="667"/>
    <n v="202"/>
    <n v="480"/>
    <n v="772"/>
    <n v="842"/>
    <n v="956"/>
    <n v="896"/>
    <n v="415"/>
    <n v="633"/>
    <n v="286"/>
    <n v="364"/>
    <n v="250"/>
    <n v="6763"/>
    <n v="212366.13"/>
    <n v="64314.78"/>
    <n v="152827.19999999998"/>
    <n v="245797.08"/>
    <n v="268084.38"/>
    <n v="304380.83999999997"/>
    <n v="285277.44"/>
    <n v="132131.85"/>
    <n v="201540.87"/>
    <n v="91059.54"/>
    <n v="115893.95999999999"/>
    <n v="79597.5"/>
    <n v="2153271.5699999998"/>
  </r>
  <r>
    <n v="195"/>
    <s v="Product_195"/>
    <x v="0"/>
    <n v="172.82"/>
    <n v="1.2"/>
    <n v="944"/>
    <n v="650"/>
    <n v="60"/>
    <n v="896"/>
    <n v="108"/>
    <n v="297"/>
    <n v="420"/>
    <n v="116"/>
    <n v="325"/>
    <n v="105"/>
    <n v="691"/>
    <n v="700"/>
    <n v="846"/>
    <n v="5214"/>
    <n v="112333"/>
    <n v="10369.199999999999"/>
    <n v="154846.72"/>
    <n v="18664.559999999998"/>
    <n v="51327.54"/>
    <n v="72584.399999999994"/>
    <n v="20047.12"/>
    <n v="56166.5"/>
    <n v="18146.099999999999"/>
    <n v="119418.62"/>
    <n v="120974"/>
    <n v="146205.72"/>
    <n v="901083.47999999986"/>
  </r>
  <r>
    <n v="196"/>
    <s v="Product_196"/>
    <x v="3"/>
    <n v="177.86"/>
    <n v="4.5"/>
    <n v="238"/>
    <n v="632"/>
    <n v="945"/>
    <n v="910"/>
    <n v="794"/>
    <n v="884"/>
    <n v="662"/>
    <n v="627"/>
    <n v="370"/>
    <n v="129"/>
    <n v="761"/>
    <n v="844"/>
    <n v="85"/>
    <n v="7643"/>
    <n v="112407.52"/>
    <n v="168077.7"/>
    <n v="161852.6"/>
    <n v="141220.84"/>
    <n v="157228.24000000002"/>
    <n v="117743.32"/>
    <n v="111518.22000000002"/>
    <n v="65808.200000000012"/>
    <n v="22943.940000000002"/>
    <n v="135351.46000000002"/>
    <n v="150113.84000000003"/>
    <n v="15118.1"/>
    <n v="1359383.98"/>
  </r>
  <r>
    <n v="197"/>
    <s v="Product_197"/>
    <x v="2"/>
    <n v="364.35"/>
    <n v="4.9000000000000004"/>
    <n v="104"/>
    <n v="576"/>
    <n v="962"/>
    <n v="972"/>
    <n v="371"/>
    <n v="928"/>
    <n v="220"/>
    <n v="748"/>
    <n v="343"/>
    <n v="848"/>
    <n v="742"/>
    <n v="946"/>
    <n v="762"/>
    <n v="8418"/>
    <n v="209865.60000000001"/>
    <n v="350504.7"/>
    <n v="354148.2"/>
    <n v="135173.85"/>
    <n v="338116.80000000005"/>
    <n v="80157"/>
    <n v="272533.8"/>
    <n v="124972.05"/>
    <n v="308968.80000000005"/>
    <n v="270347.7"/>
    <n v="344675.10000000003"/>
    <n v="277634.7"/>
    <n v="3067098.3000000007"/>
  </r>
  <r>
    <n v="198"/>
    <s v="Product_198"/>
    <x v="6"/>
    <n v="449.07"/>
    <n v="4.9000000000000004"/>
    <n v="210"/>
    <n v="618"/>
    <n v="829"/>
    <n v="272"/>
    <n v="854"/>
    <n v="689"/>
    <n v="852"/>
    <n v="477"/>
    <n v="261"/>
    <n v="669"/>
    <n v="471"/>
    <n v="305"/>
    <n v="389"/>
    <n v="6686"/>
    <n v="277525.26"/>
    <n v="372279.02999999997"/>
    <n v="122147.04"/>
    <n v="383505.77999999997"/>
    <n v="309409.23"/>
    <n v="382607.64"/>
    <n v="214206.38999999998"/>
    <n v="117207.27"/>
    <n v="300427.83"/>
    <n v="211511.97"/>
    <n v="136966.35"/>
    <n v="174688.23"/>
    <n v="3002482.02"/>
  </r>
  <r>
    <n v="199"/>
    <s v="Product_199"/>
    <x v="4"/>
    <n v="444.11"/>
    <n v="4"/>
    <n v="554"/>
    <n v="658"/>
    <n v="313"/>
    <n v="919"/>
    <n v="615"/>
    <n v="574"/>
    <n v="495"/>
    <n v="104"/>
    <n v="282"/>
    <n v="375"/>
    <n v="481"/>
    <n v="123"/>
    <n v="179"/>
    <n v="5118"/>
    <n v="292224.38"/>
    <n v="139006.43"/>
    <n v="408137.09"/>
    <n v="273127.65000000002"/>
    <n v="254919.14"/>
    <n v="219834.45"/>
    <n v="46187.44"/>
    <n v="125239.02"/>
    <n v="166541.25"/>
    <n v="213616.91"/>
    <n v="54625.53"/>
    <n v="79495.69"/>
    <n v="2272954.9799999995"/>
  </r>
  <r>
    <n v="200"/>
    <s v="Product_200"/>
    <x v="6"/>
    <n v="391.04"/>
    <n v="1.5"/>
    <n v="828"/>
    <n v="136"/>
    <n v="160"/>
    <n v="57"/>
    <n v="767"/>
    <n v="483"/>
    <n v="236"/>
    <n v="494"/>
    <n v="849"/>
    <n v="742"/>
    <n v="22"/>
    <n v="18"/>
    <n v="718"/>
    <n v="4682"/>
    <n v="53181.440000000002"/>
    <n v="62566.400000000001"/>
    <n v="22289.280000000002"/>
    <n v="299927.67999999999"/>
    <n v="188872.32000000001"/>
    <n v="92285.440000000002"/>
    <n v="193173.76000000001"/>
    <n v="331992.96000000002"/>
    <n v="290151.67999999999"/>
    <n v="8602.880000000001"/>
    <n v="7038.72"/>
    <n v="280766.72000000003"/>
    <n v="1830849.2799999998"/>
  </r>
  <r>
    <n v="201"/>
    <s v="Product_201"/>
    <x v="3"/>
    <n v="322.81"/>
    <n v="4"/>
    <n v="468"/>
    <n v="922"/>
    <n v="330"/>
    <n v="327"/>
    <n v="890"/>
    <n v="164"/>
    <n v="236"/>
    <n v="770"/>
    <n v="855"/>
    <n v="966"/>
    <n v="559"/>
    <n v="256"/>
    <n v="855"/>
    <n v="7130"/>
    <n v="297630.82"/>
    <n v="106527.3"/>
    <n v="105558.87"/>
    <n v="287300.90000000002"/>
    <n v="52940.840000000004"/>
    <n v="76183.16"/>
    <n v="248563.7"/>
    <n v="276002.55"/>
    <n v="311834.46000000002"/>
    <n v="180450.79"/>
    <n v="82639.360000000001"/>
    <n v="276002.55"/>
    <n v="2301635.3000000003"/>
  </r>
  <r>
    <n v="202"/>
    <s v="Product_202"/>
    <x v="1"/>
    <n v="46.65"/>
    <n v="1.1000000000000001"/>
    <n v="454"/>
    <n v="673"/>
    <n v="527"/>
    <n v="730"/>
    <n v="205"/>
    <n v="1000"/>
    <n v="218"/>
    <n v="45"/>
    <n v="228"/>
    <n v="307"/>
    <n v="108"/>
    <n v="295"/>
    <n v="148"/>
    <n v="4484"/>
    <n v="31395.45"/>
    <n v="24584.55"/>
    <n v="34054.5"/>
    <n v="9563.25"/>
    <n v="46650"/>
    <n v="10169.699999999999"/>
    <n v="2099.25"/>
    <n v="10636.199999999999"/>
    <n v="14321.55"/>
    <n v="5038.2"/>
    <n v="13761.75"/>
    <n v="6904.2"/>
    <n v="209178.60000000003"/>
  </r>
  <r>
    <n v="203"/>
    <s v="Product_203"/>
    <x v="6"/>
    <n v="85.01"/>
    <n v="1.1000000000000001"/>
    <n v="268"/>
    <n v="427"/>
    <n v="337"/>
    <n v="108"/>
    <n v="846"/>
    <n v="698"/>
    <n v="486"/>
    <n v="822"/>
    <n v="887"/>
    <n v="90"/>
    <n v="295"/>
    <n v="927"/>
    <n v="582"/>
    <n v="6505"/>
    <n v="36299.270000000004"/>
    <n v="28648.370000000003"/>
    <n v="9181.08"/>
    <n v="71918.460000000006"/>
    <n v="59336.98"/>
    <n v="41314.86"/>
    <n v="69878.22"/>
    <n v="75403.87000000001"/>
    <n v="7650.9000000000005"/>
    <n v="25077.95"/>
    <n v="78804.27"/>
    <n v="49475.82"/>
    <n v="552990.05000000005"/>
  </r>
  <r>
    <n v="204"/>
    <s v="Product_204"/>
    <x v="0"/>
    <n v="449.78"/>
    <n v="2.2999999999999998"/>
    <n v="386"/>
    <n v="451"/>
    <n v="605"/>
    <n v="278"/>
    <n v="42"/>
    <n v="382"/>
    <n v="935"/>
    <n v="330"/>
    <n v="279"/>
    <n v="392"/>
    <n v="5"/>
    <n v="21"/>
    <n v="120"/>
    <n v="3840"/>
    <n v="202850.78"/>
    <n v="272116.89999999997"/>
    <n v="125038.84"/>
    <n v="18890.759999999998"/>
    <n v="171815.96"/>
    <n v="420544.3"/>
    <n v="148427.4"/>
    <n v="125488.62"/>
    <n v="176313.75999999998"/>
    <n v="2248.8999999999996"/>
    <n v="9445.3799999999992"/>
    <n v="53973.599999999999"/>
    <n v="1727155.1999999995"/>
  </r>
  <r>
    <n v="205"/>
    <s v="Product_205"/>
    <x v="1"/>
    <n v="305.18"/>
    <n v="3"/>
    <n v="775"/>
    <n v="611"/>
    <n v="303"/>
    <n v="685"/>
    <n v="864"/>
    <n v="208"/>
    <n v="460"/>
    <n v="215"/>
    <n v="869"/>
    <n v="533"/>
    <n v="549"/>
    <n v="879"/>
    <n v="764"/>
    <n v="6940"/>
    <n v="186464.98"/>
    <n v="92469.540000000008"/>
    <n v="209048.30000000002"/>
    <n v="263675.52000000002"/>
    <n v="63477.440000000002"/>
    <n v="140382.80000000002"/>
    <n v="65613.7"/>
    <n v="265201.42"/>
    <n v="162660.94"/>
    <n v="167543.82"/>
    <n v="268253.22000000003"/>
    <n v="233157.52000000002"/>
    <n v="2117949.2000000002"/>
  </r>
  <r>
    <n v="206"/>
    <s v="Product_206"/>
    <x v="3"/>
    <n v="9.5500000000000007"/>
    <n v="4.0999999999999996"/>
    <n v="848"/>
    <n v="849"/>
    <n v="502"/>
    <n v="327"/>
    <n v="244"/>
    <n v="738"/>
    <n v="662"/>
    <n v="981"/>
    <n v="289"/>
    <n v="801"/>
    <n v="680"/>
    <n v="988"/>
    <n v="604"/>
    <n v="7665"/>
    <n v="8107.9500000000007"/>
    <n v="4794.1000000000004"/>
    <n v="3122.8500000000004"/>
    <n v="2330.2000000000003"/>
    <n v="7047.9000000000005"/>
    <n v="6322.1"/>
    <n v="9368.5500000000011"/>
    <n v="2759.9500000000003"/>
    <n v="7649.55"/>
    <n v="6494.0000000000009"/>
    <n v="9435.4000000000015"/>
    <n v="5768.2000000000007"/>
    <n v="73200.750000000015"/>
  </r>
  <r>
    <n v="207"/>
    <s v="Product_207"/>
    <x v="6"/>
    <n v="55.23"/>
    <n v="3.7"/>
    <n v="387"/>
    <n v="910"/>
    <n v="649"/>
    <n v="775"/>
    <n v="286"/>
    <n v="431"/>
    <n v="634"/>
    <n v="959"/>
    <n v="679"/>
    <n v="109"/>
    <n v="867"/>
    <n v="449"/>
    <n v="255"/>
    <n v="7003"/>
    <n v="50259.299999999996"/>
    <n v="35844.269999999997"/>
    <n v="42803.25"/>
    <n v="15795.779999999999"/>
    <n v="23804.129999999997"/>
    <n v="35015.82"/>
    <n v="52965.57"/>
    <n v="37501.17"/>
    <n v="6020.07"/>
    <n v="47884.409999999996"/>
    <n v="24798.269999999997"/>
    <n v="14083.65"/>
    <n v="386775.69"/>
  </r>
  <r>
    <n v="208"/>
    <s v="Product_208"/>
    <x v="5"/>
    <n v="333.43"/>
    <n v="2.8"/>
    <n v="877"/>
    <n v="818"/>
    <n v="337"/>
    <n v="314"/>
    <n v="354"/>
    <n v="388"/>
    <n v="143"/>
    <n v="491"/>
    <n v="46"/>
    <n v="560"/>
    <n v="794"/>
    <n v="551"/>
    <n v="765"/>
    <n v="5561"/>
    <n v="272745.74"/>
    <n v="112365.91"/>
    <n v="104697.02"/>
    <n v="118034.22"/>
    <n v="129370.84"/>
    <n v="47680.49"/>
    <n v="163714.13"/>
    <n v="15337.78"/>
    <n v="186720.80000000002"/>
    <n v="264743.42"/>
    <n v="183719.93"/>
    <n v="255073.95"/>
    <n v="1854204.2299999997"/>
  </r>
  <r>
    <n v="209"/>
    <s v="Product_209"/>
    <x v="4"/>
    <n v="7.51"/>
    <n v="2.1"/>
    <n v="259"/>
    <n v="140"/>
    <n v="549"/>
    <n v="473"/>
    <n v="784"/>
    <n v="559"/>
    <n v="989"/>
    <n v="812"/>
    <n v="974"/>
    <n v="640"/>
    <n v="202"/>
    <n v="549"/>
    <n v="863"/>
    <n v="7534"/>
    <n v="1051.3999999999999"/>
    <n v="4122.99"/>
    <n v="3552.23"/>
    <n v="5887.84"/>
    <n v="4198.09"/>
    <n v="7427.3899999999994"/>
    <n v="6098.12"/>
    <n v="7314.74"/>
    <n v="4806.3999999999996"/>
    <n v="1517.02"/>
    <n v="4122.99"/>
    <n v="6481.13"/>
    <n v="56580.339999999989"/>
  </r>
  <r>
    <n v="210"/>
    <s v="Product_210"/>
    <x v="6"/>
    <n v="84.6"/>
    <n v="5"/>
    <n v="283"/>
    <n v="82"/>
    <n v="638"/>
    <n v="110"/>
    <n v="475"/>
    <n v="223"/>
    <n v="188"/>
    <n v="921"/>
    <n v="714"/>
    <n v="584"/>
    <n v="324"/>
    <n v="47"/>
    <n v="799"/>
    <n v="5105"/>
    <n v="6937.2"/>
    <n v="53974.799999999996"/>
    <n v="9306"/>
    <n v="40185"/>
    <n v="18865.8"/>
    <n v="15904.8"/>
    <n v="77916.599999999991"/>
    <n v="60404.399999999994"/>
    <n v="49406.399999999994"/>
    <n v="27410.399999999998"/>
    <n v="3976.2"/>
    <n v="67595.399999999994"/>
    <n v="431883"/>
  </r>
  <r>
    <n v="211"/>
    <s v="Product_211"/>
    <x v="5"/>
    <n v="276.62"/>
    <n v="2.7"/>
    <n v="626"/>
    <n v="176"/>
    <n v="274"/>
    <n v="698"/>
    <n v="82"/>
    <n v="2"/>
    <n v="254"/>
    <n v="844"/>
    <n v="213"/>
    <n v="339"/>
    <n v="824"/>
    <n v="694"/>
    <n v="308"/>
    <n v="4708"/>
    <n v="48685.120000000003"/>
    <n v="75793.88"/>
    <n v="193080.76"/>
    <n v="22682.84"/>
    <n v="553.24"/>
    <n v="70261.48"/>
    <n v="233467.28"/>
    <n v="58920.06"/>
    <n v="93774.180000000008"/>
    <n v="227934.88"/>
    <n v="191974.28"/>
    <n v="85198.96"/>
    <n v="1302326.96"/>
  </r>
  <r>
    <n v="212"/>
    <s v="Product_212"/>
    <x v="5"/>
    <n v="347.49"/>
    <n v="2.8"/>
    <n v="875"/>
    <n v="197"/>
    <n v="163"/>
    <n v="780"/>
    <n v="109"/>
    <n v="371"/>
    <n v="67"/>
    <n v="448"/>
    <n v="757"/>
    <n v="564"/>
    <n v="784"/>
    <n v="586"/>
    <n v="58"/>
    <n v="4884"/>
    <n v="68455.53"/>
    <n v="56640.87"/>
    <n v="271042.2"/>
    <n v="37876.410000000003"/>
    <n v="128918.79000000001"/>
    <n v="23281.83"/>
    <n v="155675.52000000002"/>
    <n v="263049.93"/>
    <n v="195984.36000000002"/>
    <n v="272432.16000000003"/>
    <n v="203629.14"/>
    <n v="20154.420000000002"/>
    <n v="1697141.1600000001"/>
  </r>
  <r>
    <n v="213"/>
    <s v="Product_213"/>
    <x v="6"/>
    <n v="327.72"/>
    <n v="1.7"/>
    <n v="40"/>
    <n v="623"/>
    <n v="442"/>
    <n v="934"/>
    <n v="949"/>
    <n v="686"/>
    <n v="615"/>
    <n v="535"/>
    <n v="23"/>
    <n v="978"/>
    <n v="243"/>
    <n v="720"/>
    <n v="68"/>
    <n v="6816"/>
    <n v="204169.56000000003"/>
    <n v="144852.24000000002"/>
    <n v="306090.48000000004"/>
    <n v="311006.28000000003"/>
    <n v="224815.92"/>
    <n v="201547.80000000002"/>
    <n v="175330.2"/>
    <n v="7537.56"/>
    <n v="320510.16000000003"/>
    <n v="79635.960000000006"/>
    <n v="235958.40000000002"/>
    <n v="22284.960000000003"/>
    <n v="2233739.52"/>
  </r>
  <r>
    <n v="214"/>
    <s v="Product_214"/>
    <x v="2"/>
    <n v="116.01"/>
    <n v="4.2"/>
    <n v="486"/>
    <n v="567"/>
    <n v="318"/>
    <n v="228"/>
    <n v="189"/>
    <n v="445"/>
    <n v="335"/>
    <n v="510"/>
    <n v="320"/>
    <n v="355"/>
    <n v="326"/>
    <n v="182"/>
    <n v="445"/>
    <n v="4220"/>
    <n v="65777.67"/>
    <n v="36891.18"/>
    <n v="26450.280000000002"/>
    <n v="21925.89"/>
    <n v="51624.450000000004"/>
    <n v="38863.35"/>
    <n v="59165.100000000006"/>
    <n v="37123.200000000004"/>
    <n v="41183.550000000003"/>
    <n v="37819.26"/>
    <n v="21113.82"/>
    <n v="51624.450000000004"/>
    <n v="489562.20000000007"/>
  </r>
  <r>
    <n v="215"/>
    <s v="Product_215"/>
    <x v="6"/>
    <n v="357.53"/>
    <n v="3.8"/>
    <n v="929"/>
    <n v="971"/>
    <n v="588"/>
    <n v="496"/>
    <n v="982"/>
    <n v="610"/>
    <n v="670"/>
    <n v="457"/>
    <n v="273"/>
    <n v="891"/>
    <n v="986"/>
    <n v="434"/>
    <n v="387"/>
    <n v="7745"/>
    <n v="347161.62999999995"/>
    <n v="210227.63999999998"/>
    <n v="177334.87999999998"/>
    <n v="351094.45999999996"/>
    <n v="218093.3"/>
    <n v="239545.09999999998"/>
    <n v="163391.21"/>
    <n v="97605.689999999988"/>
    <n v="318559.23"/>
    <n v="352524.57999999996"/>
    <n v="155168.01999999999"/>
    <n v="138364.10999999999"/>
    <n v="2769069.8499999996"/>
  </r>
  <r>
    <n v="216"/>
    <s v="Product_216"/>
    <x v="3"/>
    <n v="122.44"/>
    <n v="1.9"/>
    <n v="220"/>
    <n v="690"/>
    <n v="503"/>
    <n v="155"/>
    <n v="799"/>
    <n v="115"/>
    <n v="820"/>
    <n v="546"/>
    <n v="555"/>
    <n v="167"/>
    <n v="46"/>
    <n v="106"/>
    <n v="85"/>
    <n v="4587"/>
    <n v="84483.599999999991"/>
    <n v="61587.32"/>
    <n v="18978.2"/>
    <n v="97829.56"/>
    <n v="14080.6"/>
    <n v="100400.8"/>
    <n v="66852.240000000005"/>
    <n v="67954.2"/>
    <n v="20447.48"/>
    <n v="5632.24"/>
    <n v="12978.64"/>
    <n v="10407.4"/>
    <n v="561632.28"/>
  </r>
  <r>
    <n v="217"/>
    <s v="Product_217"/>
    <x v="5"/>
    <n v="166.07"/>
    <n v="1.3"/>
    <n v="129"/>
    <n v="420"/>
    <n v="685"/>
    <n v="472"/>
    <n v="935"/>
    <n v="269"/>
    <n v="873"/>
    <n v="535"/>
    <n v="843"/>
    <n v="556"/>
    <n v="760"/>
    <n v="187"/>
    <n v="785"/>
    <n v="7320"/>
    <n v="69749.399999999994"/>
    <n v="113757.95"/>
    <n v="78385.039999999994"/>
    <n v="155275.44999999998"/>
    <n v="44672.83"/>
    <n v="144979.10999999999"/>
    <n v="88847.45"/>
    <n v="139997.00999999998"/>
    <n v="92334.92"/>
    <n v="126213.2"/>
    <n v="31055.09"/>
    <n v="130364.95"/>
    <n v="1215632.4000000001"/>
  </r>
  <r>
    <n v="218"/>
    <s v="Product_218"/>
    <x v="4"/>
    <n v="374.51"/>
    <n v="3.7"/>
    <n v="520"/>
    <n v="400"/>
    <n v="386"/>
    <n v="700"/>
    <n v="908"/>
    <n v="446"/>
    <n v="408"/>
    <n v="539"/>
    <n v="312"/>
    <n v="451"/>
    <n v="590"/>
    <n v="775"/>
    <n v="226"/>
    <n v="6141"/>
    <n v="149804"/>
    <n v="144560.85999999999"/>
    <n v="262157"/>
    <n v="340055.08"/>
    <n v="167031.46"/>
    <n v="152800.07999999999"/>
    <n v="201860.88999999998"/>
    <n v="116847.12"/>
    <n v="168904.01"/>
    <n v="220960.9"/>
    <n v="290245.25"/>
    <n v="84639.26"/>
    <n v="2299865.9099999992"/>
  </r>
  <r>
    <n v="219"/>
    <s v="Product_219"/>
    <x v="3"/>
    <n v="326.57"/>
    <n v="3.6"/>
    <n v="613"/>
    <n v="697"/>
    <n v="969"/>
    <n v="271"/>
    <n v="250"/>
    <n v="367"/>
    <n v="299"/>
    <n v="483"/>
    <n v="362"/>
    <n v="904"/>
    <n v="621"/>
    <n v="85"/>
    <n v="592"/>
    <n v="5900"/>
    <n v="227619.29"/>
    <n v="316446.33"/>
    <n v="88500.47"/>
    <n v="81642.5"/>
    <n v="119851.19"/>
    <n v="97644.43"/>
    <n v="157733.31"/>
    <n v="118218.34"/>
    <n v="295219.27999999997"/>
    <n v="202799.97"/>
    <n v="27758.45"/>
    <n v="193329.44"/>
    <n v="1926763"/>
  </r>
  <r>
    <n v="220"/>
    <s v="Product_220"/>
    <x v="0"/>
    <n v="425.37"/>
    <n v="2.1"/>
    <n v="928"/>
    <n v="470"/>
    <n v="869"/>
    <n v="886"/>
    <n v="723"/>
    <n v="252"/>
    <n v="907"/>
    <n v="975"/>
    <n v="667"/>
    <n v="104"/>
    <n v="12"/>
    <n v="835"/>
    <n v="625"/>
    <n v="7325"/>
    <n v="199923.9"/>
    <n v="369646.53"/>
    <n v="376877.82"/>
    <n v="307542.51"/>
    <n v="107193.24"/>
    <n v="385810.59"/>
    <n v="414735.75"/>
    <n v="283721.78999999998"/>
    <n v="44238.48"/>
    <n v="5104.4400000000005"/>
    <n v="355183.95"/>
    <n v="265856.25"/>
    <n v="3115835.25"/>
  </r>
  <r>
    <n v="221"/>
    <s v="Product_221"/>
    <x v="1"/>
    <n v="330.52"/>
    <n v="4.8"/>
    <n v="892"/>
    <n v="217"/>
    <n v="832"/>
    <n v="1"/>
    <n v="290"/>
    <n v="316"/>
    <n v="601"/>
    <n v="999"/>
    <n v="999"/>
    <n v="149"/>
    <n v="906"/>
    <n v="842"/>
    <n v="183"/>
    <n v="6335"/>
    <n v="71722.84"/>
    <n v="274992.64000000001"/>
    <n v="330.52"/>
    <n v="95850.799999999988"/>
    <n v="104444.31999999999"/>
    <n v="198642.52"/>
    <n v="330189.48"/>
    <n v="330189.48"/>
    <n v="49247.479999999996"/>
    <n v="299451.12"/>
    <n v="278297.83999999997"/>
    <n v="60485.159999999996"/>
    <n v="2093844.2"/>
  </r>
  <r>
    <n v="222"/>
    <s v="Product_222"/>
    <x v="6"/>
    <n v="286.31"/>
    <n v="1.6"/>
    <n v="688"/>
    <n v="924"/>
    <n v="887"/>
    <n v="757"/>
    <n v="644"/>
    <n v="414"/>
    <n v="356"/>
    <n v="15"/>
    <n v="379"/>
    <n v="145"/>
    <n v="379"/>
    <n v="455"/>
    <n v="791"/>
    <n v="6146"/>
    <n v="264550.44"/>
    <n v="253956.97"/>
    <n v="216736.67"/>
    <n v="184383.64"/>
    <n v="118532.34"/>
    <n v="101926.36"/>
    <n v="4294.6499999999996"/>
    <n v="108511.49"/>
    <n v="41514.949999999997"/>
    <n v="108511.49"/>
    <n v="130271.05"/>
    <n v="226471.21"/>
    <n v="1759661.26"/>
  </r>
  <r>
    <n v="223"/>
    <s v="Product_223"/>
    <x v="2"/>
    <n v="51.37"/>
    <n v="2.7"/>
    <n v="619"/>
    <n v="928"/>
    <n v="602"/>
    <n v="721"/>
    <n v="200"/>
    <n v="94"/>
    <n v="255"/>
    <n v="570"/>
    <n v="710"/>
    <n v="715"/>
    <n v="364"/>
    <n v="136"/>
    <n v="321"/>
    <n v="5616"/>
    <n v="47671.360000000001"/>
    <n v="30924.739999999998"/>
    <n v="37037.769999999997"/>
    <n v="10274"/>
    <n v="4828.78"/>
    <n v="13099.349999999999"/>
    <n v="29280.899999999998"/>
    <n v="36472.699999999997"/>
    <n v="36729.549999999996"/>
    <n v="18698.68"/>
    <n v="6986.32"/>
    <n v="16489.77"/>
    <n v="288493.92"/>
  </r>
  <r>
    <n v="224"/>
    <s v="Product_224"/>
    <x v="4"/>
    <n v="187.02"/>
    <n v="4.8"/>
    <n v="613"/>
    <n v="827"/>
    <n v="749"/>
    <n v="510"/>
    <n v="796"/>
    <n v="784"/>
    <n v="352"/>
    <n v="976"/>
    <n v="918"/>
    <n v="873"/>
    <n v="601"/>
    <n v="857"/>
    <n v="908"/>
    <n v="9151"/>
    <n v="154665.54"/>
    <n v="140077.98000000001"/>
    <n v="95380.200000000012"/>
    <n v="148867.92000000001"/>
    <n v="146623.68000000002"/>
    <n v="65831.040000000008"/>
    <n v="182531.52000000002"/>
    <n v="171684.36000000002"/>
    <n v="163268.46000000002"/>
    <n v="112399.02"/>
    <n v="160276.14000000001"/>
    <n v="169814.16"/>
    <n v="1711420.0200000003"/>
  </r>
  <r>
    <n v="225"/>
    <s v="Product_225"/>
    <x v="2"/>
    <n v="136.28"/>
    <n v="2.7"/>
    <n v="260"/>
    <n v="986"/>
    <n v="775"/>
    <n v="912"/>
    <n v="325"/>
    <n v="891"/>
    <n v="731"/>
    <n v="242"/>
    <n v="980"/>
    <n v="298"/>
    <n v="341"/>
    <n v="897"/>
    <n v="317"/>
    <n v="7695"/>
    <n v="134372.07999999999"/>
    <n v="105617"/>
    <n v="124287.36"/>
    <n v="44291"/>
    <n v="121425.48"/>
    <n v="99620.680000000008"/>
    <n v="32979.760000000002"/>
    <n v="133554.4"/>
    <n v="40611.440000000002"/>
    <n v="46471.48"/>
    <n v="122243.16"/>
    <n v="43200.76"/>
    <n v="1048674.6000000001"/>
  </r>
  <r>
    <n v="226"/>
    <s v="Product_226"/>
    <x v="2"/>
    <n v="125.77"/>
    <n v="3.6"/>
    <n v="990"/>
    <n v="728"/>
    <n v="690"/>
    <n v="285"/>
    <n v="510"/>
    <n v="23"/>
    <n v="520"/>
    <n v="949"/>
    <n v="673"/>
    <n v="166"/>
    <n v="859"/>
    <n v="335"/>
    <n v="565"/>
    <n v="6303"/>
    <n v="91560.56"/>
    <n v="86781.3"/>
    <n v="35844.449999999997"/>
    <n v="64142.7"/>
    <n v="2892.71"/>
    <n v="65400.4"/>
    <n v="119355.73"/>
    <n v="84643.209999999992"/>
    <n v="20877.82"/>
    <n v="108036.43"/>
    <n v="42132.95"/>
    <n v="71060.05"/>
    <n v="792728.31"/>
  </r>
  <r>
    <n v="227"/>
    <s v="Product_227"/>
    <x v="2"/>
    <n v="486.64"/>
    <n v="2.6"/>
    <n v="966"/>
    <n v="631"/>
    <n v="493"/>
    <n v="870"/>
    <n v="408"/>
    <n v="627"/>
    <n v="523"/>
    <n v="206"/>
    <n v="906"/>
    <n v="712"/>
    <n v="791"/>
    <n v="606"/>
    <n v="398"/>
    <n v="7171"/>
    <n v="307069.83999999997"/>
    <n v="239913.52"/>
    <n v="423376.8"/>
    <n v="198549.12"/>
    <n v="305123.27999999997"/>
    <n v="254512.72"/>
    <n v="100247.84"/>
    <n v="440895.83999999997"/>
    <n v="346487.68"/>
    <n v="384932.24"/>
    <n v="294903.83999999997"/>
    <n v="193682.72"/>
    <n v="3489695.44"/>
  </r>
  <r>
    <n v="228"/>
    <s v="Product_228"/>
    <x v="6"/>
    <n v="199.58"/>
    <n v="2.1"/>
    <n v="366"/>
    <n v="950"/>
    <n v="489"/>
    <n v="12"/>
    <n v="606"/>
    <n v="662"/>
    <n v="836"/>
    <n v="911"/>
    <n v="469"/>
    <n v="645"/>
    <n v="220"/>
    <n v="837"/>
    <n v="708"/>
    <n v="7345"/>
    <n v="189601"/>
    <n v="97594.62000000001"/>
    <n v="2394.96"/>
    <n v="120945.48000000001"/>
    <n v="132121.96000000002"/>
    <n v="166848.88"/>
    <n v="181817.38"/>
    <n v="93603.02"/>
    <n v="128729.1"/>
    <n v="43907.600000000006"/>
    <n v="167048.46000000002"/>
    <n v="141302.64000000001"/>
    <n v="1465915.1"/>
  </r>
  <r>
    <n v="229"/>
    <s v="Product_229"/>
    <x v="4"/>
    <n v="446.56"/>
    <n v="4.9000000000000004"/>
    <n v="758"/>
    <n v="905"/>
    <n v="720"/>
    <n v="607"/>
    <n v="789"/>
    <n v="849"/>
    <n v="949"/>
    <n v="270"/>
    <n v="745"/>
    <n v="722"/>
    <n v="72"/>
    <n v="756"/>
    <n v="898"/>
    <n v="8282"/>
    <n v="404136.8"/>
    <n v="321523.20000000001"/>
    <n v="271061.92"/>
    <n v="352335.84"/>
    <n v="379129.44"/>
    <n v="423785.44"/>
    <n v="120571.2"/>
    <n v="332687.2"/>
    <n v="322416.32"/>
    <n v="32152.32"/>
    <n v="337599.36"/>
    <n v="401010.88"/>
    <n v="3698409.92"/>
  </r>
  <r>
    <n v="230"/>
    <s v="Product_230"/>
    <x v="4"/>
    <n v="317.41000000000003"/>
    <n v="2.6"/>
    <n v="787"/>
    <n v="174"/>
    <n v="72"/>
    <n v="497"/>
    <n v="961"/>
    <n v="49"/>
    <n v="755"/>
    <n v="760"/>
    <n v="674"/>
    <n v="47"/>
    <n v="745"/>
    <n v="468"/>
    <n v="292"/>
    <n v="5494"/>
    <n v="55229.340000000004"/>
    <n v="22853.52"/>
    <n v="157752.77000000002"/>
    <n v="305031.01"/>
    <n v="15553.090000000002"/>
    <n v="239644.55000000002"/>
    <n v="241231.6"/>
    <n v="213934.34000000003"/>
    <n v="14918.27"/>
    <n v="236470.45"/>
    <n v="148547.88"/>
    <n v="92683.72"/>
    <n v="1743850.5399999998"/>
  </r>
  <r>
    <n v="231"/>
    <s v="Product_231"/>
    <x v="5"/>
    <n v="398.43"/>
    <n v="4.5999999999999996"/>
    <n v="544"/>
    <n v="22"/>
    <n v="508"/>
    <n v="732"/>
    <n v="940"/>
    <n v="501"/>
    <n v="693"/>
    <n v="993"/>
    <n v="115"/>
    <n v="637"/>
    <n v="771"/>
    <n v="601"/>
    <n v="292"/>
    <n v="6805"/>
    <n v="8765.4600000000009"/>
    <n v="202402.44"/>
    <n v="291650.76"/>
    <n v="374524.2"/>
    <n v="199613.43"/>
    <n v="276111.99"/>
    <n v="395640.99"/>
    <n v="45819.450000000004"/>
    <n v="253799.91"/>
    <n v="307189.53000000003"/>
    <n v="239456.43"/>
    <n v="116341.56"/>
    <n v="2711316.1500000004"/>
  </r>
  <r>
    <n v="232"/>
    <s v="Product_232"/>
    <x v="2"/>
    <n v="253.81"/>
    <n v="1.9"/>
    <n v="649"/>
    <n v="724"/>
    <n v="389"/>
    <n v="237"/>
    <n v="836"/>
    <n v="717"/>
    <n v="283"/>
    <n v="778"/>
    <n v="604"/>
    <n v="238"/>
    <n v="624"/>
    <n v="570"/>
    <n v="484"/>
    <n v="6484"/>
    <n v="183758.44"/>
    <n v="98732.09"/>
    <n v="60152.97"/>
    <n v="212185.16"/>
    <n v="181981.77"/>
    <n v="71828.23"/>
    <n v="197464.18"/>
    <n v="153301.24"/>
    <n v="60406.78"/>
    <n v="158377.44"/>
    <n v="144671.70000000001"/>
    <n v="122844.04000000001"/>
    <n v="1645704.04"/>
  </r>
  <r>
    <n v="233"/>
    <s v="Product_233"/>
    <x v="5"/>
    <n v="290.57"/>
    <n v="1.9"/>
    <n v="524"/>
    <n v="916"/>
    <n v="618"/>
    <n v="93"/>
    <n v="507"/>
    <n v="497"/>
    <n v="311"/>
    <n v="704"/>
    <n v="41"/>
    <n v="6"/>
    <n v="45"/>
    <n v="402"/>
    <n v="898"/>
    <n v="5038"/>
    <n v="266162.12"/>
    <n v="179572.26"/>
    <n v="27023.01"/>
    <n v="147318.99"/>
    <n v="144413.29"/>
    <n v="90367.27"/>
    <n v="204561.28"/>
    <n v="11913.369999999999"/>
    <n v="1743.42"/>
    <n v="13075.65"/>
    <n v="116809.14"/>
    <n v="260931.86"/>
    <n v="1463891.6599999997"/>
  </r>
  <r>
    <n v="234"/>
    <s v="Product_234"/>
    <x v="5"/>
    <n v="248.8"/>
    <n v="1.1000000000000001"/>
    <n v="907"/>
    <n v="234"/>
    <n v="856"/>
    <n v="337"/>
    <n v="730"/>
    <n v="334"/>
    <n v="98"/>
    <n v="846"/>
    <n v="795"/>
    <n v="463"/>
    <n v="503"/>
    <n v="539"/>
    <n v="446"/>
    <n v="6181"/>
    <n v="58219.200000000004"/>
    <n v="212972.80000000002"/>
    <n v="83845.600000000006"/>
    <n v="181624"/>
    <n v="83099.199999999997"/>
    <n v="24382.400000000001"/>
    <n v="210484.80000000002"/>
    <n v="197796"/>
    <n v="115194.40000000001"/>
    <n v="125146.40000000001"/>
    <n v="134103.20000000001"/>
    <n v="110964.8"/>
    <n v="1537832.7999999998"/>
  </r>
  <r>
    <n v="235"/>
    <s v="Product_235"/>
    <x v="1"/>
    <n v="101.65"/>
    <n v="3.6"/>
    <n v="814"/>
    <n v="12"/>
    <n v="294"/>
    <n v="780"/>
    <n v="600"/>
    <n v="78"/>
    <n v="196"/>
    <n v="729"/>
    <n v="378"/>
    <n v="452"/>
    <n v="273"/>
    <n v="71"/>
    <n v="802"/>
    <n v="4665"/>
    <n v="1219.8000000000002"/>
    <n v="29885.100000000002"/>
    <n v="79287"/>
    <n v="60990"/>
    <n v="7928.7000000000007"/>
    <n v="19923.400000000001"/>
    <n v="74102.850000000006"/>
    <n v="38423.700000000004"/>
    <n v="45945.8"/>
    <n v="27750.45"/>
    <n v="7217.1500000000005"/>
    <n v="81523.3"/>
    <n v="474197.25"/>
  </r>
  <r>
    <n v="236"/>
    <s v="Product_236"/>
    <x v="6"/>
    <n v="362.61"/>
    <n v="2.5"/>
    <n v="887"/>
    <n v="100"/>
    <n v="368"/>
    <n v="170"/>
    <n v="71"/>
    <n v="581"/>
    <n v="481"/>
    <n v="114"/>
    <n v="721"/>
    <n v="783"/>
    <n v="554"/>
    <n v="781"/>
    <n v="691"/>
    <n v="5415"/>
    <n v="36261"/>
    <n v="133440.48000000001"/>
    <n v="61643.700000000004"/>
    <n v="25745.31"/>
    <n v="210676.41"/>
    <n v="174415.41"/>
    <n v="41337.54"/>
    <n v="261441.81"/>
    <n v="283923.63"/>
    <n v="200885.94"/>
    <n v="283198.41000000003"/>
    <n v="250563.51"/>
    <n v="1963533.1500000001"/>
  </r>
  <r>
    <n v="237"/>
    <s v="Product_237"/>
    <x v="6"/>
    <n v="143.97999999999999"/>
    <n v="4.5"/>
    <n v="16"/>
    <n v="928"/>
    <n v="955"/>
    <n v="980"/>
    <n v="246"/>
    <n v="26"/>
    <n v="877"/>
    <n v="579"/>
    <n v="205"/>
    <n v="896"/>
    <n v="207"/>
    <n v="23"/>
    <n v="982"/>
    <n v="6904"/>
    <n v="133613.44"/>
    <n v="137500.9"/>
    <n v="141100.4"/>
    <n v="35419.079999999994"/>
    <n v="3743.4799999999996"/>
    <n v="126270.45999999999"/>
    <n v="83364.42"/>
    <n v="29515.899999999998"/>
    <n v="129006.07999999999"/>
    <n v="29803.859999999997"/>
    <n v="3311.54"/>
    <n v="141388.35999999999"/>
    <n v="994037.92"/>
  </r>
  <r>
    <n v="238"/>
    <s v="Product_238"/>
    <x v="3"/>
    <n v="17.04"/>
    <n v="2.9"/>
    <n v="129"/>
    <n v="535"/>
    <n v="795"/>
    <n v="605"/>
    <n v="640"/>
    <n v="270"/>
    <n v="225"/>
    <n v="298"/>
    <n v="465"/>
    <n v="370"/>
    <n v="928"/>
    <n v="623"/>
    <n v="891"/>
    <n v="6645"/>
    <n v="9116.4"/>
    <n v="13546.8"/>
    <n v="10309.199999999999"/>
    <n v="10905.599999999999"/>
    <n v="4600.8"/>
    <n v="3834"/>
    <n v="5077.92"/>
    <n v="7923.5999999999995"/>
    <n v="6304.7999999999993"/>
    <n v="15813.119999999999"/>
    <n v="10615.92"/>
    <n v="15182.64"/>
    <n v="113230.79999999999"/>
  </r>
  <r>
    <n v="239"/>
    <s v="Product_239"/>
    <x v="5"/>
    <n v="324.51"/>
    <n v="4.9000000000000004"/>
    <n v="575"/>
    <n v="875"/>
    <n v="864"/>
    <n v="660"/>
    <n v="723"/>
    <n v="561"/>
    <n v="844"/>
    <n v="836"/>
    <n v="731"/>
    <n v="548"/>
    <n v="860"/>
    <n v="811"/>
    <n v="411"/>
    <n v="8724"/>
    <n v="283946.25"/>
    <n v="280376.64"/>
    <n v="214176.6"/>
    <n v="234620.72999999998"/>
    <n v="182050.11"/>
    <n v="273886.44"/>
    <n v="271290.36"/>
    <n v="237216.81"/>
    <n v="177831.47999999998"/>
    <n v="279078.59999999998"/>
    <n v="263177.61"/>
    <n v="133373.60999999999"/>
    <n v="2831025.2399999998"/>
  </r>
  <r>
    <n v="240"/>
    <s v="Product_240"/>
    <x v="6"/>
    <n v="92.67"/>
    <n v="1.7"/>
    <n v="109"/>
    <n v="522"/>
    <n v="693"/>
    <n v="623"/>
    <n v="939"/>
    <n v="803"/>
    <n v="614"/>
    <n v="482"/>
    <n v="279"/>
    <n v="486"/>
    <n v="614"/>
    <n v="484"/>
    <n v="507"/>
    <n v="7046"/>
    <n v="48373.74"/>
    <n v="64220.31"/>
    <n v="57733.41"/>
    <n v="87017.13"/>
    <n v="74414.009999999995"/>
    <n v="56899.380000000005"/>
    <n v="44666.94"/>
    <n v="25854.93"/>
    <n v="45037.62"/>
    <n v="56899.380000000005"/>
    <n v="44852.28"/>
    <n v="46983.69"/>
    <n v="652952.82000000007"/>
  </r>
  <r>
    <n v="241"/>
    <s v="Product_241"/>
    <x v="2"/>
    <n v="470.53"/>
    <n v="4.5"/>
    <n v="887"/>
    <n v="784"/>
    <n v="548"/>
    <n v="566"/>
    <n v="854"/>
    <n v="246"/>
    <n v="617"/>
    <n v="396"/>
    <n v="647"/>
    <n v="210"/>
    <n v="123"/>
    <n v="55"/>
    <n v="733"/>
    <n v="5779"/>
    <n v="368895.51999999996"/>
    <n v="257850.43999999997"/>
    <n v="266319.98"/>
    <n v="401832.62"/>
    <n v="115750.37999999999"/>
    <n v="290317.01"/>
    <n v="186329.87999999998"/>
    <n v="304432.90999999997"/>
    <n v="98811.299999999988"/>
    <n v="57875.189999999995"/>
    <n v="25879.149999999998"/>
    <n v="344898.49"/>
    <n v="2719192.8699999992"/>
  </r>
  <r>
    <n v="242"/>
    <s v="Product_242"/>
    <x v="0"/>
    <n v="477.19"/>
    <n v="4.0999999999999996"/>
    <n v="533"/>
    <n v="451"/>
    <n v="648"/>
    <n v="848"/>
    <n v="607"/>
    <n v="775"/>
    <n v="364"/>
    <n v="393"/>
    <n v="617"/>
    <n v="164"/>
    <n v="9"/>
    <n v="985"/>
    <n v="785"/>
    <n v="6646"/>
    <n v="215212.69"/>
    <n v="309219.12"/>
    <n v="404657.12"/>
    <n v="289654.33"/>
    <n v="369822.25"/>
    <n v="173697.16"/>
    <n v="187535.67"/>
    <n v="294426.23"/>
    <n v="78259.16"/>
    <n v="4294.71"/>
    <n v="470032.15"/>
    <n v="374594.15"/>
    <n v="3171404.7399999998"/>
  </r>
  <r>
    <n v="243"/>
    <s v="Product_243"/>
    <x v="2"/>
    <n v="457.86"/>
    <n v="4.0999999999999996"/>
    <n v="670"/>
    <n v="430"/>
    <n v="849"/>
    <n v="935"/>
    <n v="586"/>
    <n v="590"/>
    <n v="367"/>
    <n v="74"/>
    <n v="117"/>
    <n v="124"/>
    <n v="328"/>
    <n v="222"/>
    <n v="889"/>
    <n v="5511"/>
    <n v="196879.80000000002"/>
    <n v="388723.14"/>
    <n v="428099.10000000003"/>
    <n v="268305.96000000002"/>
    <n v="270137.40000000002"/>
    <n v="168034.62"/>
    <n v="33881.64"/>
    <n v="53569.62"/>
    <n v="56774.64"/>
    <n v="150178.08000000002"/>
    <n v="101644.92"/>
    <n v="407037.54000000004"/>
    <n v="2523266.46"/>
  </r>
  <r>
    <n v="244"/>
    <s v="Product_244"/>
    <x v="4"/>
    <n v="188.23"/>
    <n v="4.4000000000000004"/>
    <n v="269"/>
    <n v="792"/>
    <n v="567"/>
    <n v="466"/>
    <n v="934"/>
    <n v="386"/>
    <n v="569"/>
    <n v="977"/>
    <n v="236"/>
    <n v="336"/>
    <n v="186"/>
    <n v="631"/>
    <n v="243"/>
    <n v="6323"/>
    <n v="149078.16"/>
    <n v="106726.40999999999"/>
    <n v="87715.18"/>
    <n v="175806.81999999998"/>
    <n v="72656.78"/>
    <n v="107102.87"/>
    <n v="183900.71"/>
    <n v="44422.28"/>
    <n v="63245.279999999999"/>
    <n v="35010.78"/>
    <n v="118773.12999999999"/>
    <n v="45739.89"/>
    <n v="1190178.2899999998"/>
  </r>
  <r>
    <n v="245"/>
    <s v="Product_245"/>
    <x v="6"/>
    <n v="12.65"/>
    <n v="4"/>
    <n v="162"/>
    <n v="605"/>
    <n v="186"/>
    <n v="627"/>
    <n v="565"/>
    <n v="701"/>
    <n v="589"/>
    <n v="481"/>
    <n v="308"/>
    <n v="191"/>
    <n v="542"/>
    <n v="178"/>
    <n v="419"/>
    <n v="5392"/>
    <n v="7653.25"/>
    <n v="2352.9"/>
    <n v="7931.55"/>
    <n v="7147.25"/>
    <n v="8867.65"/>
    <n v="7450.85"/>
    <n v="6084.6500000000005"/>
    <n v="3896.2000000000003"/>
    <n v="2416.15"/>
    <n v="6856.3"/>
    <n v="2251.7000000000003"/>
    <n v="5300.35"/>
    <n v="68208.800000000003"/>
  </r>
  <r>
    <n v="246"/>
    <s v="Product_246"/>
    <x v="6"/>
    <n v="464.52"/>
    <n v="3.5"/>
    <n v="260"/>
    <n v="712"/>
    <n v="852"/>
    <n v="142"/>
    <n v="343"/>
    <n v="558"/>
    <n v="74"/>
    <n v="102"/>
    <n v="455"/>
    <n v="729"/>
    <n v="667"/>
    <n v="799"/>
    <n v="928"/>
    <n v="6361"/>
    <n v="330738.24"/>
    <n v="395771.04"/>
    <n v="65961.84"/>
    <n v="159330.35999999999"/>
    <n v="259202.16"/>
    <n v="34374.479999999996"/>
    <n v="47381.04"/>
    <n v="211356.6"/>
    <n v="338635.07999999996"/>
    <n v="309834.83999999997"/>
    <n v="371151.48"/>
    <n v="431074.56"/>
    <n v="2954811.7199999997"/>
  </r>
  <r>
    <n v="247"/>
    <s v="Product_247"/>
    <x v="3"/>
    <n v="216.95"/>
    <n v="1.5"/>
    <n v="924"/>
    <n v="532"/>
    <n v="769"/>
    <n v="200"/>
    <n v="970"/>
    <n v="972"/>
    <n v="41"/>
    <n v="296"/>
    <n v="899"/>
    <n v="213"/>
    <n v="59"/>
    <n v="433"/>
    <n v="959"/>
    <n v="6343"/>
    <n v="115417.4"/>
    <n v="166834.54999999999"/>
    <n v="43390"/>
    <n v="210441.5"/>
    <n v="210875.4"/>
    <n v="8894.9499999999989"/>
    <n v="64217.2"/>
    <n v="195038.05"/>
    <n v="46210.35"/>
    <n v="12800.05"/>
    <n v="93939.349999999991"/>
    <n v="208055.05"/>
    <n v="1376113.85"/>
  </r>
  <r>
    <n v="248"/>
    <s v="Product_248"/>
    <x v="5"/>
    <n v="483.49"/>
    <n v="1.1000000000000001"/>
    <n v="102"/>
    <n v="851"/>
    <n v="444"/>
    <n v="179"/>
    <n v="924"/>
    <n v="360"/>
    <n v="421"/>
    <n v="177"/>
    <n v="474"/>
    <n v="573"/>
    <n v="760"/>
    <n v="936"/>
    <n v="153"/>
    <n v="6252"/>
    <n v="411449.99"/>
    <n v="214669.56"/>
    <n v="86544.71"/>
    <n v="446744.76"/>
    <n v="174056.4"/>
    <n v="203549.29"/>
    <n v="85577.73"/>
    <n v="229174.26"/>
    <n v="277039.77"/>
    <n v="367452.4"/>
    <n v="452546.64"/>
    <n v="73973.97"/>
    <n v="3022779.48"/>
  </r>
  <r>
    <n v="249"/>
    <s v="Product_249"/>
    <x v="0"/>
    <n v="481.99"/>
    <n v="4.7"/>
    <n v="506"/>
    <n v="978"/>
    <n v="569"/>
    <n v="713"/>
    <n v="53"/>
    <n v="865"/>
    <n v="835"/>
    <n v="214"/>
    <n v="99"/>
    <n v="327"/>
    <n v="898"/>
    <n v="449"/>
    <n v="815"/>
    <n v="6815"/>
    <n v="471386.22000000003"/>
    <n v="274252.31"/>
    <n v="343658.87"/>
    <n v="25545.47"/>
    <n v="416921.35000000003"/>
    <n v="402461.65"/>
    <n v="103145.86"/>
    <n v="47717.01"/>
    <n v="157610.73000000001"/>
    <n v="432827.02"/>
    <n v="216413.51"/>
    <n v="392821.85000000003"/>
    <n v="3284761.85"/>
  </r>
  <r>
    <n v="250"/>
    <s v="Product_250"/>
    <x v="6"/>
    <n v="427.24"/>
    <n v="3.5"/>
    <n v="735"/>
    <n v="722"/>
    <n v="362"/>
    <n v="363"/>
    <n v="729"/>
    <n v="983"/>
    <n v="180"/>
    <n v="966"/>
    <n v="260"/>
    <n v="956"/>
    <n v="885"/>
    <n v="792"/>
    <n v="423"/>
    <n v="7621"/>
    <n v="308467.28000000003"/>
    <n v="154660.88"/>
    <n v="155088.12"/>
    <n v="311457.96000000002"/>
    <n v="419976.92"/>
    <n v="76903.199999999997"/>
    <n v="412713.84"/>
    <n v="111082.40000000001"/>
    <n v="408441.44"/>
    <n v="378107.4"/>
    <n v="338374.08"/>
    <n v="180722.52"/>
    <n v="3255996.04"/>
  </r>
  <r>
    <n v="251"/>
    <s v="Product_251"/>
    <x v="3"/>
    <n v="150.75"/>
    <n v="4.2"/>
    <n v="571"/>
    <n v="651"/>
    <n v="122"/>
    <n v="478"/>
    <n v="527"/>
    <n v="487"/>
    <n v="544"/>
    <n v="314"/>
    <n v="992"/>
    <n v="380"/>
    <n v="950"/>
    <n v="883"/>
    <n v="272"/>
    <n v="6600"/>
    <n v="98138.25"/>
    <n v="18391.5"/>
    <n v="72058.5"/>
    <n v="79445.25"/>
    <n v="73415.25"/>
    <n v="82008"/>
    <n v="47335.5"/>
    <n v="149544"/>
    <n v="57285"/>
    <n v="143212.5"/>
    <n v="133112.25"/>
    <n v="41004"/>
    <n v="994950"/>
  </r>
  <r>
    <n v="252"/>
    <s v="Product_252"/>
    <x v="3"/>
    <n v="195.62"/>
    <n v="2.9"/>
    <n v="247"/>
    <n v="292"/>
    <n v="187"/>
    <n v="564"/>
    <n v="610"/>
    <n v="351"/>
    <n v="70"/>
    <n v="38"/>
    <n v="304"/>
    <n v="672"/>
    <n v="781"/>
    <n v="491"/>
    <n v="935"/>
    <n v="5295"/>
    <n v="57121.04"/>
    <n v="36580.94"/>
    <n v="110329.68000000001"/>
    <n v="119328.2"/>
    <n v="68662.62"/>
    <n v="13693.4"/>
    <n v="7433.56"/>
    <n v="59468.480000000003"/>
    <n v="131456.64000000001"/>
    <n v="152779.22"/>
    <n v="96049.42"/>
    <n v="182904.7"/>
    <n v="1035807.9000000001"/>
  </r>
  <r>
    <n v="253"/>
    <s v="Product_253"/>
    <x v="0"/>
    <n v="426.31"/>
    <n v="1.5"/>
    <n v="640"/>
    <n v="809"/>
    <n v="741"/>
    <n v="470"/>
    <n v="531"/>
    <n v="700"/>
    <n v="567"/>
    <n v="258"/>
    <n v="353"/>
    <n v="577"/>
    <n v="441"/>
    <n v="188"/>
    <n v="646"/>
    <n v="6281"/>
    <n v="344884.79"/>
    <n v="315895.71000000002"/>
    <n v="200365.7"/>
    <n v="226370.61000000002"/>
    <n v="298417"/>
    <n v="241717.77"/>
    <n v="109987.98"/>
    <n v="150487.43"/>
    <n v="245980.87"/>
    <n v="188002.71"/>
    <n v="80146.28"/>
    <n v="275396.26"/>
    <n v="2677653.1099999994"/>
  </r>
  <r>
    <n v="254"/>
    <s v="Product_254"/>
    <x v="2"/>
    <n v="161.88"/>
    <n v="1.5"/>
    <n v="795"/>
    <n v="912"/>
    <n v="679"/>
    <n v="383"/>
    <n v="557"/>
    <n v="927"/>
    <n v="104"/>
    <n v="715"/>
    <n v="285"/>
    <n v="797"/>
    <n v="216"/>
    <n v="577"/>
    <n v="824"/>
    <n v="6976"/>
    <n v="147634.56"/>
    <n v="109916.52"/>
    <n v="62000.04"/>
    <n v="90167.16"/>
    <n v="150062.76"/>
    <n v="16835.52"/>
    <n v="115744.2"/>
    <n v="46135.799999999996"/>
    <n v="129018.36"/>
    <n v="34966.080000000002"/>
    <n v="93404.76"/>
    <n v="133389.12"/>
    <n v="1129274.8799999999"/>
  </r>
  <r>
    <n v="255"/>
    <s v="Product_255"/>
    <x v="2"/>
    <n v="88.9"/>
    <n v="3.7"/>
    <n v="837"/>
    <n v="100"/>
    <n v="419"/>
    <n v="691"/>
    <n v="962"/>
    <n v="255"/>
    <n v="199"/>
    <n v="6"/>
    <n v="327"/>
    <n v="238"/>
    <n v="910"/>
    <n v="809"/>
    <n v="519"/>
    <n v="5435"/>
    <n v="8890"/>
    <n v="37249.100000000006"/>
    <n v="61429.9"/>
    <n v="85521.8"/>
    <n v="22669.5"/>
    <n v="17691.100000000002"/>
    <n v="533.40000000000009"/>
    <n v="29070.300000000003"/>
    <n v="21158.2"/>
    <n v="80899"/>
    <n v="71920.100000000006"/>
    <n v="46139.100000000006"/>
    <n v="483171.5"/>
  </r>
  <r>
    <n v="256"/>
    <s v="Product_256"/>
    <x v="2"/>
    <n v="280.62"/>
    <n v="2.7"/>
    <n v="537"/>
    <n v="501"/>
    <n v="625"/>
    <n v="925"/>
    <n v="192"/>
    <n v="221"/>
    <n v="100"/>
    <n v="48"/>
    <n v="102"/>
    <n v="531"/>
    <n v="1"/>
    <n v="960"/>
    <n v="127"/>
    <n v="4333"/>
    <n v="140590.62"/>
    <n v="175387.5"/>
    <n v="259573.5"/>
    <n v="53879.040000000001"/>
    <n v="62017.020000000004"/>
    <n v="28062"/>
    <n v="13469.76"/>
    <n v="28623.24"/>
    <n v="149009.22"/>
    <n v="280.62"/>
    <n v="269395.20000000001"/>
    <n v="35638.74"/>
    <n v="1215926.46"/>
  </r>
  <r>
    <n v="257"/>
    <s v="Product_257"/>
    <x v="1"/>
    <n v="468.4"/>
    <n v="1.8"/>
    <n v="131"/>
    <n v="303"/>
    <n v="251"/>
    <n v="416"/>
    <n v="894"/>
    <n v="883"/>
    <n v="767"/>
    <n v="537"/>
    <n v="62"/>
    <n v="699"/>
    <n v="535"/>
    <n v="419"/>
    <n v="372"/>
    <n v="6138"/>
    <n v="141925.19999999998"/>
    <n v="117568.4"/>
    <n v="194854.39999999999"/>
    <n v="418749.6"/>
    <n v="413597.19999999995"/>
    <n v="359262.8"/>
    <n v="251530.8"/>
    <n v="29040.799999999999"/>
    <n v="327411.59999999998"/>
    <n v="250594"/>
    <n v="196259.59999999998"/>
    <n v="174244.8"/>
    <n v="2875039.1999999997"/>
  </r>
  <r>
    <n v="258"/>
    <s v="Product_258"/>
    <x v="5"/>
    <n v="349.53"/>
    <n v="3"/>
    <n v="353"/>
    <n v="870"/>
    <n v="618"/>
    <n v="824"/>
    <n v="57"/>
    <n v="752"/>
    <n v="306"/>
    <n v="160"/>
    <n v="686"/>
    <n v="81"/>
    <n v="717"/>
    <n v="248"/>
    <n v="567"/>
    <n v="5886"/>
    <n v="304091.09999999998"/>
    <n v="216009.53999999998"/>
    <n v="288012.71999999997"/>
    <n v="19923.21"/>
    <n v="262846.56"/>
    <n v="106956.18"/>
    <n v="55924.799999999996"/>
    <n v="239777.58"/>
    <n v="28311.929999999997"/>
    <n v="250613.00999999998"/>
    <n v="86683.439999999988"/>
    <n v="198183.50999999998"/>
    <n v="2057333.5799999998"/>
  </r>
  <r>
    <n v="259"/>
    <s v="Product_259"/>
    <x v="5"/>
    <n v="287.18"/>
    <n v="1.3"/>
    <n v="196"/>
    <n v="539"/>
    <n v="548"/>
    <n v="307"/>
    <n v="436"/>
    <n v="780"/>
    <n v="585"/>
    <n v="868"/>
    <n v="281"/>
    <n v="362"/>
    <n v="831"/>
    <n v="587"/>
    <n v="637"/>
    <n v="6761"/>
    <n v="154790.01999999999"/>
    <n v="157374.64000000001"/>
    <n v="88164.260000000009"/>
    <n v="125210.48"/>
    <n v="224000.4"/>
    <n v="168000.30000000002"/>
    <n v="249272.24000000002"/>
    <n v="80697.58"/>
    <n v="103959.16"/>
    <n v="238646.58000000002"/>
    <n v="168574.66"/>
    <n v="182933.66"/>
    <n v="1941623.98"/>
  </r>
  <r>
    <n v="260"/>
    <s v="Product_260"/>
    <x v="2"/>
    <n v="53.1"/>
    <n v="3.3"/>
    <n v="793"/>
    <n v="552"/>
    <n v="334"/>
    <n v="648"/>
    <n v="110"/>
    <n v="0"/>
    <n v="682"/>
    <n v="175"/>
    <n v="440"/>
    <n v="504"/>
    <n v="710"/>
    <n v="648"/>
    <n v="158"/>
    <n v="4961"/>
    <n v="29311.200000000001"/>
    <n v="17735.400000000001"/>
    <n v="34408.800000000003"/>
    <n v="5841"/>
    <n v="0"/>
    <n v="36214.200000000004"/>
    <n v="9292.5"/>
    <n v="23364"/>
    <n v="26762.400000000001"/>
    <n v="37701"/>
    <n v="34408.800000000003"/>
    <n v="8389.8000000000011"/>
    <n v="263429.09999999998"/>
  </r>
  <r>
    <n v="261"/>
    <s v="Product_261"/>
    <x v="0"/>
    <n v="309.43"/>
    <n v="2.1"/>
    <n v="916"/>
    <n v="354"/>
    <n v="91"/>
    <n v="693"/>
    <n v="128"/>
    <n v="545"/>
    <n v="376"/>
    <n v="590"/>
    <n v="292"/>
    <n v="201"/>
    <n v="355"/>
    <n v="163"/>
    <n v="570"/>
    <n v="4358"/>
    <n v="109538.22"/>
    <n v="28158.13"/>
    <n v="214434.99"/>
    <n v="39607.040000000001"/>
    <n v="168639.35"/>
    <n v="116345.68000000001"/>
    <n v="182563.7"/>
    <n v="90353.56"/>
    <n v="62195.43"/>
    <n v="109847.65000000001"/>
    <n v="50437.090000000004"/>
    <n v="176375.1"/>
    <n v="1348495.9400000004"/>
  </r>
  <r>
    <n v="262"/>
    <s v="Product_262"/>
    <x v="1"/>
    <n v="495.08"/>
    <n v="4.2"/>
    <n v="930"/>
    <n v="302"/>
    <n v="529"/>
    <n v="366"/>
    <n v="848"/>
    <n v="445"/>
    <n v="654"/>
    <n v="1"/>
    <n v="737"/>
    <n v="919"/>
    <n v="625"/>
    <n v="744"/>
    <n v="569"/>
    <n v="6739"/>
    <n v="149514.16"/>
    <n v="261897.31999999998"/>
    <n v="181199.28"/>
    <n v="419827.83999999997"/>
    <n v="220310.6"/>
    <n v="323782.32"/>
    <n v="495.08"/>
    <n v="364873.95999999996"/>
    <n v="454978.51999999996"/>
    <n v="309425"/>
    <n v="368339.51999999996"/>
    <n v="281700.52"/>
    <n v="3336344.12"/>
  </r>
  <r>
    <n v="263"/>
    <s v="Product_263"/>
    <x v="5"/>
    <n v="74.34"/>
    <n v="2.2000000000000002"/>
    <n v="666"/>
    <n v="495"/>
    <n v="865"/>
    <n v="0"/>
    <n v="705"/>
    <n v="78"/>
    <n v="677"/>
    <n v="1000"/>
    <n v="6"/>
    <n v="503"/>
    <n v="791"/>
    <n v="254"/>
    <n v="651"/>
    <n v="6025"/>
    <n v="36798.300000000003"/>
    <n v="64304.100000000006"/>
    <n v="0"/>
    <n v="52409.700000000004"/>
    <n v="5798.52"/>
    <n v="50328.18"/>
    <n v="74340"/>
    <n v="446.04"/>
    <n v="37393.020000000004"/>
    <n v="58802.94"/>
    <n v="18882.36"/>
    <n v="48395.340000000004"/>
    <n v="447898.5"/>
  </r>
  <r>
    <n v="264"/>
    <s v="Product_264"/>
    <x v="2"/>
    <n v="261.57"/>
    <n v="2.8"/>
    <n v="382"/>
    <n v="657"/>
    <n v="62"/>
    <n v="43"/>
    <n v="924"/>
    <n v="235"/>
    <n v="398"/>
    <n v="894"/>
    <n v="638"/>
    <n v="643"/>
    <n v="666"/>
    <n v="475"/>
    <n v="175"/>
    <n v="5810"/>
    <n v="171851.49"/>
    <n v="16217.34"/>
    <n v="11247.51"/>
    <n v="241690.68"/>
    <n v="61468.95"/>
    <n v="104104.86"/>
    <n v="233843.58"/>
    <n v="166881.66"/>
    <n v="168189.51"/>
    <n v="174205.62"/>
    <n v="124245.75"/>
    <n v="45774.75"/>
    <n v="1519721.7000000002"/>
  </r>
  <r>
    <n v="265"/>
    <s v="Product_265"/>
    <x v="1"/>
    <n v="439.3"/>
    <n v="1"/>
    <n v="645"/>
    <n v="767"/>
    <n v="661"/>
    <n v="738"/>
    <n v="851"/>
    <n v="333"/>
    <n v="772"/>
    <n v="454"/>
    <n v="935"/>
    <n v="36"/>
    <n v="164"/>
    <n v="805"/>
    <n v="926"/>
    <n v="7442"/>
    <n v="336943.10000000003"/>
    <n v="290377.3"/>
    <n v="324203.40000000002"/>
    <n v="373844.3"/>
    <n v="146286.9"/>
    <n v="339139.60000000003"/>
    <n v="199442.2"/>
    <n v="410745.5"/>
    <n v="15814.800000000001"/>
    <n v="72045.2"/>
    <n v="353636.5"/>
    <n v="406791.8"/>
    <n v="3269270.5999999996"/>
  </r>
  <r>
    <n v="266"/>
    <s v="Product_266"/>
    <x v="0"/>
    <n v="371.68"/>
    <n v="1.3"/>
    <n v="227"/>
    <n v="973"/>
    <n v="511"/>
    <n v="842"/>
    <n v="325"/>
    <n v="888"/>
    <n v="220"/>
    <n v="927"/>
    <n v="91"/>
    <n v="643"/>
    <n v="997"/>
    <n v="416"/>
    <n v="619"/>
    <n v="7452"/>
    <n v="361644.64"/>
    <n v="189928.48"/>
    <n v="312954.56"/>
    <n v="120796"/>
    <n v="330051.84000000003"/>
    <n v="81769.600000000006"/>
    <n v="344547.36"/>
    <n v="33822.879999999997"/>
    <n v="238990.24"/>
    <n v="370564.96"/>
    <n v="154618.88"/>
    <n v="230069.92"/>
    <n v="2769759.36"/>
  </r>
  <r>
    <n v="267"/>
    <s v="Product_267"/>
    <x v="2"/>
    <n v="350.02"/>
    <n v="2.6"/>
    <n v="701"/>
    <n v="226"/>
    <n v="138"/>
    <n v="97"/>
    <n v="7"/>
    <n v="348"/>
    <n v="594"/>
    <n v="643"/>
    <n v="934"/>
    <n v="588"/>
    <n v="733"/>
    <n v="169"/>
    <n v="210"/>
    <n v="4687"/>
    <n v="79104.51999999999"/>
    <n v="48302.759999999995"/>
    <n v="33951.939999999995"/>
    <n v="2450.14"/>
    <n v="121806.95999999999"/>
    <n v="207911.87999999998"/>
    <n v="225062.86"/>
    <n v="326918.68"/>
    <n v="205811.75999999998"/>
    <n v="256564.65999999997"/>
    <n v="59153.38"/>
    <n v="73504.2"/>
    <n v="1640543.7399999998"/>
  </r>
  <r>
    <n v="268"/>
    <s v="Product_268"/>
    <x v="4"/>
    <n v="352.73"/>
    <n v="2.9"/>
    <n v="476"/>
    <n v="235"/>
    <n v="697"/>
    <n v="719"/>
    <n v="28"/>
    <n v="97"/>
    <n v="181"/>
    <n v="275"/>
    <n v="189"/>
    <n v="600"/>
    <n v="90"/>
    <n v="316"/>
    <n v="446"/>
    <n v="3873"/>
    <n v="82891.55"/>
    <n v="245852.81000000003"/>
    <n v="253612.87000000002"/>
    <n v="9876.44"/>
    <n v="34214.810000000005"/>
    <n v="63844.130000000005"/>
    <n v="97000.75"/>
    <n v="66665.97"/>
    <n v="211638"/>
    <n v="31745.7"/>
    <n v="111462.68000000001"/>
    <n v="157317.58000000002"/>
    <n v="1366123.29"/>
  </r>
  <r>
    <n v="269"/>
    <s v="Product_269"/>
    <x v="6"/>
    <n v="182.95"/>
    <n v="3.4"/>
    <n v="477"/>
    <n v="872"/>
    <n v="184"/>
    <n v="264"/>
    <n v="111"/>
    <n v="81"/>
    <n v="306"/>
    <n v="497"/>
    <n v="870"/>
    <n v="972"/>
    <n v="166"/>
    <n v="173"/>
    <n v="585"/>
    <n v="5081"/>
    <n v="159532.4"/>
    <n v="33662.799999999996"/>
    <n v="48298.799999999996"/>
    <n v="20307.449999999997"/>
    <n v="14818.949999999999"/>
    <n v="55982.7"/>
    <n v="90926.15"/>
    <n v="159166.5"/>
    <n v="177827.4"/>
    <n v="30369.699999999997"/>
    <n v="31650.35"/>
    <n v="107025.75"/>
    <n v="929568.95"/>
  </r>
  <r>
    <n v="270"/>
    <s v="Product_270"/>
    <x v="0"/>
    <n v="150.33000000000001"/>
    <n v="2.2000000000000002"/>
    <n v="265"/>
    <n v="891"/>
    <n v="204"/>
    <n v="799"/>
    <n v="946"/>
    <n v="501"/>
    <n v="521"/>
    <n v="628"/>
    <n v="475"/>
    <n v="401"/>
    <n v="958"/>
    <n v="469"/>
    <n v="166"/>
    <n v="6959"/>
    <n v="133944.03"/>
    <n v="30667.320000000003"/>
    <n v="120113.67000000001"/>
    <n v="142212.18000000002"/>
    <n v="75315.33"/>
    <n v="78321.930000000008"/>
    <n v="94407.24"/>
    <n v="71406.75"/>
    <n v="60282.33"/>
    <n v="144016.14000000001"/>
    <n v="70504.77"/>
    <n v="24954.780000000002"/>
    <n v="1046146.4700000001"/>
  </r>
  <r>
    <n v="271"/>
    <s v="Product_271"/>
    <x v="3"/>
    <n v="405.63"/>
    <n v="3.8"/>
    <n v="372"/>
    <n v="454"/>
    <n v="771"/>
    <n v="782"/>
    <n v="672"/>
    <n v="966"/>
    <n v="395"/>
    <n v="675"/>
    <n v="510"/>
    <n v="764"/>
    <n v="206"/>
    <n v="344"/>
    <n v="459"/>
    <n v="6998"/>
    <n v="184156.02"/>
    <n v="312740.73"/>
    <n v="317202.65999999997"/>
    <n v="272583.36"/>
    <n v="391838.58"/>
    <n v="160223.85"/>
    <n v="273800.25"/>
    <n v="206871.3"/>
    <n v="309901.32"/>
    <n v="83559.78"/>
    <n v="139536.72"/>
    <n v="186184.16999999998"/>
    <n v="2838598.7399999998"/>
  </r>
  <r>
    <n v="272"/>
    <s v="Product_272"/>
    <x v="3"/>
    <n v="406.01"/>
    <n v="4.4000000000000004"/>
    <n v="486"/>
    <n v="1000"/>
    <n v="213"/>
    <n v="139"/>
    <n v="130"/>
    <n v="476"/>
    <n v="3"/>
    <n v="799"/>
    <n v="461"/>
    <n v="855"/>
    <n v="281"/>
    <n v="444"/>
    <n v="915"/>
    <n v="5716"/>
    <n v="406010"/>
    <n v="86480.13"/>
    <n v="56435.39"/>
    <n v="52781.299999999996"/>
    <n v="193260.76"/>
    <n v="1218.03"/>
    <n v="324401.99"/>
    <n v="187170.61"/>
    <n v="347138.55"/>
    <n v="114088.81"/>
    <n v="180268.44"/>
    <n v="371499.14999999997"/>
    <n v="2320753.16"/>
  </r>
  <r>
    <n v="273"/>
    <s v="Product_273"/>
    <x v="0"/>
    <n v="434.2"/>
    <n v="4.0999999999999996"/>
    <n v="434"/>
    <n v="12"/>
    <n v="255"/>
    <n v="480"/>
    <n v="187"/>
    <n v="926"/>
    <n v="862"/>
    <n v="27"/>
    <n v="52"/>
    <n v="705"/>
    <n v="64"/>
    <n v="17"/>
    <n v="356"/>
    <n v="3943"/>
    <n v="5210.3999999999996"/>
    <n v="110721"/>
    <n v="208416"/>
    <n v="81195.399999999994"/>
    <n v="402069.2"/>
    <n v="374280.39999999997"/>
    <n v="11723.4"/>
    <n v="22578.399999999998"/>
    <n v="306111"/>
    <n v="27788.799999999999"/>
    <n v="7381.4"/>
    <n v="154575.19999999998"/>
    <n v="1712050.5999999996"/>
  </r>
  <r>
    <n v="274"/>
    <s v="Product_274"/>
    <x v="3"/>
    <n v="457.05"/>
    <n v="1.2"/>
    <n v="646"/>
    <n v="209"/>
    <n v="134"/>
    <n v="236"/>
    <n v="674"/>
    <n v="703"/>
    <n v="913"/>
    <n v="332"/>
    <n v="753"/>
    <n v="175"/>
    <n v="887"/>
    <n v="69"/>
    <n v="303"/>
    <n v="5388"/>
    <n v="95523.45"/>
    <n v="61244.700000000004"/>
    <n v="107863.8"/>
    <n v="308051.7"/>
    <n v="321306.15000000002"/>
    <n v="417286.65"/>
    <n v="151740.6"/>
    <n v="344158.65"/>
    <n v="79983.75"/>
    <n v="405403.35000000003"/>
    <n v="31536.45"/>
    <n v="138486.15"/>
    <n v="2462585.4000000004"/>
  </r>
  <r>
    <n v="275"/>
    <s v="Product_275"/>
    <x v="5"/>
    <n v="258.11"/>
    <n v="2.9"/>
    <n v="211"/>
    <n v="740"/>
    <n v="572"/>
    <n v="973"/>
    <n v="708"/>
    <n v="764"/>
    <n v="847"/>
    <n v="0"/>
    <n v="485"/>
    <n v="544"/>
    <n v="515"/>
    <n v="337"/>
    <n v="232"/>
    <n v="6717"/>
    <n v="191001.40000000002"/>
    <n v="147638.92000000001"/>
    <n v="251141.03"/>
    <n v="182741.88"/>
    <n v="197196.04"/>
    <n v="218619.17"/>
    <n v="0"/>
    <n v="125183.35"/>
    <n v="140411.84"/>
    <n v="132926.65"/>
    <n v="86983.07"/>
    <n v="59881.520000000004"/>
    <n v="1733724.8700000003"/>
  </r>
  <r>
    <n v="276"/>
    <s v="Product_276"/>
    <x v="0"/>
    <n v="253.25"/>
    <n v="1.4"/>
    <n v="572"/>
    <n v="396"/>
    <n v="874"/>
    <n v="952"/>
    <n v="474"/>
    <n v="920"/>
    <n v="999"/>
    <n v="187"/>
    <n v="643"/>
    <n v="569"/>
    <n v="156"/>
    <n v="627"/>
    <n v="326"/>
    <n v="7123"/>
    <n v="100287"/>
    <n v="221340.5"/>
    <n v="241094"/>
    <n v="120040.5"/>
    <n v="232990"/>
    <n v="252996.75"/>
    <n v="47357.75"/>
    <n v="162839.75"/>
    <n v="144099.25"/>
    <n v="39507"/>
    <n v="158787.75"/>
    <n v="82559.5"/>
    <n v="1803899.75"/>
  </r>
  <r>
    <n v="277"/>
    <s v="Product_277"/>
    <x v="4"/>
    <n v="400.16"/>
    <n v="2"/>
    <n v="940"/>
    <n v="99"/>
    <n v="821"/>
    <n v="903"/>
    <n v="363"/>
    <n v="549"/>
    <n v="803"/>
    <n v="55"/>
    <n v="489"/>
    <n v="466"/>
    <n v="760"/>
    <n v="591"/>
    <n v="883"/>
    <n v="6782"/>
    <n v="39615.840000000004"/>
    <n v="328531.36000000004"/>
    <n v="361344.48000000004"/>
    <n v="145258.08000000002"/>
    <n v="219687.84000000003"/>
    <n v="321328.48000000004"/>
    <n v="22008.800000000003"/>
    <n v="195678.24000000002"/>
    <n v="186474.56"/>
    <n v="304121.60000000003"/>
    <n v="236494.56000000003"/>
    <n v="353341.28"/>
    <n v="2713885.12"/>
  </r>
  <r>
    <n v="278"/>
    <s v="Product_278"/>
    <x v="0"/>
    <n v="326.73"/>
    <n v="4.9000000000000004"/>
    <n v="377"/>
    <n v="30"/>
    <n v="87"/>
    <n v="71"/>
    <n v="203"/>
    <n v="13"/>
    <n v="280"/>
    <n v="546"/>
    <n v="977"/>
    <n v="200"/>
    <n v="768"/>
    <n v="526"/>
    <n v="181"/>
    <n v="3882"/>
    <n v="9801.9000000000015"/>
    <n v="28425.510000000002"/>
    <n v="23197.83"/>
    <n v="66326.19"/>
    <n v="4247.49"/>
    <n v="91484.400000000009"/>
    <n v="178394.58000000002"/>
    <n v="319215.21000000002"/>
    <n v="65346"/>
    <n v="250928.64000000001"/>
    <n v="171859.98"/>
    <n v="59138.130000000005"/>
    <n v="1268365.8600000003"/>
  </r>
  <r>
    <n v="279"/>
    <s v="Product_279"/>
    <x v="2"/>
    <n v="352.47"/>
    <n v="1.6"/>
    <n v="395"/>
    <n v="897"/>
    <n v="835"/>
    <n v="666"/>
    <n v="211"/>
    <n v="391"/>
    <n v="214"/>
    <n v="111"/>
    <n v="363"/>
    <n v="539"/>
    <n v="746"/>
    <n v="687"/>
    <n v="633"/>
    <n v="6293"/>
    <n v="316165.59000000003"/>
    <n v="294312.45"/>
    <n v="234745.02000000002"/>
    <n v="74371.170000000013"/>
    <n v="137815.77000000002"/>
    <n v="75428.58"/>
    <n v="39124.170000000006"/>
    <n v="127946.61000000002"/>
    <n v="189981.33000000002"/>
    <n v="262942.62"/>
    <n v="242146.89"/>
    <n v="223113.51"/>
    <n v="2218093.71"/>
  </r>
  <r>
    <n v="280"/>
    <s v="Product_280"/>
    <x v="2"/>
    <n v="398.92"/>
    <n v="3"/>
    <n v="450"/>
    <n v="527"/>
    <n v="987"/>
    <n v="189"/>
    <n v="620"/>
    <n v="346"/>
    <n v="971"/>
    <n v="797"/>
    <n v="111"/>
    <n v="546"/>
    <n v="305"/>
    <n v="455"/>
    <n v="333"/>
    <n v="6187"/>
    <n v="210230.84"/>
    <n v="393734.04000000004"/>
    <n v="75395.88"/>
    <n v="247330.40000000002"/>
    <n v="138026.32"/>
    <n v="387351.32"/>
    <n v="317939.24"/>
    <n v="44280.12"/>
    <n v="217810.32"/>
    <n v="121670.6"/>
    <n v="181508.6"/>
    <n v="132840.36000000002"/>
    <n v="2468118.04"/>
  </r>
  <r>
    <n v="281"/>
    <s v="Product_281"/>
    <x v="1"/>
    <n v="445.55"/>
    <n v="3.5"/>
    <n v="943"/>
    <n v="648"/>
    <n v="206"/>
    <n v="267"/>
    <n v="275"/>
    <n v="309"/>
    <n v="609"/>
    <n v="309"/>
    <n v="408"/>
    <n v="998"/>
    <n v="877"/>
    <n v="268"/>
    <n v="714"/>
    <n v="5888"/>
    <n v="288716.40000000002"/>
    <n v="91783.3"/>
    <n v="118961.85"/>
    <n v="122526.25"/>
    <n v="137674.95000000001"/>
    <n v="271339.95"/>
    <n v="137674.95000000001"/>
    <n v="181784.4"/>
    <n v="444658.9"/>
    <n v="390747.35000000003"/>
    <n v="119407.40000000001"/>
    <n v="318122.7"/>
    <n v="2623398.4"/>
  </r>
  <r>
    <n v="282"/>
    <s v="Product_282"/>
    <x v="3"/>
    <n v="172.31"/>
    <n v="3.8"/>
    <n v="364"/>
    <n v="328"/>
    <n v="128"/>
    <n v="320"/>
    <n v="72"/>
    <n v="385"/>
    <n v="419"/>
    <n v="35"/>
    <n v="6"/>
    <n v="636"/>
    <n v="981"/>
    <n v="630"/>
    <n v="966"/>
    <n v="4906"/>
    <n v="56517.68"/>
    <n v="22055.68"/>
    <n v="55139.199999999997"/>
    <n v="12406.32"/>
    <n v="66339.350000000006"/>
    <n v="72197.89"/>
    <n v="6030.85"/>
    <n v="1033.8600000000001"/>
    <n v="109589.16"/>
    <n v="169036.11000000002"/>
    <n v="108555.3"/>
    <n v="166451.46"/>
    <n v="845352.86"/>
  </r>
  <r>
    <n v="283"/>
    <s v="Product_283"/>
    <x v="6"/>
    <n v="190.91"/>
    <n v="3.2"/>
    <n v="876"/>
    <n v="165"/>
    <n v="822"/>
    <n v="106"/>
    <n v="678"/>
    <n v="208"/>
    <n v="100"/>
    <n v="438"/>
    <n v="741"/>
    <n v="393"/>
    <n v="394"/>
    <n v="810"/>
    <n v="28"/>
    <n v="4883"/>
    <n v="31500.149999999998"/>
    <n v="156928.01999999999"/>
    <n v="20236.46"/>
    <n v="129436.98"/>
    <n v="39709.279999999999"/>
    <n v="19091"/>
    <n v="83618.58"/>
    <n v="141464.31"/>
    <n v="75027.63"/>
    <n v="75218.539999999994"/>
    <n v="154637.1"/>
    <n v="5345.48"/>
    <n v="932213.53"/>
  </r>
  <r>
    <n v="284"/>
    <s v="Product_284"/>
    <x v="3"/>
    <n v="51.52"/>
    <n v="1"/>
    <n v="457"/>
    <n v="458"/>
    <n v="2"/>
    <n v="231"/>
    <n v="771"/>
    <n v="356"/>
    <n v="962"/>
    <n v="728"/>
    <n v="667"/>
    <n v="832"/>
    <n v="73"/>
    <n v="187"/>
    <n v="713"/>
    <n v="5980"/>
    <n v="23596.16"/>
    <n v="103.04"/>
    <n v="11901.12"/>
    <n v="39721.920000000006"/>
    <n v="18341.120000000003"/>
    <n v="49562.240000000005"/>
    <n v="37506.560000000005"/>
    <n v="34363.840000000004"/>
    <n v="42864.639999999999"/>
    <n v="3760.96"/>
    <n v="9634.24"/>
    <n v="36733.760000000002"/>
    <n v="308089.60000000003"/>
  </r>
  <r>
    <n v="285"/>
    <s v="Product_285"/>
    <x v="5"/>
    <n v="291.25"/>
    <n v="2.2999999999999998"/>
    <n v="725"/>
    <n v="821"/>
    <n v="973"/>
    <n v="41"/>
    <n v="242"/>
    <n v="973"/>
    <n v="520"/>
    <n v="591"/>
    <n v="196"/>
    <n v="41"/>
    <n v="186"/>
    <n v="568"/>
    <n v="92"/>
    <n v="5244"/>
    <n v="239116.25"/>
    <n v="283386.25"/>
    <n v="11941.25"/>
    <n v="70482.5"/>
    <n v="283386.25"/>
    <n v="151450"/>
    <n v="172128.75"/>
    <n v="57085"/>
    <n v="11941.25"/>
    <n v="54172.5"/>
    <n v="165430"/>
    <n v="26795"/>
    <n v="1527315"/>
  </r>
  <r>
    <n v="286"/>
    <s v="Product_286"/>
    <x v="0"/>
    <n v="22.79"/>
    <n v="3.1"/>
    <n v="728"/>
    <n v="951"/>
    <n v="933"/>
    <n v="701"/>
    <n v="786"/>
    <n v="600"/>
    <n v="572"/>
    <n v="825"/>
    <n v="834"/>
    <n v="596"/>
    <n v="573"/>
    <n v="710"/>
    <n v="840"/>
    <n v="8921"/>
    <n v="21673.29"/>
    <n v="21263.07"/>
    <n v="15975.789999999999"/>
    <n v="17912.939999999999"/>
    <n v="13674"/>
    <n v="13035.88"/>
    <n v="18801.75"/>
    <n v="19006.86"/>
    <n v="13582.84"/>
    <n v="13058.67"/>
    <n v="16180.9"/>
    <n v="19143.599999999999"/>
    <n v="203309.59000000003"/>
  </r>
  <r>
    <n v="287"/>
    <s v="Product_287"/>
    <x v="6"/>
    <n v="235.47"/>
    <n v="1.4"/>
    <n v="226"/>
    <n v="981"/>
    <n v="753"/>
    <n v="882"/>
    <n v="101"/>
    <n v="567"/>
    <n v="308"/>
    <n v="594"/>
    <n v="875"/>
    <n v="392"/>
    <n v="336"/>
    <n v="528"/>
    <n v="867"/>
    <n v="7184"/>
    <n v="230996.07"/>
    <n v="177308.91"/>
    <n v="207684.54"/>
    <n v="23782.47"/>
    <n v="133511.49"/>
    <n v="72524.759999999995"/>
    <n v="139869.18"/>
    <n v="206036.25"/>
    <n v="92304.24"/>
    <n v="79117.919999999998"/>
    <n v="124328.16"/>
    <n v="204152.49"/>
    <n v="1691616.4799999997"/>
  </r>
  <r>
    <n v="288"/>
    <s v="Product_288"/>
    <x v="6"/>
    <n v="273.61"/>
    <n v="2.4"/>
    <n v="982"/>
    <n v="992"/>
    <n v="120"/>
    <n v="138"/>
    <n v="986"/>
    <n v="93"/>
    <n v="657"/>
    <n v="576"/>
    <n v="734"/>
    <n v="699"/>
    <n v="675"/>
    <n v="433"/>
    <n v="687"/>
    <n v="6790"/>
    <n v="271421.12"/>
    <n v="32833.200000000004"/>
    <n v="37758.18"/>
    <n v="269779.46000000002"/>
    <n v="25445.73"/>
    <n v="179761.77000000002"/>
    <n v="157599.36000000002"/>
    <n v="200829.74000000002"/>
    <n v="191253.39"/>
    <n v="184686.75"/>
    <n v="118473.13"/>
    <n v="187970.07"/>
    <n v="1857811.9000000001"/>
  </r>
  <r>
    <n v="289"/>
    <s v="Product_289"/>
    <x v="3"/>
    <n v="146.84"/>
    <n v="1.1000000000000001"/>
    <n v="131"/>
    <n v="99"/>
    <n v="384"/>
    <n v="614"/>
    <n v="684"/>
    <n v="92"/>
    <n v="938"/>
    <n v="324"/>
    <n v="366"/>
    <n v="622"/>
    <n v="567"/>
    <n v="287"/>
    <n v="329"/>
    <n v="5306"/>
    <n v="14537.16"/>
    <n v="56386.559999999998"/>
    <n v="90159.760000000009"/>
    <n v="100438.56"/>
    <n v="13509.28"/>
    <n v="137735.92000000001"/>
    <n v="47576.160000000003"/>
    <n v="53743.44"/>
    <n v="91334.48"/>
    <n v="83258.28"/>
    <n v="42143.08"/>
    <n v="48310.36"/>
    <n v="779133.04"/>
  </r>
  <r>
    <n v="290"/>
    <s v="Product_290"/>
    <x v="6"/>
    <n v="297.45999999999998"/>
    <n v="1.3"/>
    <n v="588"/>
    <n v="620"/>
    <n v="613"/>
    <n v="682"/>
    <n v="170"/>
    <n v="339"/>
    <n v="930"/>
    <n v="639"/>
    <n v="249"/>
    <n v="782"/>
    <n v="622"/>
    <n v="917"/>
    <n v="722"/>
    <n v="7285"/>
    <n v="184425.19999999998"/>
    <n v="182342.97999999998"/>
    <n v="202867.71999999997"/>
    <n v="50568.2"/>
    <n v="100838.93999999999"/>
    <n v="276637.8"/>
    <n v="190076.93999999997"/>
    <n v="74067.539999999994"/>
    <n v="232613.71999999997"/>
    <n v="185020.12"/>
    <n v="272770.82"/>
    <n v="214766.12"/>
    <n v="2166996.0999999996"/>
  </r>
  <r>
    <n v="291"/>
    <s v="Product_291"/>
    <x v="6"/>
    <n v="20.100000000000001"/>
    <n v="2.6"/>
    <n v="476"/>
    <n v="854"/>
    <n v="37"/>
    <n v="862"/>
    <n v="652"/>
    <n v="596"/>
    <n v="509"/>
    <n v="306"/>
    <n v="915"/>
    <n v="994"/>
    <n v="729"/>
    <n v="566"/>
    <n v="183"/>
    <n v="7203"/>
    <n v="17165.400000000001"/>
    <n v="743.7"/>
    <n v="17326.2"/>
    <n v="13105.2"/>
    <n v="11979.6"/>
    <n v="10230.900000000001"/>
    <n v="6150.6"/>
    <n v="18391.5"/>
    <n v="19979.400000000001"/>
    <n v="14652.900000000001"/>
    <n v="11376.6"/>
    <n v="3678.3"/>
    <n v="144780.29999999999"/>
  </r>
  <r>
    <n v="292"/>
    <s v="Product_292"/>
    <x v="2"/>
    <n v="23.49"/>
    <n v="1.5"/>
    <n v="798"/>
    <n v="172"/>
    <n v="340"/>
    <n v="272"/>
    <n v="908"/>
    <n v="444"/>
    <n v="62"/>
    <n v="533"/>
    <n v="594"/>
    <n v="440"/>
    <n v="239"/>
    <n v="498"/>
    <n v="94"/>
    <n v="4596"/>
    <n v="4040.2799999999997"/>
    <n v="7986.5999999999995"/>
    <n v="6389.28"/>
    <n v="21328.92"/>
    <n v="10429.56"/>
    <n v="1456.3799999999999"/>
    <n v="12520.17"/>
    <n v="13953.06"/>
    <n v="10335.599999999999"/>
    <n v="5614.11"/>
    <n v="11698.019999999999"/>
    <n v="2208.06"/>
    <n v="107960.04000000001"/>
  </r>
  <r>
    <n v="293"/>
    <s v="Product_293"/>
    <x v="4"/>
    <n v="412.19"/>
    <n v="3.3"/>
    <n v="986"/>
    <n v="748"/>
    <n v="924"/>
    <n v="480"/>
    <n v="187"/>
    <n v="756"/>
    <n v="632"/>
    <n v="727"/>
    <n v="239"/>
    <n v="836"/>
    <n v="532"/>
    <n v="440"/>
    <n v="784"/>
    <n v="7285"/>
    <n v="308318.12"/>
    <n v="380863.56"/>
    <n v="197851.2"/>
    <n v="77079.53"/>
    <n v="311615.64"/>
    <n v="260504.08"/>
    <n v="299662.13"/>
    <n v="98513.41"/>
    <n v="344590.84"/>
    <n v="219285.08"/>
    <n v="181363.6"/>
    <n v="323156.96000000002"/>
    <n v="3002804.15"/>
  </r>
  <r>
    <n v="294"/>
    <s v="Product_294"/>
    <x v="0"/>
    <n v="183.29"/>
    <n v="3.8"/>
    <n v="277"/>
    <n v="161"/>
    <n v="644"/>
    <n v="415"/>
    <n v="440"/>
    <n v="21"/>
    <n v="225"/>
    <n v="618"/>
    <n v="379"/>
    <n v="616"/>
    <n v="140"/>
    <n v="780"/>
    <n v="648"/>
    <n v="5087"/>
    <n v="29509.69"/>
    <n v="118038.76"/>
    <n v="76065.349999999991"/>
    <n v="80647.599999999991"/>
    <n v="3849.0899999999997"/>
    <n v="41240.25"/>
    <n v="113273.22"/>
    <n v="69466.91"/>
    <n v="112906.64"/>
    <n v="25660.6"/>
    <n v="142966.19999999998"/>
    <n v="118771.92"/>
    <n v="932396.23"/>
  </r>
  <r>
    <n v="295"/>
    <s v="Product_295"/>
    <x v="3"/>
    <n v="67.89"/>
    <n v="4.2"/>
    <n v="156"/>
    <n v="904"/>
    <n v="713"/>
    <n v="505"/>
    <n v="85"/>
    <n v="290"/>
    <n v="104"/>
    <n v="108"/>
    <n v="906"/>
    <n v="505"/>
    <n v="264"/>
    <n v="302"/>
    <n v="748"/>
    <n v="5434"/>
    <n v="61372.56"/>
    <n v="48405.57"/>
    <n v="34284.449999999997"/>
    <n v="5770.65"/>
    <n v="19688.099999999999"/>
    <n v="7060.56"/>
    <n v="7332.12"/>
    <n v="61508.340000000004"/>
    <n v="34284.449999999997"/>
    <n v="17922.96"/>
    <n v="20502.78"/>
    <n v="50781.72"/>
    <n v="368914.26"/>
  </r>
  <r>
    <n v="296"/>
    <s v="Product_296"/>
    <x v="2"/>
    <n v="263.51"/>
    <n v="1.8"/>
    <n v="760"/>
    <n v="727"/>
    <n v="859"/>
    <n v="732"/>
    <n v="475"/>
    <n v="484"/>
    <n v="973"/>
    <n v="371"/>
    <n v="871"/>
    <n v="917"/>
    <n v="138"/>
    <n v="86"/>
    <n v="352"/>
    <n v="6985"/>
    <n v="191571.77"/>
    <n v="226355.09"/>
    <n v="192889.32"/>
    <n v="125167.25"/>
    <n v="127538.84"/>
    <n v="256395.22999999998"/>
    <n v="97762.209999999992"/>
    <n v="229517.21"/>
    <n v="241638.66999999998"/>
    <n v="36364.379999999997"/>
    <n v="22661.86"/>
    <n v="92755.51999999999"/>
    <n v="1840617.3499999999"/>
  </r>
  <r>
    <n v="297"/>
    <s v="Product_297"/>
    <x v="5"/>
    <n v="386.15"/>
    <n v="1.7"/>
    <n v="218"/>
    <n v="775"/>
    <n v="20"/>
    <n v="724"/>
    <n v="51"/>
    <n v="783"/>
    <n v="771"/>
    <n v="356"/>
    <n v="834"/>
    <n v="319"/>
    <n v="458"/>
    <n v="829"/>
    <n v="929"/>
    <n v="6849"/>
    <n v="299266.25"/>
    <n v="7723"/>
    <n v="279572.59999999998"/>
    <n v="19693.649999999998"/>
    <n v="302355.44999999995"/>
    <n v="297721.64999999997"/>
    <n v="137469.4"/>
    <n v="322049.09999999998"/>
    <n v="123181.84999999999"/>
    <n v="176856.69999999998"/>
    <n v="320118.34999999998"/>
    <n v="358733.35"/>
    <n v="2644741.3499999996"/>
  </r>
  <r>
    <n v="298"/>
    <s v="Product_298"/>
    <x v="5"/>
    <n v="111.83"/>
    <n v="1.4"/>
    <n v="190"/>
    <n v="262"/>
    <n v="241"/>
    <n v="852"/>
    <n v="110"/>
    <n v="305"/>
    <n v="860"/>
    <n v="180"/>
    <n v="470"/>
    <n v="552"/>
    <n v="69"/>
    <n v="437"/>
    <n v="940"/>
    <n v="5278"/>
    <n v="29299.46"/>
    <n v="26951.03"/>
    <n v="95279.16"/>
    <n v="12301.3"/>
    <n v="34108.15"/>
    <n v="96173.8"/>
    <n v="20129.400000000001"/>
    <n v="52560.1"/>
    <n v="61730.159999999996"/>
    <n v="7716.2699999999995"/>
    <n v="48869.71"/>
    <n v="105120.2"/>
    <n v="590238.74"/>
  </r>
  <r>
    <n v="299"/>
    <s v="Product_299"/>
    <x v="1"/>
    <n v="313.33"/>
    <n v="3.5"/>
    <n v="417"/>
    <n v="803"/>
    <n v="454"/>
    <n v="423"/>
    <n v="948"/>
    <n v="633"/>
    <n v="424"/>
    <n v="355"/>
    <n v="774"/>
    <n v="214"/>
    <n v="384"/>
    <n v="540"/>
    <n v="983"/>
    <n v="6935"/>
    <n v="251603.99"/>
    <n v="142251.82"/>
    <n v="132538.59"/>
    <n v="297036.83999999997"/>
    <n v="198337.88999999998"/>
    <n v="132851.91999999998"/>
    <n v="111232.15"/>
    <n v="242517.41999999998"/>
    <n v="67052.62"/>
    <n v="120318.72"/>
    <n v="169198.19999999998"/>
    <n v="308003.38999999996"/>
    <n v="2172943.5499999998"/>
  </r>
  <r>
    <n v="300"/>
    <s v="Product_300"/>
    <x v="6"/>
    <n v="47.25"/>
    <n v="3.8"/>
    <n v="981"/>
    <n v="273"/>
    <n v="962"/>
    <n v="406"/>
    <n v="876"/>
    <n v="127"/>
    <n v="254"/>
    <n v="675"/>
    <n v="918"/>
    <n v="70"/>
    <n v="629"/>
    <n v="21"/>
    <n v="264"/>
    <n v="5475"/>
    <n v="12899.25"/>
    <n v="45454.5"/>
    <n v="19183.5"/>
    <n v="41391"/>
    <n v="6000.75"/>
    <n v="12001.5"/>
    <n v="31893.75"/>
    <n v="43375.5"/>
    <n v="3307.5"/>
    <n v="29720.25"/>
    <n v="992.25"/>
    <n v="12474"/>
    <n v="258693.75"/>
  </r>
  <r>
    <n v="301"/>
    <s v="Product_301"/>
    <x v="6"/>
    <n v="30.58"/>
    <n v="1.1000000000000001"/>
    <n v="675"/>
    <n v="2"/>
    <n v="620"/>
    <n v="567"/>
    <n v="853"/>
    <n v="624"/>
    <n v="428"/>
    <n v="67"/>
    <n v="700"/>
    <n v="567"/>
    <n v="197"/>
    <n v="832"/>
    <n v="646"/>
    <n v="6103"/>
    <n v="61.16"/>
    <n v="18959.599999999999"/>
    <n v="17338.86"/>
    <n v="26084.739999999998"/>
    <n v="19081.919999999998"/>
    <n v="13088.24"/>
    <n v="2048.8599999999997"/>
    <n v="21406"/>
    <n v="17338.86"/>
    <n v="6024.2599999999993"/>
    <n v="25442.559999999998"/>
    <n v="19754.68"/>
    <n v="186629.74"/>
  </r>
  <r>
    <n v="302"/>
    <s v="Product_302"/>
    <x v="3"/>
    <n v="268.02"/>
    <n v="4.7"/>
    <n v="692"/>
    <n v="27"/>
    <n v="302"/>
    <n v="389"/>
    <n v="42"/>
    <n v="938"/>
    <n v="433"/>
    <n v="291"/>
    <n v="454"/>
    <n v="918"/>
    <n v="204"/>
    <n v="796"/>
    <n v="655"/>
    <n v="5449"/>
    <n v="7236.5399999999991"/>
    <n v="80942.039999999994"/>
    <n v="104259.78"/>
    <n v="11256.84"/>
    <n v="251402.75999999998"/>
    <n v="116052.65999999999"/>
    <n v="77993.819999999992"/>
    <n v="121681.07999999999"/>
    <n v="246042.36"/>
    <n v="54676.079999999994"/>
    <n v="213343.91999999998"/>
    <n v="175553.09999999998"/>
    <n v="1460440.98"/>
  </r>
  <r>
    <n v="303"/>
    <s v="Product_303"/>
    <x v="4"/>
    <n v="272.61"/>
    <n v="1.2"/>
    <n v="546"/>
    <n v="325"/>
    <n v="595"/>
    <n v="341"/>
    <n v="210"/>
    <n v="272"/>
    <n v="206"/>
    <n v="691"/>
    <n v="365"/>
    <n v="235"/>
    <n v="725"/>
    <n v="559"/>
    <n v="18"/>
    <n v="4542"/>
    <n v="88598.25"/>
    <n v="162202.95000000001"/>
    <n v="92960.010000000009"/>
    <n v="57248.100000000006"/>
    <n v="74149.919999999998"/>
    <n v="56157.66"/>
    <n v="188373.51"/>
    <n v="99502.650000000009"/>
    <n v="64063.350000000006"/>
    <n v="197642.25"/>
    <n v="152388.99000000002"/>
    <n v="4906.9800000000005"/>
    <n v="1238194.6199999999"/>
  </r>
  <r>
    <n v="304"/>
    <s v="Product_304"/>
    <x v="4"/>
    <n v="320.52999999999997"/>
    <n v="3.2"/>
    <n v="41"/>
    <n v="939"/>
    <n v="594"/>
    <n v="945"/>
    <n v="967"/>
    <n v="847"/>
    <n v="27"/>
    <n v="180"/>
    <n v="289"/>
    <n v="280"/>
    <n v="567"/>
    <n v="516"/>
    <n v="742"/>
    <n v="6893"/>
    <n v="300977.67"/>
    <n v="190394.81999999998"/>
    <n v="302900.84999999998"/>
    <n v="309952.50999999995"/>
    <n v="271488.90999999997"/>
    <n v="8654.31"/>
    <n v="57695.399999999994"/>
    <n v="92633.17"/>
    <n v="89748.4"/>
    <n v="181740.50999999998"/>
    <n v="165393.47999999998"/>
    <n v="237833.25999999998"/>
    <n v="2209413.2899999996"/>
  </r>
  <r>
    <n v="305"/>
    <s v="Product_305"/>
    <x v="3"/>
    <n v="364.42"/>
    <n v="3.8"/>
    <n v="307"/>
    <n v="148"/>
    <n v="802"/>
    <n v="613"/>
    <n v="199"/>
    <n v="441"/>
    <n v="681"/>
    <n v="465"/>
    <n v="873"/>
    <n v="986"/>
    <n v="798"/>
    <n v="761"/>
    <n v="645"/>
    <n v="7412"/>
    <n v="53934.16"/>
    <n v="292264.84000000003"/>
    <n v="223389.46000000002"/>
    <n v="72519.58"/>
    <n v="160709.22"/>
    <n v="248170.02000000002"/>
    <n v="169455.30000000002"/>
    <n v="318138.66000000003"/>
    <n v="359318.12"/>
    <n v="290807.16000000003"/>
    <n v="277323.62"/>
    <n v="235050.90000000002"/>
    <n v="2701081.04"/>
  </r>
  <r>
    <n v="306"/>
    <s v="Product_306"/>
    <x v="3"/>
    <n v="488.05"/>
    <n v="4.5"/>
    <n v="943"/>
    <n v="539"/>
    <n v="963"/>
    <n v="932"/>
    <n v="809"/>
    <n v="502"/>
    <n v="335"/>
    <n v="433"/>
    <n v="402"/>
    <n v="616"/>
    <n v="981"/>
    <n v="674"/>
    <n v="625"/>
    <n v="7811"/>
    <n v="263058.95"/>
    <n v="469992.15"/>
    <n v="454862.60000000003"/>
    <n v="394832.45"/>
    <n v="245001.1"/>
    <n v="163496.75"/>
    <n v="211325.65"/>
    <n v="196196.1"/>
    <n v="300638.8"/>
    <n v="478777.05"/>
    <n v="328945.7"/>
    <n v="305031.25"/>
    <n v="3812158.5500000003"/>
  </r>
  <r>
    <n v="307"/>
    <s v="Product_307"/>
    <x v="2"/>
    <n v="260.57"/>
    <n v="3.9"/>
    <n v="338"/>
    <n v="487"/>
    <n v="68"/>
    <n v="492"/>
    <n v="857"/>
    <n v="129"/>
    <n v="587"/>
    <n v="463"/>
    <n v="57"/>
    <n v="901"/>
    <n v="804"/>
    <n v="502"/>
    <n v="498"/>
    <n v="5845"/>
    <n v="126897.59"/>
    <n v="17718.759999999998"/>
    <n v="128200.44"/>
    <n v="223308.49"/>
    <n v="33613.53"/>
    <n v="152954.59"/>
    <n v="120643.91"/>
    <n v="14852.49"/>
    <n v="234773.57"/>
    <n v="209498.28"/>
    <n v="130806.14"/>
    <n v="129763.86"/>
    <n v="1523031.6500000001"/>
  </r>
  <r>
    <n v="308"/>
    <s v="Product_308"/>
    <x v="5"/>
    <n v="164.86"/>
    <n v="4.2"/>
    <n v="314"/>
    <n v="821"/>
    <n v="128"/>
    <n v="191"/>
    <n v="751"/>
    <n v="131"/>
    <n v="627"/>
    <n v="680"/>
    <n v="520"/>
    <n v="886"/>
    <n v="686"/>
    <n v="713"/>
    <n v="138"/>
    <n v="6272"/>
    <n v="135350.06"/>
    <n v="21102.080000000002"/>
    <n v="31488.260000000002"/>
    <n v="123809.86000000002"/>
    <n v="21596.660000000003"/>
    <n v="103367.22000000002"/>
    <n v="112104.8"/>
    <n v="85727.200000000012"/>
    <n v="146065.96000000002"/>
    <n v="113093.96"/>
    <n v="117545.18000000001"/>
    <n v="22750.68"/>
    <n v="1034001.9200000002"/>
  </r>
  <r>
    <n v="309"/>
    <s v="Product_309"/>
    <x v="3"/>
    <n v="398.62"/>
    <n v="2.4"/>
    <n v="75"/>
    <n v="437"/>
    <n v="195"/>
    <n v="498"/>
    <n v="626"/>
    <n v="596"/>
    <n v="68"/>
    <n v="913"/>
    <n v="303"/>
    <n v="161"/>
    <n v="858"/>
    <n v="466"/>
    <n v="636"/>
    <n v="5757"/>
    <n v="174196.94"/>
    <n v="77730.899999999994"/>
    <n v="198512.76"/>
    <n v="249536.12"/>
    <n v="237577.52"/>
    <n v="27106.16"/>
    <n v="363940.06"/>
    <n v="120781.86"/>
    <n v="64177.82"/>
    <n v="342015.96"/>
    <n v="185756.92"/>
    <n v="253522.32"/>
    <n v="2294855.34"/>
  </r>
  <r>
    <n v="310"/>
    <s v="Product_310"/>
    <x v="5"/>
    <n v="139.06"/>
    <n v="4.3"/>
    <n v="953"/>
    <n v="64"/>
    <n v="139"/>
    <n v="821"/>
    <n v="25"/>
    <n v="934"/>
    <n v="865"/>
    <n v="533"/>
    <n v="114"/>
    <n v="190"/>
    <n v="881"/>
    <n v="100"/>
    <n v="715"/>
    <n v="5381"/>
    <n v="8899.84"/>
    <n v="19329.34"/>
    <n v="114168.26"/>
    <n v="3476.5"/>
    <n v="129882.04000000001"/>
    <n v="120286.90000000001"/>
    <n v="74118.98"/>
    <n v="15852.84"/>
    <n v="26421.4"/>
    <n v="122511.86"/>
    <n v="13906"/>
    <n v="99427.900000000009"/>
    <n v="748281.8600000001"/>
  </r>
  <r>
    <n v="311"/>
    <s v="Product_311"/>
    <x v="1"/>
    <n v="222.29"/>
    <n v="1.3"/>
    <n v="279"/>
    <n v="355"/>
    <n v="443"/>
    <n v="711"/>
    <n v="918"/>
    <n v="481"/>
    <n v="745"/>
    <n v="65"/>
    <n v="209"/>
    <n v="8"/>
    <n v="973"/>
    <n v="582"/>
    <n v="572"/>
    <n v="6062"/>
    <n v="78912.95"/>
    <n v="98474.47"/>
    <n v="158048.19"/>
    <n v="204062.22"/>
    <n v="106921.48999999999"/>
    <n v="165606.04999999999"/>
    <n v="14448.85"/>
    <n v="46458.61"/>
    <n v="1778.32"/>
    <n v="216288.16999999998"/>
    <n v="129372.78"/>
    <n v="127149.87999999999"/>
    <n v="1347521.9799999997"/>
  </r>
  <r>
    <n v="312"/>
    <s v="Product_312"/>
    <x v="5"/>
    <n v="43.84"/>
    <n v="4.5999999999999996"/>
    <n v="176"/>
    <n v="532"/>
    <n v="282"/>
    <n v="232"/>
    <n v="298"/>
    <n v="861"/>
    <n v="512"/>
    <n v="20"/>
    <n v="40"/>
    <n v="59"/>
    <n v="639"/>
    <n v="941"/>
    <n v="761"/>
    <n v="5177"/>
    <n v="23322.880000000001"/>
    <n v="12362.880000000001"/>
    <n v="10170.880000000001"/>
    <n v="13064.320000000002"/>
    <n v="37746.240000000005"/>
    <n v="22446.080000000002"/>
    <n v="876.80000000000007"/>
    <n v="1753.6000000000001"/>
    <n v="2586.5600000000004"/>
    <n v="28013.760000000002"/>
    <n v="41253.440000000002"/>
    <n v="33362.240000000005"/>
    <n v="226959.68000000005"/>
  </r>
  <r>
    <n v="313"/>
    <s v="Product_313"/>
    <x v="2"/>
    <n v="17.55"/>
    <n v="3.2"/>
    <n v="896"/>
    <n v="251"/>
    <n v="311"/>
    <n v="944"/>
    <n v="76"/>
    <n v="389"/>
    <n v="166"/>
    <n v="611"/>
    <n v="815"/>
    <n v="892"/>
    <n v="430"/>
    <n v="674"/>
    <n v="809"/>
    <n v="6368"/>
    <n v="4405.05"/>
    <n v="5458.05"/>
    <n v="16567.2"/>
    <n v="1333.8"/>
    <n v="6826.9500000000007"/>
    <n v="2913.3"/>
    <n v="10723.050000000001"/>
    <n v="14303.25"/>
    <n v="15654.6"/>
    <n v="7546.5"/>
    <n v="11828.7"/>
    <n v="14197.95"/>
    <n v="111758.40000000001"/>
  </r>
  <r>
    <n v="314"/>
    <s v="Product_314"/>
    <x v="6"/>
    <n v="481.51"/>
    <n v="4.3"/>
    <n v="662"/>
    <n v="234"/>
    <n v="745"/>
    <n v="226"/>
    <n v="923"/>
    <n v="592"/>
    <n v="863"/>
    <n v="383"/>
    <n v="172"/>
    <n v="816"/>
    <n v="889"/>
    <n v="684"/>
    <n v="524"/>
    <n v="7051"/>
    <n v="112673.34"/>
    <n v="358724.95"/>
    <n v="108821.26"/>
    <n v="444433.73"/>
    <n v="285053.92"/>
    <n v="415543.13"/>
    <n v="184418.33"/>
    <n v="82819.72"/>
    <n v="392912.16"/>
    <n v="428062.39"/>
    <n v="329352.83999999997"/>
    <n v="252311.24"/>
    <n v="3395127.01"/>
  </r>
  <r>
    <n v="315"/>
    <s v="Product_315"/>
    <x v="6"/>
    <n v="418.81"/>
    <n v="2.8"/>
    <n v="273"/>
    <n v="226"/>
    <n v="534"/>
    <n v="370"/>
    <n v="136"/>
    <n v="998"/>
    <n v="729"/>
    <n v="811"/>
    <n v="233"/>
    <n v="224"/>
    <n v="324"/>
    <n v="140"/>
    <n v="907"/>
    <n v="5632"/>
    <n v="94651.06"/>
    <n v="223644.54"/>
    <n v="154959.70000000001"/>
    <n v="56958.16"/>
    <n v="417972.38"/>
    <n v="305312.49"/>
    <n v="339654.91"/>
    <n v="97582.73"/>
    <n v="93813.440000000002"/>
    <n v="135694.44"/>
    <n v="58633.4"/>
    <n v="379860.67"/>
    <n v="2358737.9199999999"/>
  </r>
  <r>
    <n v="316"/>
    <s v="Product_316"/>
    <x v="5"/>
    <n v="349.51"/>
    <n v="3.6"/>
    <n v="837"/>
    <n v="524"/>
    <n v="664"/>
    <n v="138"/>
    <n v="19"/>
    <n v="984"/>
    <n v="784"/>
    <n v="614"/>
    <n v="792"/>
    <n v="818"/>
    <n v="441"/>
    <n v="137"/>
    <n v="254"/>
    <n v="6169"/>
    <n v="183143.24"/>
    <n v="232074.63999999998"/>
    <n v="48232.38"/>
    <n v="6640.69"/>
    <n v="343917.83999999997"/>
    <n v="274015.83999999997"/>
    <n v="214599.13999999998"/>
    <n v="276811.92"/>
    <n v="285899.18"/>
    <n v="154133.91"/>
    <n v="47882.869999999995"/>
    <n v="88775.54"/>
    <n v="2156127.1899999995"/>
  </r>
  <r>
    <n v="317"/>
    <s v="Product_317"/>
    <x v="6"/>
    <n v="207.43"/>
    <n v="3.1"/>
    <n v="620"/>
    <n v="312"/>
    <n v="276"/>
    <n v="855"/>
    <n v="439"/>
    <n v="324"/>
    <n v="367"/>
    <n v="558"/>
    <n v="883"/>
    <n v="699"/>
    <n v="803"/>
    <n v="577"/>
    <n v="84"/>
    <n v="6177"/>
    <n v="64718.16"/>
    <n v="57250.68"/>
    <n v="177352.65"/>
    <n v="91061.77"/>
    <n v="67207.320000000007"/>
    <n v="76126.81"/>
    <n v="115745.94"/>
    <n v="183160.69"/>
    <n v="144993.57"/>
    <n v="166566.29"/>
    <n v="119687.11"/>
    <n v="17424.12"/>
    <n v="1281295.1100000003"/>
  </r>
  <r>
    <n v="318"/>
    <s v="Product_318"/>
    <x v="6"/>
    <n v="90.78"/>
    <n v="3.9"/>
    <n v="651"/>
    <n v="48"/>
    <n v="60"/>
    <n v="816"/>
    <n v="210"/>
    <n v="68"/>
    <n v="250"/>
    <n v="38"/>
    <n v="589"/>
    <n v="581"/>
    <n v="287"/>
    <n v="709"/>
    <n v="457"/>
    <n v="4113"/>
    <n v="4357.4400000000005"/>
    <n v="5446.8"/>
    <n v="74076.479999999996"/>
    <n v="19063.8"/>
    <n v="6173.04"/>
    <n v="22695"/>
    <n v="3449.64"/>
    <n v="53469.42"/>
    <n v="52743.18"/>
    <n v="26053.86"/>
    <n v="64363.020000000004"/>
    <n v="41486.46"/>
    <n v="373378.14"/>
  </r>
  <r>
    <n v="319"/>
    <s v="Product_319"/>
    <x v="0"/>
    <n v="82.44"/>
    <n v="1.3"/>
    <n v="862"/>
    <n v="117"/>
    <n v="318"/>
    <n v="148"/>
    <n v="751"/>
    <n v="659"/>
    <n v="858"/>
    <n v="284"/>
    <n v="619"/>
    <n v="804"/>
    <n v="225"/>
    <n v="839"/>
    <n v="531"/>
    <n v="6153"/>
    <n v="9645.48"/>
    <n v="26215.919999999998"/>
    <n v="12201.119999999999"/>
    <n v="61912.439999999995"/>
    <n v="54327.96"/>
    <n v="70733.52"/>
    <n v="23412.959999999999"/>
    <n v="51030.36"/>
    <n v="66281.759999999995"/>
    <n v="18549"/>
    <n v="69167.16"/>
    <n v="43775.64"/>
    <n v="507253.32000000007"/>
  </r>
  <r>
    <n v="320"/>
    <s v="Product_320"/>
    <x v="1"/>
    <n v="128.87"/>
    <n v="1.2"/>
    <n v="783"/>
    <n v="53"/>
    <n v="889"/>
    <n v="114"/>
    <n v="550"/>
    <n v="447"/>
    <n v="855"/>
    <n v="821"/>
    <n v="792"/>
    <n v="286"/>
    <n v="63"/>
    <n v="227"/>
    <n v="561"/>
    <n v="5658"/>
    <n v="6830.1100000000006"/>
    <n v="114565.43000000001"/>
    <n v="14691.18"/>
    <n v="70878.5"/>
    <n v="57604.89"/>
    <n v="110183.85"/>
    <n v="105802.27"/>
    <n v="102065.04000000001"/>
    <n v="36856.82"/>
    <n v="8118.81"/>
    <n v="29253.49"/>
    <n v="72296.070000000007"/>
    <n v="729146.46"/>
  </r>
  <r>
    <n v="321"/>
    <s v="Product_321"/>
    <x v="2"/>
    <n v="276.87"/>
    <n v="2"/>
    <n v="859"/>
    <n v="649"/>
    <n v="51"/>
    <n v="449"/>
    <n v="434"/>
    <n v="527"/>
    <n v="930"/>
    <n v="601"/>
    <n v="402"/>
    <n v="993"/>
    <n v="966"/>
    <n v="280"/>
    <n v="675"/>
    <n v="6957"/>
    <n v="179688.63"/>
    <n v="14120.37"/>
    <n v="124314.63"/>
    <n v="120161.58"/>
    <n v="145910.49"/>
    <n v="257489.1"/>
    <n v="166398.87"/>
    <n v="111301.74"/>
    <n v="274931.91000000003"/>
    <n v="267456.42"/>
    <n v="77523.600000000006"/>
    <n v="186887.25"/>
    <n v="1926184.5899999999"/>
  </r>
  <r>
    <n v="322"/>
    <s v="Product_322"/>
    <x v="2"/>
    <n v="358.72"/>
    <n v="1.6"/>
    <n v="931"/>
    <n v="564"/>
    <n v="855"/>
    <n v="62"/>
    <n v="779"/>
    <n v="818"/>
    <n v="685"/>
    <n v="596"/>
    <n v="38"/>
    <n v="168"/>
    <n v="937"/>
    <n v="683"/>
    <n v="91"/>
    <n v="6276"/>
    <n v="202318.08000000002"/>
    <n v="306705.60000000003"/>
    <n v="22240.640000000003"/>
    <n v="279442.88"/>
    <n v="293432.96000000002"/>
    <n v="245723.2"/>
    <n v="213797.12000000002"/>
    <n v="13631.36"/>
    <n v="60264.960000000006"/>
    <n v="336120.64"/>
    <n v="245005.76"/>
    <n v="32643.520000000004"/>
    <n v="2251326.7200000002"/>
  </r>
  <r>
    <n v="323"/>
    <s v="Product_323"/>
    <x v="6"/>
    <n v="331.8"/>
    <n v="4.5"/>
    <n v="289"/>
    <n v="43"/>
    <n v="152"/>
    <n v="103"/>
    <n v="206"/>
    <n v="616"/>
    <n v="169"/>
    <n v="784"/>
    <n v="118"/>
    <n v="61"/>
    <n v="559"/>
    <n v="827"/>
    <n v="599"/>
    <n v="4237"/>
    <n v="14267.4"/>
    <n v="50433.599999999999"/>
    <n v="34175.4"/>
    <n v="68350.8"/>
    <n v="204388.80000000002"/>
    <n v="56074.200000000004"/>
    <n v="260131.20000000001"/>
    <n v="39152.400000000001"/>
    <n v="20239.8"/>
    <n v="185476.2"/>
    <n v="274398.60000000003"/>
    <n v="198748.2"/>
    <n v="1405836.6"/>
  </r>
  <r>
    <n v="324"/>
    <s v="Product_324"/>
    <x v="4"/>
    <n v="143.57"/>
    <n v="1.9"/>
    <n v="724"/>
    <n v="814"/>
    <n v="748"/>
    <n v="850"/>
    <n v="990"/>
    <n v="164"/>
    <n v="757"/>
    <n v="335"/>
    <n v="334"/>
    <n v="348"/>
    <n v="713"/>
    <n v="430"/>
    <n v="68"/>
    <n v="6551"/>
    <n v="116865.98"/>
    <n v="107390.36"/>
    <n v="122034.5"/>
    <n v="142134.29999999999"/>
    <n v="23545.48"/>
    <n v="108682.48999999999"/>
    <n v="48095.95"/>
    <n v="47952.38"/>
    <n v="49962.36"/>
    <n v="102365.40999999999"/>
    <n v="61735.1"/>
    <n v="9762.76"/>
    <n v="940527.06999999983"/>
  </r>
  <r>
    <n v="325"/>
    <s v="Product_325"/>
    <x v="2"/>
    <n v="477.66"/>
    <n v="4.9000000000000004"/>
    <n v="893"/>
    <n v="52"/>
    <n v="310"/>
    <n v="870"/>
    <n v="438"/>
    <n v="487"/>
    <n v="934"/>
    <n v="187"/>
    <n v="335"/>
    <n v="441"/>
    <n v="497"/>
    <n v="39"/>
    <n v="36"/>
    <n v="4626"/>
    <n v="24838.32"/>
    <n v="148074.6"/>
    <n v="415564.2"/>
    <n v="209215.08000000002"/>
    <n v="232620.42"/>
    <n v="446134.44"/>
    <n v="89322.42"/>
    <n v="160016.1"/>
    <n v="210648.06"/>
    <n v="237397.02000000002"/>
    <n v="18628.740000000002"/>
    <n v="17195.760000000002"/>
    <n v="2209655.16"/>
  </r>
  <r>
    <n v="326"/>
    <s v="Product_326"/>
    <x v="1"/>
    <n v="370.26"/>
    <n v="2.2999999999999998"/>
    <n v="272"/>
    <n v="585"/>
    <n v="813"/>
    <n v="667"/>
    <n v="973"/>
    <n v="712"/>
    <n v="89"/>
    <n v="670"/>
    <n v="538"/>
    <n v="13"/>
    <n v="848"/>
    <n v="518"/>
    <n v="764"/>
    <n v="7190"/>
    <n v="216602.1"/>
    <n v="301021.38"/>
    <n v="246963.41999999998"/>
    <n v="360262.98"/>
    <n v="263625.12"/>
    <n v="32953.14"/>
    <n v="248074.19999999998"/>
    <n v="199199.88"/>
    <n v="4813.38"/>
    <n v="313980.48"/>
    <n v="191794.68"/>
    <n v="282878.64"/>
    <n v="2662169.4"/>
  </r>
  <r>
    <n v="327"/>
    <s v="Product_327"/>
    <x v="3"/>
    <n v="279.41000000000003"/>
    <n v="1.7"/>
    <n v="930"/>
    <n v="557"/>
    <n v="543"/>
    <n v="272"/>
    <n v="778"/>
    <n v="708"/>
    <n v="560"/>
    <n v="242"/>
    <n v="615"/>
    <n v="163"/>
    <n v="925"/>
    <n v="685"/>
    <n v="763"/>
    <n v="6811"/>
    <n v="155631.37000000002"/>
    <n v="151719.63"/>
    <n v="75999.520000000004"/>
    <n v="217380.98"/>
    <n v="197822.28000000003"/>
    <n v="156469.6"/>
    <n v="67617.22"/>
    <n v="171837.15000000002"/>
    <n v="45543.83"/>
    <n v="258454.25000000003"/>
    <n v="191395.85"/>
    <n v="213189.83000000002"/>
    <n v="1903061.5100000002"/>
  </r>
  <r>
    <n v="328"/>
    <s v="Product_328"/>
    <x v="1"/>
    <n v="307.8"/>
    <n v="4.2"/>
    <n v="66"/>
    <n v="524"/>
    <n v="566"/>
    <n v="5"/>
    <n v="665"/>
    <n v="425"/>
    <n v="445"/>
    <n v="72"/>
    <n v="73"/>
    <n v="419"/>
    <n v="916"/>
    <n v="662"/>
    <n v="139"/>
    <n v="4911"/>
    <n v="161287.20000000001"/>
    <n v="174214.80000000002"/>
    <n v="1539"/>
    <n v="204687"/>
    <n v="130815"/>
    <n v="136971"/>
    <n v="22161.600000000002"/>
    <n v="22469.4"/>
    <n v="128968.20000000001"/>
    <n v="281944.8"/>
    <n v="203763.6"/>
    <n v="42784.200000000004"/>
    <n v="1511605.8"/>
  </r>
  <r>
    <n v="329"/>
    <s v="Product_329"/>
    <x v="6"/>
    <n v="212.7"/>
    <n v="3.6"/>
    <n v="483"/>
    <n v="676"/>
    <n v="863"/>
    <n v="146"/>
    <n v="41"/>
    <n v="696"/>
    <n v="293"/>
    <n v="478"/>
    <n v="190"/>
    <n v="756"/>
    <n v="59"/>
    <n v="210"/>
    <n v="866"/>
    <n v="5274"/>
    <n v="143785.19999999998"/>
    <n v="183560.09999999998"/>
    <n v="31054.199999999997"/>
    <n v="8720.6999999999989"/>
    <n v="148039.19999999998"/>
    <n v="62321.1"/>
    <n v="101670.59999999999"/>
    <n v="40413"/>
    <n v="160801.19999999998"/>
    <n v="12549.3"/>
    <n v="44667"/>
    <n v="184198.19999999998"/>
    <n v="1121779.7999999998"/>
  </r>
  <r>
    <n v="330"/>
    <s v="Product_330"/>
    <x v="6"/>
    <n v="127.63"/>
    <n v="3"/>
    <n v="936"/>
    <n v="101"/>
    <n v="388"/>
    <n v="183"/>
    <n v="410"/>
    <n v="833"/>
    <n v="918"/>
    <n v="973"/>
    <n v="323"/>
    <n v="846"/>
    <n v="396"/>
    <n v="301"/>
    <n v="892"/>
    <n v="6564"/>
    <n v="12890.63"/>
    <n v="49520.439999999995"/>
    <n v="23356.29"/>
    <n v="52328.299999999996"/>
    <n v="106315.79"/>
    <n v="117164.34"/>
    <n v="124183.98999999999"/>
    <n v="41224.49"/>
    <n v="107974.98"/>
    <n v="50541.479999999996"/>
    <n v="38416.629999999997"/>
    <n v="113845.95999999999"/>
    <n v="837763.31999999983"/>
  </r>
  <r>
    <n v="331"/>
    <s v="Product_331"/>
    <x v="0"/>
    <n v="181.21"/>
    <n v="3.2"/>
    <n v="248"/>
    <n v="791"/>
    <n v="547"/>
    <n v="997"/>
    <n v="522"/>
    <n v="264"/>
    <n v="149"/>
    <n v="560"/>
    <n v="146"/>
    <n v="519"/>
    <n v="256"/>
    <n v="85"/>
    <n v="679"/>
    <n v="5515"/>
    <n v="143337.11000000002"/>
    <n v="99121.87000000001"/>
    <n v="180666.37"/>
    <n v="94591.62000000001"/>
    <n v="47839.44"/>
    <n v="27000.29"/>
    <n v="101477.6"/>
    <n v="26456.66"/>
    <n v="94047.99"/>
    <n v="46389.760000000002"/>
    <n v="15402.85"/>
    <n v="123041.59000000001"/>
    <n v="999373.15"/>
  </r>
  <r>
    <n v="332"/>
    <s v="Product_332"/>
    <x v="5"/>
    <n v="380.13"/>
    <n v="3.9"/>
    <n v="156"/>
    <n v="769"/>
    <n v="621"/>
    <n v="27"/>
    <n v="805"/>
    <n v="874"/>
    <n v="131"/>
    <n v="100"/>
    <n v="766"/>
    <n v="665"/>
    <n v="576"/>
    <n v="396"/>
    <n v="565"/>
    <n v="6295"/>
    <n v="292319.96999999997"/>
    <n v="236060.73"/>
    <n v="10263.51"/>
    <n v="306004.65000000002"/>
    <n v="332233.62"/>
    <n v="49797.03"/>
    <n v="38013"/>
    <n v="291179.58"/>
    <n v="252786.44999999998"/>
    <n v="218954.88"/>
    <n v="150531.48000000001"/>
    <n v="214773.45"/>
    <n v="2392918.35"/>
  </r>
  <r>
    <n v="333"/>
    <s v="Product_333"/>
    <x v="2"/>
    <n v="12.12"/>
    <n v="1.9"/>
    <n v="47"/>
    <n v="981"/>
    <n v="176"/>
    <n v="961"/>
    <n v="609"/>
    <n v="611"/>
    <n v="432"/>
    <n v="513"/>
    <n v="283"/>
    <n v="547"/>
    <n v="238"/>
    <n v="252"/>
    <n v="897"/>
    <n v="6500"/>
    <n v="11889.72"/>
    <n v="2133.12"/>
    <n v="11647.32"/>
    <n v="7381.08"/>
    <n v="7405.32"/>
    <n v="5235.8399999999992"/>
    <n v="6217.5599999999995"/>
    <n v="3429.9599999999996"/>
    <n v="6629.6399999999994"/>
    <n v="2884.56"/>
    <n v="3054.24"/>
    <n v="10871.64"/>
    <n v="78779.999999999985"/>
  </r>
  <r>
    <n v="334"/>
    <s v="Product_334"/>
    <x v="5"/>
    <n v="62.46"/>
    <n v="5"/>
    <n v="935"/>
    <n v="848"/>
    <n v="361"/>
    <n v="549"/>
    <n v="426"/>
    <n v="341"/>
    <n v="58"/>
    <n v="755"/>
    <n v="212"/>
    <n v="559"/>
    <n v="800"/>
    <n v="532"/>
    <n v="177"/>
    <n v="5618"/>
    <n v="52966.080000000002"/>
    <n v="22548.06"/>
    <n v="34290.54"/>
    <n v="26607.96"/>
    <n v="21298.86"/>
    <n v="3622.68"/>
    <n v="47157.3"/>
    <n v="13241.52"/>
    <n v="34915.14"/>
    <n v="49968"/>
    <n v="33228.720000000001"/>
    <n v="11055.42"/>
    <n v="350900.27999999997"/>
  </r>
  <r>
    <n v="335"/>
    <s v="Product_335"/>
    <x v="5"/>
    <n v="27.77"/>
    <n v="4.9000000000000004"/>
    <n v="454"/>
    <n v="867"/>
    <n v="313"/>
    <n v="118"/>
    <n v="274"/>
    <n v="831"/>
    <n v="968"/>
    <n v="175"/>
    <n v="634"/>
    <n v="596"/>
    <n v="37"/>
    <n v="768"/>
    <n v="808"/>
    <n v="6389"/>
    <n v="24076.59"/>
    <n v="8692.01"/>
    <n v="3276.86"/>
    <n v="7608.98"/>
    <n v="23076.87"/>
    <n v="26881.360000000001"/>
    <n v="4859.75"/>
    <n v="17606.18"/>
    <n v="16550.919999999998"/>
    <n v="1027.49"/>
    <n v="21327.360000000001"/>
    <n v="22438.16"/>
    <n v="177422.53"/>
  </r>
  <r>
    <n v="336"/>
    <s v="Product_336"/>
    <x v="2"/>
    <n v="25.16"/>
    <n v="3.6"/>
    <n v="201"/>
    <n v="397"/>
    <n v="806"/>
    <n v="292"/>
    <n v="447"/>
    <n v="725"/>
    <n v="835"/>
    <n v="237"/>
    <n v="717"/>
    <n v="27"/>
    <n v="24"/>
    <n v="890"/>
    <n v="812"/>
    <n v="6209"/>
    <n v="9988.52"/>
    <n v="20278.96"/>
    <n v="7346.72"/>
    <n v="11246.52"/>
    <n v="18241"/>
    <n v="21008.6"/>
    <n v="5962.92"/>
    <n v="18039.72"/>
    <n v="679.32"/>
    <n v="603.84"/>
    <n v="22392.400000000001"/>
    <n v="20429.920000000002"/>
    <n v="156218.44000000003"/>
  </r>
  <r>
    <n v="337"/>
    <s v="Product_337"/>
    <x v="2"/>
    <n v="428.45"/>
    <n v="1.8"/>
    <n v="660"/>
    <n v="137"/>
    <n v="847"/>
    <n v="370"/>
    <n v="901"/>
    <n v="277"/>
    <n v="198"/>
    <n v="909"/>
    <n v="928"/>
    <n v="707"/>
    <n v="409"/>
    <n v="914"/>
    <n v="870"/>
    <n v="7467"/>
    <n v="58697.65"/>
    <n v="362897.14999999997"/>
    <n v="158526.5"/>
    <n v="386033.45"/>
    <n v="118680.65"/>
    <n v="84833.099999999991"/>
    <n v="389461.05"/>
    <n v="397601.6"/>
    <n v="302914.14999999997"/>
    <n v="175236.05"/>
    <n v="391603.3"/>
    <n v="372751.5"/>
    <n v="3199236.1499999994"/>
  </r>
  <r>
    <n v="338"/>
    <s v="Product_338"/>
    <x v="6"/>
    <n v="353.31"/>
    <n v="3.7"/>
    <n v="124"/>
    <n v="674"/>
    <n v="96"/>
    <n v="243"/>
    <n v="941"/>
    <n v="673"/>
    <n v="214"/>
    <n v="58"/>
    <n v="751"/>
    <n v="445"/>
    <n v="460"/>
    <n v="380"/>
    <n v="617"/>
    <n v="5552"/>
    <n v="238130.94"/>
    <n v="33917.760000000002"/>
    <n v="85854.33"/>
    <n v="332464.71000000002"/>
    <n v="237777.63"/>
    <n v="75608.34"/>
    <n v="20491.98"/>
    <n v="265335.81"/>
    <n v="157222.95000000001"/>
    <n v="162522.6"/>
    <n v="134257.79999999999"/>
    <n v="217992.27"/>
    <n v="1961577.12"/>
  </r>
  <r>
    <n v="339"/>
    <s v="Product_339"/>
    <x v="2"/>
    <n v="239.72"/>
    <n v="1.3"/>
    <n v="1"/>
    <n v="920"/>
    <n v="880"/>
    <n v="579"/>
    <n v="883"/>
    <n v="438"/>
    <n v="897"/>
    <n v="864"/>
    <n v="393"/>
    <n v="207"/>
    <n v="570"/>
    <n v="443"/>
    <n v="136"/>
    <n v="7210"/>
    <n v="220542.4"/>
    <n v="210953.60000000001"/>
    <n v="138797.88"/>
    <n v="211672.76"/>
    <n v="104997.36"/>
    <n v="215028.84"/>
    <n v="207118.07999999999"/>
    <n v="94209.96"/>
    <n v="49622.04"/>
    <n v="136640.4"/>
    <n v="106195.96"/>
    <n v="32601.919999999998"/>
    <n v="1728381.2"/>
  </r>
  <r>
    <n v="340"/>
    <s v="Product_340"/>
    <x v="4"/>
    <n v="53.43"/>
    <n v="1.1000000000000001"/>
    <n v="968"/>
    <n v="386"/>
    <n v="212"/>
    <n v="725"/>
    <n v="741"/>
    <n v="156"/>
    <n v="560"/>
    <n v="98"/>
    <n v="338"/>
    <n v="469"/>
    <n v="987"/>
    <n v="32"/>
    <n v="189"/>
    <n v="4893"/>
    <n v="20623.98"/>
    <n v="11327.16"/>
    <n v="38736.75"/>
    <n v="39591.629999999997"/>
    <n v="8335.08"/>
    <n v="29920.799999999999"/>
    <n v="5236.1400000000003"/>
    <n v="18059.34"/>
    <n v="25058.67"/>
    <n v="52735.409999999996"/>
    <n v="1709.76"/>
    <n v="10098.27"/>
    <n v="261432.99"/>
  </r>
  <r>
    <n v="341"/>
    <s v="Product_341"/>
    <x v="4"/>
    <n v="248.35"/>
    <n v="2"/>
    <n v="759"/>
    <n v="110"/>
    <n v="828"/>
    <n v="217"/>
    <n v="368"/>
    <n v="421"/>
    <n v="471"/>
    <n v="953"/>
    <n v="797"/>
    <n v="715"/>
    <n v="416"/>
    <n v="259"/>
    <n v="639"/>
    <n v="6194"/>
    <n v="27318.5"/>
    <n v="205633.8"/>
    <n v="53891.95"/>
    <n v="91392.8"/>
    <n v="104555.34999999999"/>
    <n v="116972.84999999999"/>
    <n v="236677.55"/>
    <n v="197934.94999999998"/>
    <n v="177570.25"/>
    <n v="103313.59999999999"/>
    <n v="64322.65"/>
    <n v="158695.65"/>
    <n v="1538279.9"/>
  </r>
  <r>
    <n v="342"/>
    <s v="Product_342"/>
    <x v="3"/>
    <n v="239.37"/>
    <n v="2.9"/>
    <n v="855"/>
    <n v="613"/>
    <n v="136"/>
    <n v="176"/>
    <n v="937"/>
    <n v="250"/>
    <n v="743"/>
    <n v="870"/>
    <n v="21"/>
    <n v="975"/>
    <n v="356"/>
    <n v="233"/>
    <n v="341"/>
    <n v="5651"/>
    <n v="146733.81"/>
    <n v="32554.32"/>
    <n v="42129.120000000003"/>
    <n v="224289.69"/>
    <n v="59842.5"/>
    <n v="177851.91"/>
    <n v="208251.9"/>
    <n v="5026.7700000000004"/>
    <n v="233385.75"/>
    <n v="85215.72"/>
    <n v="55773.21"/>
    <n v="81625.17"/>
    <n v="1352679.8699999999"/>
  </r>
  <r>
    <n v="343"/>
    <s v="Product_343"/>
    <x v="2"/>
    <n v="90.73"/>
    <n v="4.5"/>
    <n v="640"/>
    <n v="16"/>
    <n v="5"/>
    <n v="298"/>
    <n v="219"/>
    <n v="877"/>
    <n v="246"/>
    <n v="953"/>
    <n v="770"/>
    <n v="818"/>
    <n v="382"/>
    <n v="514"/>
    <n v="558"/>
    <n v="5656"/>
    <n v="1451.68"/>
    <n v="453.65000000000003"/>
    <n v="27037.54"/>
    <n v="19869.870000000003"/>
    <n v="79570.210000000006"/>
    <n v="22319.58"/>
    <n v="86465.69"/>
    <n v="69862.100000000006"/>
    <n v="74217.14"/>
    <n v="34658.86"/>
    <n v="46635.22"/>
    <n v="50627.340000000004"/>
    <n v="513168.88000000006"/>
  </r>
  <r>
    <n v="344"/>
    <s v="Product_344"/>
    <x v="0"/>
    <n v="219.76"/>
    <n v="3.9"/>
    <n v="191"/>
    <n v="779"/>
    <n v="108"/>
    <n v="675"/>
    <n v="576"/>
    <n v="608"/>
    <n v="381"/>
    <n v="494"/>
    <n v="868"/>
    <n v="103"/>
    <n v="808"/>
    <n v="858"/>
    <n v="4"/>
    <n v="6262"/>
    <n v="171193.03999999998"/>
    <n v="23734.079999999998"/>
    <n v="148338"/>
    <n v="126581.75999999999"/>
    <n v="133614.07999999999"/>
    <n v="83728.56"/>
    <n v="108561.44"/>
    <n v="190751.68"/>
    <n v="22635.279999999999"/>
    <n v="177566.07999999999"/>
    <n v="188554.08"/>
    <n v="879.04"/>
    <n v="1376137.12"/>
  </r>
  <r>
    <n v="345"/>
    <s v="Product_345"/>
    <x v="3"/>
    <n v="202.26"/>
    <n v="4"/>
    <n v="579"/>
    <n v="181"/>
    <n v="546"/>
    <n v="57"/>
    <n v="866"/>
    <n v="529"/>
    <n v="990"/>
    <n v="946"/>
    <n v="104"/>
    <n v="741"/>
    <n v="157"/>
    <n v="307"/>
    <n v="971"/>
    <n v="6395"/>
    <n v="36609.06"/>
    <n v="110433.95999999999"/>
    <n v="11528.82"/>
    <n v="175157.16"/>
    <n v="106995.54"/>
    <n v="200237.4"/>
    <n v="191337.96"/>
    <n v="21035.040000000001"/>
    <n v="149874.66"/>
    <n v="31754.82"/>
    <n v="62093.82"/>
    <n v="196394.46"/>
    <n v="1293452.7"/>
  </r>
  <r>
    <n v="346"/>
    <s v="Product_346"/>
    <x v="6"/>
    <n v="309.85000000000002"/>
    <n v="2.7"/>
    <n v="516"/>
    <n v="883"/>
    <n v="38"/>
    <n v="268"/>
    <n v="231"/>
    <n v="326"/>
    <n v="238"/>
    <n v="979"/>
    <n v="465"/>
    <n v="425"/>
    <n v="568"/>
    <n v="1000"/>
    <n v="256"/>
    <n v="5677"/>
    <n v="273597.55000000005"/>
    <n v="11774.300000000001"/>
    <n v="83039.8"/>
    <n v="71575.350000000006"/>
    <n v="101011.1"/>
    <n v="73744.3"/>
    <n v="303343.15000000002"/>
    <n v="144080.25"/>
    <n v="131686.25"/>
    <n v="175994.80000000002"/>
    <n v="309850"/>
    <n v="79321.600000000006"/>
    <n v="1759018.4500000002"/>
  </r>
  <r>
    <n v="347"/>
    <s v="Product_347"/>
    <x v="2"/>
    <n v="319.37"/>
    <n v="2.4"/>
    <n v="442"/>
    <n v="535"/>
    <n v="661"/>
    <n v="307"/>
    <n v="327"/>
    <n v="960"/>
    <n v="926"/>
    <n v="513"/>
    <n v="458"/>
    <n v="100"/>
    <n v="432"/>
    <n v="738"/>
    <n v="811"/>
    <n v="6768"/>
    <n v="170862.95"/>
    <n v="211103.57"/>
    <n v="98046.59"/>
    <n v="104433.99"/>
    <n v="306595.20000000001"/>
    <n v="295736.62"/>
    <n v="163836.81"/>
    <n v="146271.46"/>
    <n v="31937"/>
    <n v="137967.84"/>
    <n v="235695.06"/>
    <n v="259009.07"/>
    <n v="2161496.16"/>
  </r>
  <r>
    <n v="348"/>
    <s v="Product_348"/>
    <x v="4"/>
    <n v="27.43"/>
    <n v="2.5"/>
    <n v="921"/>
    <n v="540"/>
    <n v="424"/>
    <n v="569"/>
    <n v="442"/>
    <n v="894"/>
    <n v="366"/>
    <n v="754"/>
    <n v="431"/>
    <n v="540"/>
    <n v="47"/>
    <n v="795"/>
    <n v="661"/>
    <n v="6463"/>
    <n v="14812.2"/>
    <n v="11630.32"/>
    <n v="15607.67"/>
    <n v="12124.06"/>
    <n v="24522.42"/>
    <n v="10039.379999999999"/>
    <n v="20682.22"/>
    <n v="11822.33"/>
    <n v="14812.2"/>
    <n v="1289.21"/>
    <n v="21806.85"/>
    <n v="18131.23"/>
    <n v="177280.09000000003"/>
  </r>
  <r>
    <n v="349"/>
    <s v="Product_349"/>
    <x v="0"/>
    <n v="190.43"/>
    <n v="5"/>
    <n v="815"/>
    <n v="170"/>
    <n v="629"/>
    <n v="287"/>
    <n v="51"/>
    <n v="96"/>
    <n v="167"/>
    <n v="296"/>
    <n v="769"/>
    <n v="638"/>
    <n v="327"/>
    <n v="69"/>
    <n v="805"/>
    <n v="4304"/>
    <n v="32373.100000000002"/>
    <n v="119780.47"/>
    <n v="54653.41"/>
    <n v="9711.93"/>
    <n v="18281.28"/>
    <n v="31801.81"/>
    <n v="56367.28"/>
    <n v="146440.67000000001"/>
    <n v="121494.34000000001"/>
    <n v="62270.61"/>
    <n v="13139.67"/>
    <n v="153296.15"/>
    <n v="819610.72000000009"/>
  </r>
  <r>
    <n v="350"/>
    <s v="Product_350"/>
    <x v="3"/>
    <n v="314.8"/>
    <n v="1.2"/>
    <n v="806"/>
    <n v="408"/>
    <n v="260"/>
    <n v="976"/>
    <n v="885"/>
    <n v="512"/>
    <n v="559"/>
    <n v="210"/>
    <n v="715"/>
    <n v="849"/>
    <n v="432"/>
    <n v="453"/>
    <n v="242"/>
    <n v="6501"/>
    <n v="128438.40000000001"/>
    <n v="81848"/>
    <n v="307244.79999999999"/>
    <n v="278598"/>
    <n v="161177.60000000001"/>
    <n v="175973.2"/>
    <n v="66108"/>
    <n v="225082"/>
    <n v="267265.2"/>
    <n v="135993.60000000001"/>
    <n v="142604.4"/>
    <n v="76181.600000000006"/>
    <n v="2046514.8"/>
  </r>
  <r>
    <n v="351"/>
    <s v="Product_351"/>
    <x v="0"/>
    <n v="254.05"/>
    <n v="4.5"/>
    <n v="143"/>
    <n v="739"/>
    <n v="425"/>
    <n v="104"/>
    <n v="942"/>
    <n v="215"/>
    <n v="50"/>
    <n v="122"/>
    <n v="821"/>
    <n v="521"/>
    <n v="430"/>
    <n v="438"/>
    <n v="786"/>
    <n v="5593"/>
    <n v="187742.95"/>
    <n v="107971.25"/>
    <n v="26421.200000000001"/>
    <n v="239315.1"/>
    <n v="54620.75"/>
    <n v="12702.5"/>
    <n v="30994.100000000002"/>
    <n v="208575.05000000002"/>
    <n v="132360.05000000002"/>
    <n v="109241.5"/>
    <n v="111273.90000000001"/>
    <n v="199683.30000000002"/>
    <n v="1420901.6500000001"/>
  </r>
  <r>
    <n v="352"/>
    <s v="Product_352"/>
    <x v="2"/>
    <n v="428.96"/>
    <n v="3.3"/>
    <n v="191"/>
    <n v="377"/>
    <n v="86"/>
    <n v="227"/>
    <n v="375"/>
    <n v="131"/>
    <n v="810"/>
    <n v="228"/>
    <n v="773"/>
    <n v="105"/>
    <n v="55"/>
    <n v="824"/>
    <n v="719"/>
    <n v="4710"/>
    <n v="161717.91999999998"/>
    <n v="36890.559999999998"/>
    <n v="97373.92"/>
    <n v="160860"/>
    <n v="56193.759999999995"/>
    <n v="347457.6"/>
    <n v="97802.87999999999"/>
    <n v="331586.07999999996"/>
    <n v="45040.799999999996"/>
    <n v="23592.799999999999"/>
    <n v="353463.03999999998"/>
    <n v="308422.24"/>
    <n v="2020401.6"/>
  </r>
  <r>
    <n v="353"/>
    <s v="Product_353"/>
    <x v="1"/>
    <n v="331.05"/>
    <n v="2.8"/>
    <n v="533"/>
    <n v="187"/>
    <n v="464"/>
    <n v="246"/>
    <n v="262"/>
    <n v="259"/>
    <n v="609"/>
    <n v="593"/>
    <n v="618"/>
    <n v="678"/>
    <n v="576"/>
    <n v="363"/>
    <n v="414"/>
    <n v="5269"/>
    <n v="61906.35"/>
    <n v="153607.20000000001"/>
    <n v="81438.3"/>
    <n v="86735.1"/>
    <n v="85741.95"/>
    <n v="201609.45"/>
    <n v="196312.65"/>
    <n v="204588.9"/>
    <n v="224451.9"/>
    <n v="190684.80000000002"/>
    <n v="120171.15000000001"/>
    <n v="137054.70000000001"/>
    <n v="1744302.45"/>
  </r>
  <r>
    <n v="354"/>
    <s v="Product_354"/>
    <x v="0"/>
    <n v="85.65"/>
    <n v="3.9"/>
    <n v="227"/>
    <n v="857"/>
    <n v="75"/>
    <n v="699"/>
    <n v="266"/>
    <n v="124"/>
    <n v="950"/>
    <n v="655"/>
    <n v="762"/>
    <n v="977"/>
    <n v="267"/>
    <n v="982"/>
    <n v="626"/>
    <n v="7240"/>
    <n v="73402.05"/>
    <n v="6423.75"/>
    <n v="59869.350000000006"/>
    <n v="22782.9"/>
    <n v="10620.6"/>
    <n v="81367.5"/>
    <n v="56100.750000000007"/>
    <n v="65265.3"/>
    <n v="83680.05"/>
    <n v="22868.550000000003"/>
    <n v="84108.3"/>
    <n v="53616.9"/>
    <n v="620106"/>
  </r>
  <r>
    <n v="355"/>
    <s v="Product_355"/>
    <x v="0"/>
    <n v="39.93"/>
    <n v="2.9"/>
    <n v="313"/>
    <n v="229"/>
    <n v="470"/>
    <n v="493"/>
    <n v="358"/>
    <n v="81"/>
    <n v="727"/>
    <n v="387"/>
    <n v="935"/>
    <n v="768"/>
    <n v="68"/>
    <n v="765"/>
    <n v="706"/>
    <n v="5987"/>
    <n v="9143.9699999999993"/>
    <n v="18767.099999999999"/>
    <n v="19685.490000000002"/>
    <n v="14294.94"/>
    <n v="3234.33"/>
    <n v="29029.11"/>
    <n v="15452.91"/>
    <n v="37334.550000000003"/>
    <n v="30666.239999999998"/>
    <n v="2715.24"/>
    <n v="30546.45"/>
    <n v="28190.579999999998"/>
    <n v="239060.91"/>
  </r>
  <r>
    <n v="356"/>
    <s v="Product_356"/>
    <x v="6"/>
    <n v="323"/>
    <n v="4.5"/>
    <n v="629"/>
    <n v="832"/>
    <n v="975"/>
    <n v="82"/>
    <n v="316"/>
    <n v="282"/>
    <n v="688"/>
    <n v="139"/>
    <n v="220"/>
    <n v="806"/>
    <n v="727"/>
    <n v="480"/>
    <n v="342"/>
    <n v="5889"/>
    <n v="268736"/>
    <n v="314925"/>
    <n v="26486"/>
    <n v="102068"/>
    <n v="91086"/>
    <n v="222224"/>
    <n v="44897"/>
    <n v="71060"/>
    <n v="260338"/>
    <n v="234821"/>
    <n v="155040"/>
    <n v="110466"/>
    <n v="1902147"/>
  </r>
  <r>
    <n v="357"/>
    <s v="Product_357"/>
    <x v="4"/>
    <n v="18.12"/>
    <n v="4.5999999999999996"/>
    <n v="949"/>
    <n v="851"/>
    <n v="962"/>
    <n v="185"/>
    <n v="323"/>
    <n v="682"/>
    <n v="379"/>
    <n v="540"/>
    <n v="378"/>
    <n v="276"/>
    <n v="901"/>
    <n v="143"/>
    <n v="681"/>
    <n v="6301"/>
    <n v="15420.12"/>
    <n v="17431.440000000002"/>
    <n v="3352.2000000000003"/>
    <n v="5852.76"/>
    <n v="12357.84"/>
    <n v="6867.4800000000005"/>
    <n v="9784.8000000000011"/>
    <n v="6849.3600000000006"/>
    <n v="5001.12"/>
    <n v="16326.12"/>
    <n v="2591.1600000000003"/>
    <n v="12339.720000000001"/>
    <n v="114174.12"/>
  </r>
  <r>
    <n v="358"/>
    <s v="Product_358"/>
    <x v="2"/>
    <n v="294.95999999999998"/>
    <n v="2.7"/>
    <n v="302"/>
    <n v="118"/>
    <n v="413"/>
    <n v="251"/>
    <n v="920"/>
    <n v="58"/>
    <n v="473"/>
    <n v="390"/>
    <n v="221"/>
    <n v="64"/>
    <n v="600"/>
    <n v="23"/>
    <n v="378"/>
    <n v="3909"/>
    <n v="34805.279999999999"/>
    <n v="121818.48"/>
    <n v="74034.959999999992"/>
    <n v="271363.19999999995"/>
    <n v="17107.68"/>
    <n v="139516.07999999999"/>
    <n v="115034.4"/>
    <n v="65186.159999999996"/>
    <n v="18877.439999999999"/>
    <n v="176976"/>
    <n v="6784.08"/>
    <n v="111494.87999999999"/>
    <n v="1152998.6399999999"/>
  </r>
  <r>
    <n v="359"/>
    <s v="Product_359"/>
    <x v="0"/>
    <n v="470.41"/>
    <n v="2.1"/>
    <n v="654"/>
    <n v="155"/>
    <n v="824"/>
    <n v="354"/>
    <n v="907"/>
    <n v="543"/>
    <n v="79"/>
    <n v="269"/>
    <n v="257"/>
    <n v="782"/>
    <n v="448"/>
    <n v="964"/>
    <n v="593"/>
    <n v="6175"/>
    <n v="72913.55"/>
    <n v="387617.84"/>
    <n v="166525.14000000001"/>
    <n v="426661.87"/>
    <n v="255432.63"/>
    <n v="37162.39"/>
    <n v="126540.29000000001"/>
    <n v="120895.37000000001"/>
    <n v="367860.62"/>
    <n v="210743.68000000002"/>
    <n v="453475.24000000005"/>
    <n v="278953.13"/>
    <n v="2904781.75"/>
  </r>
  <r>
    <n v="360"/>
    <s v="Product_360"/>
    <x v="2"/>
    <n v="289.86"/>
    <n v="3.4"/>
    <n v="996"/>
    <n v="783"/>
    <n v="894"/>
    <n v="749"/>
    <n v="665"/>
    <n v="160"/>
    <n v="696"/>
    <n v="758"/>
    <n v="712"/>
    <n v="899"/>
    <n v="792"/>
    <n v="424"/>
    <n v="665"/>
    <n v="8197"/>
    <n v="226960.38"/>
    <n v="259134.84000000003"/>
    <n v="217105.14"/>
    <n v="192756.90000000002"/>
    <n v="46377.600000000006"/>
    <n v="201742.56"/>
    <n v="219713.88"/>
    <n v="206380.32"/>
    <n v="260584.14"/>
    <n v="229569.12000000002"/>
    <n v="122900.64"/>
    <n v="192756.90000000002"/>
    <n v="2375982.4200000004"/>
  </r>
  <r>
    <n v="361"/>
    <s v="Product_361"/>
    <x v="4"/>
    <n v="197.14"/>
    <n v="4.5999999999999996"/>
    <n v="460"/>
    <n v="686"/>
    <n v="725"/>
    <n v="871"/>
    <n v="869"/>
    <n v="283"/>
    <n v="366"/>
    <n v="11"/>
    <n v="366"/>
    <n v="187"/>
    <n v="256"/>
    <n v="745"/>
    <n v="652"/>
    <n v="6017"/>
    <n v="135238.03999999998"/>
    <n v="142926.5"/>
    <n v="171708.94"/>
    <n v="171314.65999999997"/>
    <n v="55790.619999999995"/>
    <n v="72153.239999999991"/>
    <n v="2168.54"/>
    <n v="72153.239999999991"/>
    <n v="36865.18"/>
    <n v="50467.839999999997"/>
    <n v="146869.29999999999"/>
    <n v="128535.27999999998"/>
    <n v="1186191.3799999999"/>
  </r>
  <r>
    <n v="362"/>
    <s v="Product_362"/>
    <x v="6"/>
    <n v="323.43"/>
    <n v="1.8"/>
    <n v="401"/>
    <n v="464"/>
    <n v="456"/>
    <n v="695"/>
    <n v="877"/>
    <n v="105"/>
    <n v="460"/>
    <n v="866"/>
    <n v="769"/>
    <n v="316"/>
    <n v="671"/>
    <n v="844"/>
    <n v="825"/>
    <n v="7348"/>
    <n v="150071.51999999999"/>
    <n v="147484.08000000002"/>
    <n v="224783.85"/>
    <n v="283648.11"/>
    <n v="33960.15"/>
    <n v="148777.80000000002"/>
    <n v="280090.38"/>
    <n v="248717.67"/>
    <n v="102203.88"/>
    <n v="217021.53"/>
    <n v="272974.92"/>
    <n v="266829.75"/>
    <n v="2376563.64"/>
  </r>
  <r>
    <n v="363"/>
    <s v="Product_363"/>
    <x v="2"/>
    <n v="231.84"/>
    <n v="3.5"/>
    <n v="551"/>
    <n v="103"/>
    <n v="284"/>
    <n v="795"/>
    <n v="651"/>
    <n v="104"/>
    <n v="910"/>
    <n v="388"/>
    <n v="348"/>
    <n v="915"/>
    <n v="489"/>
    <n v="174"/>
    <n v="145"/>
    <n v="5306"/>
    <n v="23879.52"/>
    <n v="65842.559999999998"/>
    <n v="184312.8"/>
    <n v="150927.84"/>
    <n v="24111.360000000001"/>
    <n v="210974.4"/>
    <n v="89953.919999999998"/>
    <n v="80680.320000000007"/>
    <n v="212133.6"/>
    <n v="113369.76"/>
    <n v="40340.160000000003"/>
    <n v="33616.800000000003"/>
    <n v="1230143.0399999998"/>
  </r>
  <r>
    <n v="364"/>
    <s v="Product_364"/>
    <x v="5"/>
    <n v="275.08"/>
    <n v="3.5"/>
    <n v="393"/>
    <n v="603"/>
    <n v="238"/>
    <n v="896"/>
    <n v="938"/>
    <n v="438"/>
    <n v="538"/>
    <n v="336"/>
    <n v="224"/>
    <n v="137"/>
    <n v="745"/>
    <n v="843"/>
    <n v="322"/>
    <n v="6258"/>
    <n v="165873.24"/>
    <n v="65469.039999999994"/>
    <n v="246471.67999999999"/>
    <n v="258025.03999999998"/>
    <n v="120485.04"/>
    <n v="147993.03999999998"/>
    <n v="92426.87999999999"/>
    <n v="61617.919999999998"/>
    <n v="37685.96"/>
    <n v="204934.59999999998"/>
    <n v="231892.43999999997"/>
    <n v="88575.76"/>
    <n v="1721450.64"/>
  </r>
  <r>
    <n v="365"/>
    <s v="Product_365"/>
    <x v="4"/>
    <n v="471.03"/>
    <n v="3.9"/>
    <n v="867"/>
    <n v="697"/>
    <n v="676"/>
    <n v="937"/>
    <n v="562"/>
    <n v="227"/>
    <n v="451"/>
    <n v="505"/>
    <n v="713"/>
    <n v="342"/>
    <n v="642"/>
    <n v="324"/>
    <n v="121"/>
    <n v="6197"/>
    <n v="328307.90999999997"/>
    <n v="318416.27999999997"/>
    <n v="441355.11"/>
    <n v="264718.86"/>
    <n v="106923.81"/>
    <n v="212434.53"/>
    <n v="237870.15"/>
    <n v="335844.38999999996"/>
    <n v="161092.25999999998"/>
    <n v="302401.26"/>
    <n v="152613.72"/>
    <n v="56994.63"/>
    <n v="2918972.9099999997"/>
  </r>
  <r>
    <n v="366"/>
    <s v="Product_366"/>
    <x v="4"/>
    <n v="196.12"/>
    <n v="1.5"/>
    <n v="764"/>
    <n v="971"/>
    <n v="598"/>
    <n v="209"/>
    <n v="628"/>
    <n v="699"/>
    <n v="463"/>
    <n v="105"/>
    <n v="737"/>
    <n v="104"/>
    <n v="48"/>
    <n v="868"/>
    <n v="251"/>
    <n v="5681"/>
    <n v="190432.52000000002"/>
    <n v="117279.76000000001"/>
    <n v="40989.08"/>
    <n v="123163.36"/>
    <n v="137087.88"/>
    <n v="90803.56"/>
    <n v="20592.600000000002"/>
    <n v="144540.44"/>
    <n v="20396.48"/>
    <n v="9413.76"/>
    <n v="170232.16"/>
    <n v="49226.12"/>
    <n v="1114157.7200000002"/>
  </r>
  <r>
    <n v="367"/>
    <s v="Product_367"/>
    <x v="3"/>
    <n v="480.79"/>
    <n v="3.9"/>
    <n v="845"/>
    <n v="794"/>
    <n v="652"/>
    <n v="815"/>
    <n v="420"/>
    <n v="581"/>
    <n v="959"/>
    <n v="31"/>
    <n v="235"/>
    <n v="545"/>
    <n v="658"/>
    <n v="670"/>
    <n v="854"/>
    <n v="7214"/>
    <n v="381747.26"/>
    <n v="313475.08"/>
    <n v="391843.85000000003"/>
    <n v="201931.80000000002"/>
    <n v="279338.99"/>
    <n v="461077.61000000004"/>
    <n v="14904.49"/>
    <n v="112985.65000000001"/>
    <n v="262030.55000000002"/>
    <n v="316359.82"/>
    <n v="322129.3"/>
    <n v="410594.66000000003"/>
    <n v="3468419.06"/>
  </r>
  <r>
    <n v="368"/>
    <s v="Product_368"/>
    <x v="6"/>
    <n v="453.15"/>
    <n v="4.5999999999999996"/>
    <n v="207"/>
    <n v="501"/>
    <n v="671"/>
    <n v="807"/>
    <n v="45"/>
    <n v="317"/>
    <n v="477"/>
    <n v="73"/>
    <n v="182"/>
    <n v="379"/>
    <n v="315"/>
    <n v="859"/>
    <n v="898"/>
    <n v="5524"/>
    <n v="227028.15"/>
    <n v="304063.64999999997"/>
    <n v="365692.05"/>
    <n v="20391.75"/>
    <n v="143648.54999999999"/>
    <n v="216152.55"/>
    <n v="33079.949999999997"/>
    <n v="82473.3"/>
    <n v="171743.85"/>
    <n v="142742.25"/>
    <n v="389255.85"/>
    <n v="406928.69999999995"/>
    <n v="2503200.5999999996"/>
  </r>
  <r>
    <n v="369"/>
    <s v="Product_369"/>
    <x v="6"/>
    <n v="101.92"/>
    <n v="1.7"/>
    <n v="210"/>
    <n v="692"/>
    <n v="557"/>
    <n v="608"/>
    <n v="820"/>
    <n v="463"/>
    <n v="925"/>
    <n v="170"/>
    <n v="711"/>
    <n v="109"/>
    <n v="412"/>
    <n v="347"/>
    <n v="310"/>
    <n v="6124"/>
    <n v="70528.639999999999"/>
    <n v="56769.440000000002"/>
    <n v="61967.360000000001"/>
    <n v="83574.399999999994"/>
    <n v="47188.959999999999"/>
    <n v="94276"/>
    <n v="17326.400000000001"/>
    <n v="72465.119999999995"/>
    <n v="11109.28"/>
    <n v="41991.040000000001"/>
    <n v="35366.239999999998"/>
    <n v="31595.200000000001"/>
    <n v="624158.07999999996"/>
  </r>
  <r>
    <n v="370"/>
    <s v="Product_370"/>
    <x v="5"/>
    <n v="39.33"/>
    <n v="2"/>
    <n v="115"/>
    <n v="681"/>
    <n v="371"/>
    <n v="446"/>
    <n v="599"/>
    <n v="801"/>
    <n v="419"/>
    <n v="848"/>
    <n v="868"/>
    <n v="943"/>
    <n v="433"/>
    <n v="797"/>
    <n v="600"/>
    <n v="7806"/>
    <n v="26783.73"/>
    <n v="14591.429999999998"/>
    <n v="17541.18"/>
    <n v="23558.67"/>
    <n v="31503.329999999998"/>
    <n v="16479.27"/>
    <n v="33351.839999999997"/>
    <n v="34138.439999999995"/>
    <n v="37088.189999999995"/>
    <n v="17029.89"/>
    <n v="31346.01"/>
    <n v="23598"/>
    <n v="307009.98000000004"/>
  </r>
  <r>
    <n v="371"/>
    <s v="Product_371"/>
    <x v="2"/>
    <n v="54.89"/>
    <n v="4.9000000000000004"/>
    <n v="737"/>
    <n v="698"/>
    <n v="494"/>
    <n v="459"/>
    <n v="719"/>
    <n v="598"/>
    <n v="706"/>
    <n v="68"/>
    <n v="757"/>
    <n v="544"/>
    <n v="1"/>
    <n v="17"/>
    <n v="474"/>
    <n v="5535"/>
    <n v="38313.22"/>
    <n v="27115.66"/>
    <n v="25194.510000000002"/>
    <n v="39465.910000000003"/>
    <n v="32824.22"/>
    <n v="38752.340000000004"/>
    <n v="3732.52"/>
    <n v="41551.730000000003"/>
    <n v="29860.16"/>
    <n v="54.89"/>
    <n v="933.13"/>
    <n v="26017.86"/>
    <n v="303816.15000000002"/>
  </r>
  <r>
    <n v="372"/>
    <s v="Product_372"/>
    <x v="1"/>
    <n v="14.02"/>
    <n v="1.7"/>
    <n v="646"/>
    <n v="174"/>
    <n v="623"/>
    <n v="967"/>
    <n v="888"/>
    <n v="881"/>
    <n v="213"/>
    <n v="812"/>
    <n v="443"/>
    <n v="353"/>
    <n v="840"/>
    <n v="43"/>
    <n v="569"/>
    <n v="6806"/>
    <n v="2439.48"/>
    <n v="8734.4599999999991"/>
    <n v="13557.34"/>
    <n v="12449.76"/>
    <n v="12351.619999999999"/>
    <n v="2986.2599999999998"/>
    <n v="11384.24"/>
    <n v="6210.86"/>
    <n v="4949.0599999999995"/>
    <n v="11776.8"/>
    <n v="602.86"/>
    <n v="7977.38"/>
    <n v="95420.12000000001"/>
  </r>
  <r>
    <n v="373"/>
    <s v="Product_373"/>
    <x v="5"/>
    <n v="51.75"/>
    <n v="4.4000000000000004"/>
    <n v="251"/>
    <n v="733"/>
    <n v="918"/>
    <n v="471"/>
    <n v="268"/>
    <n v="873"/>
    <n v="368"/>
    <n v="361"/>
    <n v="864"/>
    <n v="742"/>
    <n v="951"/>
    <n v="154"/>
    <n v="491"/>
    <n v="7194"/>
    <n v="37932.75"/>
    <n v="47506.5"/>
    <n v="24374.25"/>
    <n v="13869"/>
    <n v="45177.75"/>
    <n v="19044"/>
    <n v="18681.75"/>
    <n v="44712"/>
    <n v="38398.5"/>
    <n v="49214.25"/>
    <n v="7969.5"/>
    <n v="25409.25"/>
    <n v="372289.5"/>
  </r>
  <r>
    <n v="374"/>
    <s v="Product_374"/>
    <x v="3"/>
    <n v="343.09"/>
    <n v="3"/>
    <n v="219"/>
    <n v="744"/>
    <n v="44"/>
    <n v="719"/>
    <n v="600"/>
    <n v="471"/>
    <n v="853"/>
    <n v="648"/>
    <n v="622"/>
    <n v="316"/>
    <n v="144"/>
    <n v="866"/>
    <n v="574"/>
    <n v="6601"/>
    <n v="255258.96"/>
    <n v="15095.96"/>
    <n v="246681.71"/>
    <n v="205853.99999999997"/>
    <n v="161595.38999999998"/>
    <n v="292655.76999999996"/>
    <n v="222322.31999999998"/>
    <n v="213401.97999999998"/>
    <n v="108416.43999999999"/>
    <n v="49404.959999999999"/>
    <n v="297115.94"/>
    <n v="196933.65999999997"/>
    <n v="2264737.09"/>
  </r>
  <r>
    <n v="375"/>
    <s v="Product_375"/>
    <x v="6"/>
    <n v="40.24"/>
    <n v="2"/>
    <n v="407"/>
    <n v="673"/>
    <n v="400"/>
    <n v="369"/>
    <n v="380"/>
    <n v="55"/>
    <n v="113"/>
    <n v="432"/>
    <n v="5"/>
    <n v="265"/>
    <n v="955"/>
    <n v="921"/>
    <n v="346"/>
    <n v="4914"/>
    <n v="27081.52"/>
    <n v="16096"/>
    <n v="14848.560000000001"/>
    <n v="15291.2"/>
    <n v="2213.2000000000003"/>
    <n v="4547.12"/>
    <n v="17383.68"/>
    <n v="201.20000000000002"/>
    <n v="10663.6"/>
    <n v="38429.200000000004"/>
    <n v="37061.040000000001"/>
    <n v="13923.04"/>
    <n v="197739.36000000002"/>
  </r>
  <r>
    <n v="376"/>
    <s v="Product_376"/>
    <x v="4"/>
    <n v="162.88999999999999"/>
    <n v="4.5"/>
    <n v="443"/>
    <n v="420"/>
    <n v="246"/>
    <n v="899"/>
    <n v="117"/>
    <n v="624"/>
    <n v="753"/>
    <n v="928"/>
    <n v="235"/>
    <n v="693"/>
    <n v="365"/>
    <n v="376"/>
    <n v="819"/>
    <n v="6475"/>
    <n v="68413.799999999988"/>
    <n v="40070.939999999995"/>
    <n v="146438.10999999999"/>
    <n v="19058.129999999997"/>
    <n v="101643.35999999999"/>
    <n v="122656.16999999998"/>
    <n v="151161.91999999998"/>
    <n v="38279.149999999994"/>
    <n v="112882.76999999999"/>
    <n v="59454.85"/>
    <n v="61246.639999999992"/>
    <n v="133406.90999999997"/>
    <n v="1054712.75"/>
  </r>
  <r>
    <n v="377"/>
    <s v="Product_377"/>
    <x v="6"/>
    <n v="423.21"/>
    <n v="2.8"/>
    <n v="603"/>
    <n v="133"/>
    <n v="615"/>
    <n v="933"/>
    <n v="565"/>
    <n v="12"/>
    <n v="502"/>
    <n v="995"/>
    <n v="126"/>
    <n v="851"/>
    <n v="419"/>
    <n v="742"/>
    <n v="486"/>
    <n v="6379"/>
    <n v="56286.93"/>
    <n v="260274.15"/>
    <n v="394854.93"/>
    <n v="239113.65"/>
    <n v="5078.5199999999995"/>
    <n v="212451.41999999998"/>
    <n v="421093.94999999995"/>
    <n v="53324.46"/>
    <n v="360151.70999999996"/>
    <n v="177324.99"/>
    <n v="314021.82"/>
    <n v="205680.06"/>
    <n v="2699656.59"/>
  </r>
  <r>
    <n v="378"/>
    <s v="Product_378"/>
    <x v="5"/>
    <n v="16.52"/>
    <n v="3.1"/>
    <n v="354"/>
    <n v="390"/>
    <n v="596"/>
    <n v="491"/>
    <n v="952"/>
    <n v="439"/>
    <n v="635"/>
    <n v="99"/>
    <n v="103"/>
    <n v="64"/>
    <n v="572"/>
    <n v="882"/>
    <n v="472"/>
    <n v="5695"/>
    <n v="6442.8"/>
    <n v="9845.92"/>
    <n v="8111.32"/>
    <n v="15727.039999999999"/>
    <n v="7252.28"/>
    <n v="10490.199999999999"/>
    <n v="1635.48"/>
    <n v="1701.56"/>
    <n v="1057.28"/>
    <n v="9449.44"/>
    <n v="14570.64"/>
    <n v="7797.44"/>
    <n v="94081.4"/>
  </r>
  <r>
    <n v="379"/>
    <s v="Product_379"/>
    <x v="1"/>
    <n v="408.16"/>
    <n v="2.4"/>
    <n v="888"/>
    <n v="991"/>
    <n v="449"/>
    <n v="922"/>
    <n v="115"/>
    <n v="17"/>
    <n v="816"/>
    <n v="657"/>
    <n v="748"/>
    <n v="332"/>
    <n v="784"/>
    <n v="827"/>
    <n v="381"/>
    <n v="7039"/>
    <n v="404486.56"/>
    <n v="183263.84000000003"/>
    <n v="376323.52"/>
    <n v="46938.400000000001"/>
    <n v="6938.72"/>
    <n v="333058.56"/>
    <n v="268161.12"/>
    <n v="305303.67999999999"/>
    <n v="135509.12"/>
    <n v="319997.44"/>
    <n v="337548.32"/>
    <n v="155508.96000000002"/>
    <n v="2873038.2399999998"/>
  </r>
  <r>
    <n v="380"/>
    <s v="Product_380"/>
    <x v="0"/>
    <n v="144.52000000000001"/>
    <n v="3.4"/>
    <n v="558"/>
    <n v="735"/>
    <n v="484"/>
    <n v="136"/>
    <n v="629"/>
    <n v="693"/>
    <n v="587"/>
    <n v="8"/>
    <n v="914"/>
    <n v="512"/>
    <n v="560"/>
    <n v="401"/>
    <n v="279"/>
    <n v="5938"/>
    <n v="106222.20000000001"/>
    <n v="69947.680000000008"/>
    <n v="19654.72"/>
    <n v="90903.08"/>
    <n v="100152.36"/>
    <n v="84833.24"/>
    <n v="1156.1600000000001"/>
    <n v="132091.28"/>
    <n v="73994.240000000005"/>
    <n v="80931.200000000012"/>
    <n v="57952.520000000004"/>
    <n v="40321.08"/>
    <n v="858159.75999999989"/>
  </r>
  <r>
    <n v="381"/>
    <s v="Product_381"/>
    <x v="0"/>
    <n v="63.49"/>
    <n v="1.7"/>
    <n v="550"/>
    <n v="500"/>
    <n v="645"/>
    <n v="366"/>
    <n v="259"/>
    <n v="972"/>
    <n v="310"/>
    <n v="573"/>
    <n v="479"/>
    <n v="132"/>
    <n v="843"/>
    <n v="224"/>
    <n v="71"/>
    <n v="5374"/>
    <n v="31745"/>
    <n v="40951.050000000003"/>
    <n v="23237.34"/>
    <n v="16443.91"/>
    <n v="61712.28"/>
    <n v="19681.900000000001"/>
    <n v="36379.770000000004"/>
    <n v="30411.710000000003"/>
    <n v="8380.68"/>
    <n v="53522.07"/>
    <n v="14221.76"/>
    <n v="4507.79"/>
    <n v="341195.26"/>
  </r>
  <r>
    <n v="382"/>
    <s v="Product_382"/>
    <x v="6"/>
    <n v="349.88"/>
    <n v="2.6"/>
    <n v="142"/>
    <n v="664"/>
    <n v="619"/>
    <n v="911"/>
    <n v="74"/>
    <n v="112"/>
    <n v="468"/>
    <n v="696"/>
    <n v="154"/>
    <n v="591"/>
    <n v="443"/>
    <n v="216"/>
    <n v="520"/>
    <n v="5468"/>
    <n v="232320.32"/>
    <n v="216575.72"/>
    <n v="318740.68"/>
    <n v="25891.119999999999"/>
    <n v="39186.559999999998"/>
    <n v="163743.84"/>
    <n v="243516.48"/>
    <n v="53881.52"/>
    <n v="206779.08"/>
    <n v="154996.84"/>
    <n v="75574.080000000002"/>
    <n v="181937.6"/>
    <n v="1913143.8400000003"/>
  </r>
  <r>
    <n v="383"/>
    <s v="Product_383"/>
    <x v="6"/>
    <n v="316.33"/>
    <n v="4.9000000000000004"/>
    <n v="612"/>
    <n v="32"/>
    <n v="17"/>
    <n v="183"/>
    <n v="479"/>
    <n v="228"/>
    <n v="823"/>
    <n v="28"/>
    <n v="256"/>
    <n v="782"/>
    <n v="915"/>
    <n v="567"/>
    <n v="365"/>
    <n v="4675"/>
    <n v="10122.56"/>
    <n v="5377.61"/>
    <n v="57888.39"/>
    <n v="151522.06999999998"/>
    <n v="72123.239999999991"/>
    <n v="260339.59"/>
    <n v="8857.24"/>
    <n v="80980.479999999996"/>
    <n v="247370.06"/>
    <n v="289441.95"/>
    <n v="179359.11"/>
    <n v="115460.45"/>
    <n v="1478842.7499999998"/>
  </r>
  <r>
    <n v="384"/>
    <s v="Product_384"/>
    <x v="3"/>
    <n v="439.35"/>
    <n v="2"/>
    <n v="501"/>
    <n v="54"/>
    <n v="605"/>
    <n v="587"/>
    <n v="304"/>
    <n v="170"/>
    <n v="707"/>
    <n v="892"/>
    <n v="234"/>
    <n v="752"/>
    <n v="433"/>
    <n v="30"/>
    <n v="932"/>
    <n v="5700"/>
    <n v="23724.9"/>
    <n v="265806.75"/>
    <n v="257898.45"/>
    <n v="133562.4"/>
    <n v="74689.5"/>
    <n v="310620.45"/>
    <n v="391900.2"/>
    <n v="102807.90000000001"/>
    <n v="330391.2"/>
    <n v="190238.55000000002"/>
    <n v="13180.5"/>
    <n v="409474.2"/>
    <n v="2504295"/>
  </r>
  <r>
    <n v="385"/>
    <s v="Product_385"/>
    <x v="6"/>
    <n v="368.86"/>
    <n v="3.6"/>
    <n v="840"/>
    <n v="953"/>
    <n v="661"/>
    <n v="286"/>
    <n v="6"/>
    <n v="294"/>
    <n v="862"/>
    <n v="113"/>
    <n v="499"/>
    <n v="539"/>
    <n v="642"/>
    <n v="868"/>
    <n v="93"/>
    <n v="5816"/>
    <n v="351523.58"/>
    <n v="243816.46000000002"/>
    <n v="105493.96"/>
    <n v="2213.16"/>
    <n v="108444.84000000001"/>
    <n v="317957.32"/>
    <n v="41681.18"/>
    <n v="184061.14"/>
    <n v="198815.54"/>
    <n v="236808.12"/>
    <n v="320170.48000000004"/>
    <n v="34303.980000000003"/>
    <n v="2145289.7600000002"/>
  </r>
  <r>
    <n v="386"/>
    <s v="Product_386"/>
    <x v="1"/>
    <n v="402.72"/>
    <n v="2.2999999999999998"/>
    <n v="702"/>
    <n v="518"/>
    <n v="757"/>
    <n v="471"/>
    <n v="365"/>
    <n v="188"/>
    <n v="43"/>
    <n v="461"/>
    <n v="288"/>
    <n v="734"/>
    <n v="554"/>
    <n v="58"/>
    <n v="372"/>
    <n v="4809"/>
    <n v="208608.96000000002"/>
    <n v="304859.04000000004"/>
    <n v="189681.12000000002"/>
    <n v="146992.80000000002"/>
    <n v="75711.360000000001"/>
    <n v="17316.960000000003"/>
    <n v="185653.92"/>
    <n v="115983.36000000002"/>
    <n v="295596.48000000004"/>
    <n v="223106.88"/>
    <n v="23357.760000000002"/>
    <n v="149811.84"/>
    <n v="1936680.4800000004"/>
  </r>
  <r>
    <n v="387"/>
    <s v="Product_387"/>
    <x v="6"/>
    <n v="144.61000000000001"/>
    <n v="4.0999999999999996"/>
    <n v="547"/>
    <n v="755"/>
    <n v="288"/>
    <n v="374"/>
    <n v="633"/>
    <n v="425"/>
    <n v="414"/>
    <n v="920"/>
    <n v="509"/>
    <n v="534"/>
    <n v="56"/>
    <n v="891"/>
    <n v="338"/>
    <n v="6137"/>
    <n v="109180.55000000002"/>
    <n v="41647.680000000008"/>
    <n v="54084.140000000007"/>
    <n v="91538.13"/>
    <n v="61459.250000000007"/>
    <n v="59868.540000000008"/>
    <n v="133041.20000000001"/>
    <n v="73606.490000000005"/>
    <n v="77221.740000000005"/>
    <n v="8098.1600000000008"/>
    <n v="128847.51000000001"/>
    <n v="48878.180000000008"/>
    <n v="887471.57000000007"/>
  </r>
  <r>
    <n v="388"/>
    <s v="Product_388"/>
    <x v="2"/>
    <n v="92.83"/>
    <n v="1.5"/>
    <n v="659"/>
    <n v="824"/>
    <n v="413"/>
    <n v="653"/>
    <n v="522"/>
    <n v="976"/>
    <n v="697"/>
    <n v="142"/>
    <n v="551"/>
    <n v="495"/>
    <n v="561"/>
    <n v="897"/>
    <n v="436"/>
    <n v="7167"/>
    <n v="76491.92"/>
    <n v="38338.79"/>
    <n v="60617.99"/>
    <n v="48457.26"/>
    <n v="90602.08"/>
    <n v="64702.51"/>
    <n v="13181.86"/>
    <n v="51149.33"/>
    <n v="45950.85"/>
    <n v="52077.63"/>
    <n v="83268.509999999995"/>
    <n v="40473.879999999997"/>
    <n v="665312.61"/>
  </r>
  <r>
    <n v="389"/>
    <s v="Product_389"/>
    <x v="5"/>
    <n v="376.55"/>
    <n v="4.9000000000000004"/>
    <n v="542"/>
    <n v="637"/>
    <n v="720"/>
    <n v="748"/>
    <n v="347"/>
    <n v="78"/>
    <n v="854"/>
    <n v="389"/>
    <n v="799"/>
    <n v="620"/>
    <n v="963"/>
    <n v="352"/>
    <n v="335"/>
    <n v="6842"/>
    <n v="239862.35"/>
    <n v="271116"/>
    <n v="281659.40000000002"/>
    <n v="130662.85"/>
    <n v="29370.9"/>
    <n v="321573.7"/>
    <n v="146477.95000000001"/>
    <n v="300863.45"/>
    <n v="233461"/>
    <n v="362617.65"/>
    <n v="132545.60000000001"/>
    <n v="126144.25"/>
    <n v="2576355.1"/>
  </r>
  <r>
    <n v="390"/>
    <s v="Product_390"/>
    <x v="1"/>
    <n v="404.38"/>
    <n v="2.8"/>
    <n v="846"/>
    <n v="11"/>
    <n v="637"/>
    <n v="536"/>
    <n v="437"/>
    <n v="657"/>
    <n v="245"/>
    <n v="631"/>
    <n v="708"/>
    <n v="618"/>
    <n v="976"/>
    <n v="934"/>
    <n v="663"/>
    <n v="7053"/>
    <n v="4448.18"/>
    <n v="257590.06"/>
    <n v="216747.68"/>
    <n v="176714.06"/>
    <n v="265677.65999999997"/>
    <n v="99073.1"/>
    <n v="255163.78"/>
    <n v="286301.03999999998"/>
    <n v="249906.84"/>
    <n v="394674.88"/>
    <n v="377690.92"/>
    <n v="268103.94"/>
    <n v="2852092.1399999997"/>
  </r>
  <r>
    <n v="391"/>
    <s v="Product_391"/>
    <x v="3"/>
    <n v="495.3"/>
    <n v="1.9"/>
    <n v="507"/>
    <n v="527"/>
    <n v="234"/>
    <n v="510"/>
    <n v="1000"/>
    <n v="918"/>
    <n v="948"/>
    <n v="681"/>
    <n v="784"/>
    <n v="656"/>
    <n v="177"/>
    <n v="444"/>
    <n v="491"/>
    <n v="7370"/>
    <n v="261023.1"/>
    <n v="115900.2"/>
    <n v="252603"/>
    <n v="495300"/>
    <n v="454685.4"/>
    <n v="469544.4"/>
    <n v="337299.3"/>
    <n v="388315.2"/>
    <n v="324916.8"/>
    <n v="87668.1"/>
    <n v="219913.2"/>
    <n v="243192.30000000002"/>
    <n v="3650361"/>
  </r>
  <r>
    <n v="392"/>
    <s v="Product_392"/>
    <x v="2"/>
    <n v="209.25"/>
    <n v="1.3"/>
    <n v="596"/>
    <n v="719"/>
    <n v="415"/>
    <n v="801"/>
    <n v="214"/>
    <n v="181"/>
    <n v="83"/>
    <n v="156"/>
    <n v="893"/>
    <n v="368"/>
    <n v="292"/>
    <n v="234"/>
    <n v="916"/>
    <n v="5272"/>
    <n v="150450.75"/>
    <n v="86838.75"/>
    <n v="167609.25"/>
    <n v="44779.5"/>
    <n v="37874.25"/>
    <n v="17367.75"/>
    <n v="32643"/>
    <n v="186860.25"/>
    <n v="77004"/>
    <n v="61101"/>
    <n v="48964.5"/>
    <n v="191673"/>
    <n v="1103166"/>
  </r>
  <r>
    <n v="393"/>
    <s v="Product_393"/>
    <x v="2"/>
    <n v="189.15"/>
    <n v="1.7"/>
    <n v="881"/>
    <n v="554"/>
    <n v="937"/>
    <n v="578"/>
    <n v="428"/>
    <n v="498"/>
    <n v="206"/>
    <n v="334"/>
    <n v="775"/>
    <n v="865"/>
    <n v="45"/>
    <n v="106"/>
    <n v="867"/>
    <n v="6193"/>
    <n v="104789.1"/>
    <n v="177233.55000000002"/>
    <n v="109328.7"/>
    <n v="80956.2"/>
    <n v="94196.7"/>
    <n v="38964.9"/>
    <n v="63176.1"/>
    <n v="146591.25"/>
    <n v="163614.75"/>
    <n v="8511.75"/>
    <n v="20049.900000000001"/>
    <n v="163993.05000000002"/>
    <n v="1171405.95"/>
  </r>
  <r>
    <n v="394"/>
    <s v="Product_394"/>
    <x v="5"/>
    <n v="389.32"/>
    <n v="3.1"/>
    <n v="281"/>
    <n v="372"/>
    <n v="498"/>
    <n v="249"/>
    <n v="790"/>
    <n v="797"/>
    <n v="150"/>
    <n v="860"/>
    <n v="568"/>
    <n v="908"/>
    <n v="169"/>
    <n v="190"/>
    <n v="39"/>
    <n v="5590"/>
    <n v="144827.04"/>
    <n v="193881.36"/>
    <n v="96940.68"/>
    <n v="307562.8"/>
    <n v="310288.03999999998"/>
    <n v="58398"/>
    <n v="334815.2"/>
    <n v="221133.76"/>
    <n v="353502.56"/>
    <n v="65795.08"/>
    <n v="73970.8"/>
    <n v="15183.48"/>
    <n v="2176298.7999999998"/>
  </r>
  <r>
    <n v="395"/>
    <s v="Product_395"/>
    <x v="0"/>
    <n v="173.7"/>
    <n v="2.2999999999999998"/>
    <n v="424"/>
    <n v="483"/>
    <n v="973"/>
    <n v="919"/>
    <n v="497"/>
    <n v="761"/>
    <n v="667"/>
    <n v="259"/>
    <n v="297"/>
    <n v="909"/>
    <n v="270"/>
    <n v="991"/>
    <n v="358"/>
    <n v="7384"/>
    <n v="83897.099999999991"/>
    <n v="169010.09999999998"/>
    <n v="159630.29999999999"/>
    <n v="86328.9"/>
    <n v="132185.69999999998"/>
    <n v="115857.9"/>
    <n v="44988.299999999996"/>
    <n v="51588.899999999994"/>
    <n v="157893.29999999999"/>
    <n v="46899"/>
    <n v="172136.69999999998"/>
    <n v="62184.6"/>
    <n v="1282600.8"/>
  </r>
  <r>
    <n v="396"/>
    <s v="Product_396"/>
    <x v="1"/>
    <n v="465.72"/>
    <n v="4.3"/>
    <n v="856"/>
    <n v="972"/>
    <n v="633"/>
    <n v="509"/>
    <n v="539"/>
    <n v="865"/>
    <n v="527"/>
    <n v="81"/>
    <n v="609"/>
    <n v="650"/>
    <n v="416"/>
    <n v="529"/>
    <n v="573"/>
    <n v="6903"/>
    <n v="452679.84"/>
    <n v="294800.76"/>
    <n v="237051.48"/>
    <n v="251023.08000000002"/>
    <n v="402847.80000000005"/>
    <n v="245434.44"/>
    <n v="37723.32"/>
    <n v="283623.48000000004"/>
    <n v="302718"/>
    <n v="193739.52000000002"/>
    <n v="246365.88"/>
    <n v="266857.56"/>
    <n v="3214865.16"/>
  </r>
  <r>
    <n v="397"/>
    <s v="Product_397"/>
    <x v="5"/>
    <n v="429.91"/>
    <n v="2.7"/>
    <n v="270"/>
    <n v="646"/>
    <n v="649"/>
    <n v="629"/>
    <n v="746"/>
    <n v="825"/>
    <n v="164"/>
    <n v="753"/>
    <n v="136"/>
    <n v="795"/>
    <n v="847"/>
    <n v="912"/>
    <n v="253"/>
    <n v="7355"/>
    <n v="277721.86000000004"/>
    <n v="279011.59000000003"/>
    <n v="270413.39"/>
    <n v="320712.86000000004"/>
    <n v="354675.75"/>
    <n v="70505.240000000005"/>
    <n v="323722.23000000004"/>
    <n v="58467.76"/>
    <n v="341778.45"/>
    <n v="364133.77"/>
    <n v="392077.92000000004"/>
    <n v="108767.23000000001"/>
    <n v="3161988.0500000003"/>
  </r>
  <r>
    <n v="398"/>
    <s v="Product_398"/>
    <x v="2"/>
    <n v="217.35"/>
    <n v="2"/>
    <n v="154"/>
    <n v="227"/>
    <n v="114"/>
    <n v="72"/>
    <n v="366"/>
    <n v="707"/>
    <n v="916"/>
    <n v="440"/>
    <n v="375"/>
    <n v="809"/>
    <n v="138"/>
    <n v="737"/>
    <n v="965"/>
    <n v="5866"/>
    <n v="49338.45"/>
    <n v="24777.899999999998"/>
    <n v="15649.199999999999"/>
    <n v="79550.099999999991"/>
    <n v="153666.44999999998"/>
    <n v="199092.6"/>
    <n v="95634"/>
    <n v="81506.25"/>
    <n v="175836.15"/>
    <n v="29994.3"/>
    <n v="160186.94999999998"/>
    <n v="209742.75"/>
    <n v="1274975.1000000001"/>
  </r>
  <r>
    <n v="399"/>
    <s v="Product_399"/>
    <x v="3"/>
    <n v="376.68"/>
    <n v="3.5"/>
    <n v="614"/>
    <n v="622"/>
    <n v="931"/>
    <n v="281"/>
    <n v="312"/>
    <n v="834"/>
    <n v="974"/>
    <n v="944"/>
    <n v="86"/>
    <n v="991"/>
    <n v="246"/>
    <n v="678"/>
    <n v="580"/>
    <n v="7479"/>
    <n v="234294.96"/>
    <n v="350689.08"/>
    <n v="105847.08"/>
    <n v="117524.16"/>
    <n v="314151.12"/>
    <n v="366886.32"/>
    <n v="355585.92"/>
    <n v="32394.48"/>
    <n v="373289.88"/>
    <n v="92663.28"/>
    <n v="255389.04"/>
    <n v="218474.4"/>
    <n v="2817189.7199999997"/>
  </r>
  <r>
    <n v="400"/>
    <s v="Product_400"/>
    <x v="5"/>
    <n v="378.5"/>
    <n v="3.8"/>
    <n v="727"/>
    <n v="306"/>
    <n v="673"/>
    <n v="915"/>
    <n v="537"/>
    <n v="70"/>
    <n v="144"/>
    <n v="171"/>
    <n v="418"/>
    <n v="98"/>
    <n v="147"/>
    <n v="582"/>
    <n v="397"/>
    <n v="4458"/>
    <n v="115821"/>
    <n v="254730.5"/>
    <n v="346327.5"/>
    <n v="203254.5"/>
    <n v="26495"/>
    <n v="54504"/>
    <n v="64723.5"/>
    <n v="158213"/>
    <n v="37093"/>
    <n v="55639.5"/>
    <n v="220287"/>
    <n v="150264.5"/>
    <n v="1687353"/>
  </r>
  <r>
    <n v="401"/>
    <s v="Product_401"/>
    <x v="0"/>
    <n v="56.05"/>
    <n v="1.7"/>
    <n v="662"/>
    <n v="456"/>
    <n v="712"/>
    <n v="959"/>
    <n v="920"/>
    <n v="247"/>
    <n v="36"/>
    <n v="230"/>
    <n v="753"/>
    <n v="316"/>
    <n v="229"/>
    <n v="873"/>
    <n v="756"/>
    <n v="6487"/>
    <n v="25558.799999999999"/>
    <n v="39907.599999999999"/>
    <n v="53751.95"/>
    <n v="51566"/>
    <n v="13844.349999999999"/>
    <n v="2017.8"/>
    <n v="12891.5"/>
    <n v="42205.65"/>
    <n v="17711.8"/>
    <n v="12835.449999999999"/>
    <n v="48931.649999999994"/>
    <n v="42373.799999999996"/>
    <n v="363596.34999999992"/>
  </r>
  <r>
    <n v="402"/>
    <s v="Product_402"/>
    <x v="2"/>
    <n v="451.76"/>
    <n v="1.7"/>
    <n v="944"/>
    <n v="159"/>
    <n v="233"/>
    <n v="359"/>
    <n v="53"/>
    <n v="145"/>
    <n v="332"/>
    <n v="719"/>
    <n v="198"/>
    <n v="122"/>
    <n v="791"/>
    <n v="565"/>
    <n v="876"/>
    <n v="4552"/>
    <n v="71829.84"/>
    <n v="105260.08"/>
    <n v="162181.84"/>
    <n v="23943.279999999999"/>
    <n v="65505.2"/>
    <n v="149984.32000000001"/>
    <n v="324815.44"/>
    <n v="89448.48"/>
    <n v="55114.720000000001"/>
    <n v="357342.16"/>
    <n v="255244.4"/>
    <n v="395741.76"/>
    <n v="2056411.5199999998"/>
  </r>
  <r>
    <n v="403"/>
    <s v="Product_403"/>
    <x v="5"/>
    <n v="255.1"/>
    <n v="1.1000000000000001"/>
    <n v="83"/>
    <n v="330"/>
    <n v="539"/>
    <n v="9"/>
    <n v="540"/>
    <n v="617"/>
    <n v="402"/>
    <n v="74"/>
    <n v="462"/>
    <n v="319"/>
    <n v="636"/>
    <n v="244"/>
    <n v="169"/>
    <n v="4341"/>
    <n v="84183"/>
    <n v="137498.9"/>
    <n v="2295.9"/>
    <n v="137754"/>
    <n v="157396.69999999998"/>
    <n v="102550.2"/>
    <n v="18877.399999999998"/>
    <n v="117856.2"/>
    <n v="81376.899999999994"/>
    <n v="162243.6"/>
    <n v="62244.4"/>
    <n v="43111.9"/>
    <n v="1107389.0999999999"/>
  </r>
  <r>
    <n v="404"/>
    <s v="Product_404"/>
    <x v="1"/>
    <n v="414.1"/>
    <n v="3.9"/>
    <n v="622"/>
    <n v="775"/>
    <n v="10"/>
    <n v="210"/>
    <n v="466"/>
    <n v="774"/>
    <n v="413"/>
    <n v="269"/>
    <n v="436"/>
    <n v="798"/>
    <n v="703"/>
    <n v="994"/>
    <n v="689"/>
    <n v="6537"/>
    <n v="320927.5"/>
    <n v="4141"/>
    <n v="86961"/>
    <n v="192970.6"/>
    <n v="320513.40000000002"/>
    <n v="171023.30000000002"/>
    <n v="111392.90000000001"/>
    <n v="180547.6"/>
    <n v="330451.80000000005"/>
    <n v="291112.3"/>
    <n v="411615.4"/>
    <n v="285314.90000000002"/>
    <n v="2706971.7"/>
  </r>
  <r>
    <n v="405"/>
    <s v="Product_405"/>
    <x v="0"/>
    <n v="163.41999999999999"/>
    <n v="3.7"/>
    <n v="947"/>
    <n v="224"/>
    <n v="205"/>
    <n v="834"/>
    <n v="864"/>
    <n v="295"/>
    <n v="44"/>
    <n v="898"/>
    <n v="309"/>
    <n v="592"/>
    <n v="373"/>
    <n v="861"/>
    <n v="700"/>
    <n v="6199"/>
    <n v="36606.079999999994"/>
    <n v="33501.1"/>
    <n v="136292.28"/>
    <n v="141194.87999999998"/>
    <n v="48208.899999999994"/>
    <n v="7190.48"/>
    <n v="146751.15999999997"/>
    <n v="50496.78"/>
    <n v="96744.639999999999"/>
    <n v="60955.659999999996"/>
    <n v="140704.62"/>
    <n v="114393.99999999999"/>
    <n v="1013040.58"/>
  </r>
  <r>
    <n v="406"/>
    <s v="Product_406"/>
    <x v="1"/>
    <n v="448.28"/>
    <n v="2.9"/>
    <n v="899"/>
    <n v="982"/>
    <n v="678"/>
    <n v="151"/>
    <n v="163"/>
    <n v="581"/>
    <n v="401"/>
    <n v="625"/>
    <n v="595"/>
    <n v="494"/>
    <n v="79"/>
    <n v="75"/>
    <n v="510"/>
    <n v="5334"/>
    <n v="440210.95999999996"/>
    <n v="303933.83999999997"/>
    <n v="67690.28"/>
    <n v="73069.64"/>
    <n v="260450.68"/>
    <n v="179760.28"/>
    <n v="280175"/>
    <n v="266726.59999999998"/>
    <n v="221450.31999999998"/>
    <n v="35414.119999999995"/>
    <n v="33621"/>
    <n v="228622.8"/>
    <n v="2391125.5199999996"/>
  </r>
  <r>
    <n v="407"/>
    <s v="Product_407"/>
    <x v="1"/>
    <n v="197.65"/>
    <n v="4.4000000000000004"/>
    <n v="426"/>
    <n v="728"/>
    <n v="246"/>
    <n v="4"/>
    <n v="781"/>
    <n v="469"/>
    <n v="205"/>
    <n v="61"/>
    <n v="753"/>
    <n v="456"/>
    <n v="605"/>
    <n v="546"/>
    <n v="259"/>
    <n v="5113"/>
    <n v="143889.20000000001"/>
    <n v="48621.9"/>
    <n v="790.6"/>
    <n v="154364.65"/>
    <n v="92697.85"/>
    <n v="40518.25"/>
    <n v="12056.65"/>
    <n v="148830.45000000001"/>
    <n v="90128.400000000009"/>
    <n v="119578.25"/>
    <n v="107916.90000000001"/>
    <n v="51191.35"/>
    <n v="1010584.4500000001"/>
  </r>
  <r>
    <n v="408"/>
    <s v="Product_408"/>
    <x v="1"/>
    <n v="10.36"/>
    <n v="4.2"/>
    <n v="275"/>
    <n v="503"/>
    <n v="558"/>
    <n v="194"/>
    <n v="333"/>
    <n v="505"/>
    <n v="61"/>
    <n v="873"/>
    <n v="280"/>
    <n v="521"/>
    <n v="737"/>
    <n v="266"/>
    <n v="583"/>
    <n v="5414"/>
    <n v="5211.08"/>
    <n v="5780.88"/>
    <n v="2009.84"/>
    <n v="3449.8799999999997"/>
    <n v="5231.7999999999993"/>
    <n v="631.95999999999992"/>
    <n v="9044.2799999999988"/>
    <n v="2900.7999999999997"/>
    <n v="5397.5599999999995"/>
    <n v="7635.32"/>
    <n v="2755.7599999999998"/>
    <n v="6039.88"/>
    <n v="56089.039999999994"/>
  </r>
  <r>
    <n v="409"/>
    <s v="Product_409"/>
    <x v="5"/>
    <n v="453.16"/>
    <n v="3.3"/>
    <n v="713"/>
    <n v="455"/>
    <n v="757"/>
    <n v="953"/>
    <n v="546"/>
    <n v="192"/>
    <n v="419"/>
    <n v="319"/>
    <n v="322"/>
    <n v="519"/>
    <n v="64"/>
    <n v="316"/>
    <n v="983"/>
    <n v="5845"/>
    <n v="206187.80000000002"/>
    <n v="343042.12"/>
    <n v="431861.48000000004"/>
    <n v="247425.36000000002"/>
    <n v="87006.720000000001"/>
    <n v="189874.04"/>
    <n v="144558.04"/>
    <n v="145917.52000000002"/>
    <n v="235190.04"/>
    <n v="29002.240000000002"/>
    <n v="143198.56"/>
    <n v="445456.28"/>
    <n v="2648720.2000000002"/>
  </r>
  <r>
    <n v="410"/>
    <s v="Product_410"/>
    <x v="0"/>
    <n v="50.19"/>
    <n v="4.5"/>
    <n v="284"/>
    <n v="44"/>
    <n v="126"/>
    <n v="282"/>
    <n v="797"/>
    <n v="67"/>
    <n v="867"/>
    <n v="101"/>
    <n v="763"/>
    <n v="916"/>
    <n v="87"/>
    <n v="811"/>
    <n v="458"/>
    <n v="5319"/>
    <n v="2208.3599999999997"/>
    <n v="6323.94"/>
    <n v="14153.58"/>
    <n v="40001.43"/>
    <n v="3362.73"/>
    <n v="43514.729999999996"/>
    <n v="5069.1899999999996"/>
    <n v="38294.97"/>
    <n v="45974.04"/>
    <n v="4366.53"/>
    <n v="40704.089999999997"/>
    <n v="22987.02"/>
    <n v="266960.61"/>
  </r>
  <r>
    <n v="411"/>
    <s v="Product_411"/>
    <x v="5"/>
    <n v="163.06"/>
    <n v="1.8"/>
    <n v="980"/>
    <n v="213"/>
    <n v="146"/>
    <n v="463"/>
    <n v="347"/>
    <n v="493"/>
    <n v="467"/>
    <n v="428"/>
    <n v="701"/>
    <n v="716"/>
    <n v="87"/>
    <n v="120"/>
    <n v="528"/>
    <n v="4709"/>
    <n v="34731.78"/>
    <n v="23806.760000000002"/>
    <n v="75496.78"/>
    <n v="56581.82"/>
    <n v="80388.58"/>
    <n v="76149.02"/>
    <n v="69789.680000000008"/>
    <n v="114305.06"/>
    <n v="116750.96"/>
    <n v="14186.22"/>
    <n v="19567.2"/>
    <n v="86095.680000000008"/>
    <n v="767849.53999999992"/>
  </r>
  <r>
    <n v="412"/>
    <s v="Product_412"/>
    <x v="5"/>
    <n v="475.28"/>
    <n v="1.4"/>
    <n v="173"/>
    <n v="58"/>
    <n v="117"/>
    <n v="112"/>
    <n v="272"/>
    <n v="816"/>
    <n v="819"/>
    <n v="873"/>
    <n v="950"/>
    <n v="314"/>
    <n v="712"/>
    <n v="835"/>
    <n v="881"/>
    <n v="6759"/>
    <n v="27566.239999999998"/>
    <n v="55607.759999999995"/>
    <n v="53231.360000000001"/>
    <n v="129276.15999999999"/>
    <n v="387828.47999999998"/>
    <n v="389254.31999999995"/>
    <n v="414919.44"/>
    <n v="451516"/>
    <n v="149237.91999999998"/>
    <n v="338399.36"/>
    <n v="396858.8"/>
    <n v="418721.68"/>
    <n v="3212417.52"/>
  </r>
  <r>
    <n v="413"/>
    <s v="Product_413"/>
    <x v="5"/>
    <n v="475.55"/>
    <n v="2.1"/>
    <n v="327"/>
    <n v="643"/>
    <n v="910"/>
    <n v="270"/>
    <n v="962"/>
    <n v="51"/>
    <n v="18"/>
    <n v="721"/>
    <n v="941"/>
    <n v="945"/>
    <n v="725"/>
    <n v="24"/>
    <n v="340"/>
    <n v="6550"/>
    <n v="305778.65000000002"/>
    <n v="432750.5"/>
    <n v="128398.5"/>
    <n v="457479.10000000003"/>
    <n v="24253.05"/>
    <n v="8559.9"/>
    <n v="342871.55"/>
    <n v="447492.55"/>
    <n v="449394.75"/>
    <n v="344773.75"/>
    <n v="11413.2"/>
    <n v="161687"/>
    <n v="3114852.5"/>
  </r>
  <r>
    <n v="414"/>
    <s v="Product_414"/>
    <x v="2"/>
    <n v="288.85000000000002"/>
    <n v="1.2"/>
    <n v="718"/>
    <n v="615"/>
    <n v="381"/>
    <n v="162"/>
    <n v="719"/>
    <n v="881"/>
    <n v="364"/>
    <n v="953"/>
    <n v="151"/>
    <n v="708"/>
    <n v="203"/>
    <n v="431"/>
    <n v="56"/>
    <n v="5624"/>
    <n v="177642.75"/>
    <n v="110051.85"/>
    <n v="46793.700000000004"/>
    <n v="207683.15000000002"/>
    <n v="254476.85"/>
    <n v="105141.40000000001"/>
    <n v="275274.05000000005"/>
    <n v="43616.350000000006"/>
    <n v="204505.80000000002"/>
    <n v="58636.55"/>
    <n v="124494.35"/>
    <n v="16175.600000000002"/>
    <n v="1624492.4000000004"/>
  </r>
  <r>
    <n v="415"/>
    <s v="Product_415"/>
    <x v="6"/>
    <n v="317.76"/>
    <n v="3.1"/>
    <n v="63"/>
    <n v="194"/>
    <n v="411"/>
    <n v="459"/>
    <n v="749"/>
    <n v="362"/>
    <n v="299"/>
    <n v="254"/>
    <n v="993"/>
    <n v="709"/>
    <n v="912"/>
    <n v="159"/>
    <n v="217"/>
    <n v="5718"/>
    <n v="61645.439999999995"/>
    <n v="130599.36"/>
    <n v="145851.84"/>
    <n v="238002.24"/>
    <n v="115029.12"/>
    <n v="95010.239999999991"/>
    <n v="80711.039999999994"/>
    <n v="315535.68"/>
    <n v="225291.84"/>
    <n v="289797.12"/>
    <n v="50523.839999999997"/>
    <n v="68953.919999999998"/>
    <n v="1816951.68"/>
  </r>
  <r>
    <n v="416"/>
    <s v="Product_416"/>
    <x v="4"/>
    <n v="226.98"/>
    <n v="4.7"/>
    <n v="73"/>
    <n v="924"/>
    <n v="663"/>
    <n v="104"/>
    <n v="413"/>
    <n v="796"/>
    <n v="6"/>
    <n v="531"/>
    <n v="301"/>
    <n v="541"/>
    <n v="381"/>
    <n v="595"/>
    <n v="618"/>
    <n v="5873"/>
    <n v="209729.52"/>
    <n v="150487.74"/>
    <n v="23605.919999999998"/>
    <n v="93742.739999999991"/>
    <n v="180676.08"/>
    <n v="1361.8799999999999"/>
    <n v="120526.37999999999"/>
    <n v="68320.98"/>
    <n v="122796.18"/>
    <n v="86479.37999999999"/>
    <n v="135053.1"/>
    <n v="140273.63999999998"/>
    <n v="1333053.5399999998"/>
  </r>
  <r>
    <n v="417"/>
    <s v="Product_417"/>
    <x v="2"/>
    <n v="150.13999999999999"/>
    <n v="1.2"/>
    <n v="763"/>
    <n v="488"/>
    <n v="583"/>
    <n v="692"/>
    <n v="499"/>
    <n v="916"/>
    <n v="760"/>
    <n v="569"/>
    <n v="277"/>
    <n v="478"/>
    <n v="600"/>
    <n v="113"/>
    <n v="815"/>
    <n v="6790"/>
    <n v="73268.319999999992"/>
    <n v="87531.62"/>
    <n v="103896.87999999999"/>
    <n v="74919.859999999986"/>
    <n v="137528.24"/>
    <n v="114106.4"/>
    <n v="85429.659999999989"/>
    <n v="41588.78"/>
    <n v="71766.92"/>
    <n v="90083.999999999985"/>
    <n v="16965.82"/>
    <n v="122364.09999999999"/>
    <n v="1019450.6"/>
  </r>
  <r>
    <n v="418"/>
    <s v="Product_418"/>
    <x v="0"/>
    <n v="167.69"/>
    <n v="1.5"/>
    <n v="636"/>
    <n v="156"/>
    <n v="362"/>
    <n v="555"/>
    <n v="92"/>
    <n v="473"/>
    <n v="427"/>
    <n v="111"/>
    <n v="650"/>
    <n v="912"/>
    <n v="475"/>
    <n v="734"/>
    <n v="939"/>
    <n v="5886"/>
    <n v="26159.64"/>
    <n v="60703.78"/>
    <n v="93067.95"/>
    <n v="15427.48"/>
    <n v="79317.37"/>
    <n v="71603.63"/>
    <n v="18613.59"/>
    <n v="108998.5"/>
    <n v="152933.28"/>
    <n v="79652.75"/>
    <n v="123084.45999999999"/>
    <n v="157460.91"/>
    <n v="987023.34"/>
  </r>
  <r>
    <n v="419"/>
    <s v="Product_419"/>
    <x v="4"/>
    <n v="337.9"/>
    <n v="2.8"/>
    <n v="375"/>
    <n v="609"/>
    <n v="508"/>
    <n v="281"/>
    <n v="684"/>
    <n v="845"/>
    <n v="116"/>
    <n v="984"/>
    <n v="687"/>
    <n v="970"/>
    <n v="572"/>
    <n v="899"/>
    <n v="684"/>
    <n v="7839"/>
    <n v="205781.09999999998"/>
    <n v="171653.19999999998"/>
    <n v="94949.9"/>
    <n v="231123.59999999998"/>
    <n v="285525.5"/>
    <n v="39196.399999999994"/>
    <n v="332493.59999999998"/>
    <n v="232137.3"/>
    <n v="327763"/>
    <n v="193278.8"/>
    <n v="303772.09999999998"/>
    <n v="231123.59999999998"/>
    <n v="2648798.1"/>
  </r>
  <r>
    <n v="420"/>
    <s v="Product_420"/>
    <x v="4"/>
    <n v="377.43"/>
    <n v="4.7"/>
    <n v="633"/>
    <n v="225"/>
    <n v="136"/>
    <n v="686"/>
    <n v="78"/>
    <n v="520"/>
    <n v="579"/>
    <n v="312"/>
    <n v="7"/>
    <n v="19"/>
    <n v="782"/>
    <n v="501"/>
    <n v="730"/>
    <n v="4575"/>
    <n v="84921.75"/>
    <n v="51330.48"/>
    <n v="258916.98"/>
    <n v="29439.54"/>
    <n v="196263.6"/>
    <n v="218531.97"/>
    <n v="117758.16"/>
    <n v="2642.01"/>
    <n v="7171.17"/>
    <n v="295150.26"/>
    <n v="189092.43"/>
    <n v="275523.90000000002"/>
    <n v="1726742.25"/>
  </r>
  <r>
    <n v="421"/>
    <s v="Product_421"/>
    <x v="4"/>
    <n v="396.83"/>
    <n v="2.2999999999999998"/>
    <n v="508"/>
    <n v="411"/>
    <n v="174"/>
    <n v="161"/>
    <n v="621"/>
    <n v="762"/>
    <n v="506"/>
    <n v="997"/>
    <n v="806"/>
    <n v="559"/>
    <n v="605"/>
    <n v="165"/>
    <n v="463"/>
    <n v="6230"/>
    <n v="163097.13"/>
    <n v="69048.42"/>
    <n v="63889.63"/>
    <n v="246431.43"/>
    <n v="302384.45999999996"/>
    <n v="200795.97999999998"/>
    <n v="395639.51"/>
    <n v="319844.98"/>
    <n v="221827.97"/>
    <n v="240082.15"/>
    <n v="65476.95"/>
    <n v="183732.28999999998"/>
    <n v="2472250.9000000004"/>
  </r>
  <r>
    <n v="422"/>
    <s v="Product_422"/>
    <x v="6"/>
    <n v="395.86"/>
    <n v="3"/>
    <n v="787"/>
    <n v="204"/>
    <n v="288"/>
    <n v="982"/>
    <n v="216"/>
    <n v="430"/>
    <n v="545"/>
    <n v="460"/>
    <n v="234"/>
    <n v="968"/>
    <n v="818"/>
    <n v="702"/>
    <n v="246"/>
    <n v="6093"/>
    <n v="80755.44"/>
    <n v="114007.68000000001"/>
    <n v="388734.52"/>
    <n v="85505.760000000009"/>
    <n v="170219.80000000002"/>
    <n v="215743.7"/>
    <n v="182095.6"/>
    <n v="92631.24"/>
    <n v="383192.48000000004"/>
    <n v="323813.48000000004"/>
    <n v="277893.72000000003"/>
    <n v="97381.56"/>
    <n v="2411974.9800000004"/>
  </r>
  <r>
    <n v="423"/>
    <s v="Product_423"/>
    <x v="5"/>
    <n v="50.15"/>
    <n v="1.2"/>
    <n v="943"/>
    <n v="78"/>
    <n v="957"/>
    <n v="350"/>
    <n v="946"/>
    <n v="843"/>
    <n v="705"/>
    <n v="707"/>
    <n v="674"/>
    <n v="129"/>
    <n v="538"/>
    <n v="174"/>
    <n v="729"/>
    <n v="6830"/>
    <n v="3911.7"/>
    <n v="47993.549999999996"/>
    <n v="17552.5"/>
    <n v="47441.9"/>
    <n v="42276.45"/>
    <n v="35355.75"/>
    <n v="35456.049999999996"/>
    <n v="33801.1"/>
    <n v="6469.3499999999995"/>
    <n v="26980.7"/>
    <n v="8726.1"/>
    <n v="36559.35"/>
    <n v="342524.49999999988"/>
  </r>
  <r>
    <n v="424"/>
    <s v="Product_424"/>
    <x v="3"/>
    <n v="249.74"/>
    <n v="1.6"/>
    <n v="398"/>
    <n v="123"/>
    <n v="480"/>
    <n v="433"/>
    <n v="357"/>
    <n v="297"/>
    <n v="324"/>
    <n v="886"/>
    <n v="560"/>
    <n v="292"/>
    <n v="213"/>
    <n v="0"/>
    <n v="372"/>
    <n v="4337"/>
    <n v="30718.02"/>
    <n v="119875.20000000001"/>
    <n v="108137.42"/>
    <n v="89157.180000000008"/>
    <n v="74172.78"/>
    <n v="80915.760000000009"/>
    <n v="221269.64"/>
    <n v="139854.39999999999"/>
    <n v="72924.08"/>
    <n v="53194.62"/>
    <n v="0"/>
    <n v="92903.28"/>
    <n v="1083122.3799999999"/>
  </r>
  <r>
    <n v="425"/>
    <s v="Product_425"/>
    <x v="0"/>
    <n v="33.49"/>
    <n v="4.9000000000000004"/>
    <n v="120"/>
    <n v="470"/>
    <n v="18"/>
    <n v="851"/>
    <n v="617"/>
    <n v="434"/>
    <n v="54"/>
    <n v="461"/>
    <n v="301"/>
    <n v="896"/>
    <n v="73"/>
    <n v="898"/>
    <n v="416"/>
    <n v="5489"/>
    <n v="15740.300000000001"/>
    <n v="602.82000000000005"/>
    <n v="28499.99"/>
    <n v="20663.330000000002"/>
    <n v="14534.660000000002"/>
    <n v="1808.46"/>
    <n v="15438.890000000001"/>
    <n v="10080.49"/>
    <n v="30007.040000000001"/>
    <n v="2444.77"/>
    <n v="30074.02"/>
    <n v="13931.84"/>
    <n v="183826.61"/>
  </r>
  <r>
    <n v="426"/>
    <s v="Product_426"/>
    <x v="6"/>
    <n v="277.02"/>
    <n v="4.9000000000000004"/>
    <n v="934"/>
    <n v="939"/>
    <n v="194"/>
    <n v="139"/>
    <n v="506"/>
    <n v="695"/>
    <n v="777"/>
    <n v="864"/>
    <n v="37"/>
    <n v="131"/>
    <n v="60"/>
    <n v="740"/>
    <n v="30"/>
    <n v="5112"/>
    <n v="260121.77999999997"/>
    <n v="53741.88"/>
    <n v="38505.78"/>
    <n v="140172.12"/>
    <n v="192528.9"/>
    <n v="215244.53999999998"/>
    <n v="239345.27999999997"/>
    <n v="10249.74"/>
    <n v="36289.619999999995"/>
    <n v="16621.199999999997"/>
    <n v="204994.8"/>
    <n v="8310.5999999999985"/>
    <n v="1416126.2400000002"/>
  </r>
  <r>
    <n v="427"/>
    <s v="Product_427"/>
    <x v="6"/>
    <n v="223.56"/>
    <n v="1"/>
    <n v="437"/>
    <n v="217"/>
    <n v="329"/>
    <n v="470"/>
    <n v="558"/>
    <n v="690"/>
    <n v="991"/>
    <n v="91"/>
    <n v="135"/>
    <n v="355"/>
    <n v="697"/>
    <n v="85"/>
    <n v="367"/>
    <n v="4985"/>
    <n v="48512.520000000004"/>
    <n v="73551.240000000005"/>
    <n v="105073.2"/>
    <n v="124746.48"/>
    <n v="154256.4"/>
    <n v="221547.96"/>
    <n v="20343.96"/>
    <n v="30180.6"/>
    <n v="79363.8"/>
    <n v="155821.32"/>
    <n v="19002.599999999999"/>
    <n v="82046.52"/>
    <n v="1114446.5999999999"/>
  </r>
  <r>
    <n v="428"/>
    <s v="Product_428"/>
    <x v="3"/>
    <n v="444.41"/>
    <n v="4.8"/>
    <n v="829"/>
    <n v="515"/>
    <n v="935"/>
    <n v="131"/>
    <n v="180"/>
    <n v="197"/>
    <n v="41"/>
    <n v="51"/>
    <n v="821"/>
    <n v="53"/>
    <n v="542"/>
    <n v="573"/>
    <n v="558"/>
    <n v="4597"/>
    <n v="228871.15000000002"/>
    <n v="415523.35000000003"/>
    <n v="58217.710000000006"/>
    <n v="79993.8"/>
    <n v="87548.77"/>
    <n v="18220.810000000001"/>
    <n v="22664.91"/>
    <n v="364860.61000000004"/>
    <n v="23553.73"/>
    <n v="240870.22"/>
    <n v="254646.93000000002"/>
    <n v="247980.78000000003"/>
    <n v="2042952.77"/>
  </r>
  <r>
    <n v="429"/>
    <s v="Product_429"/>
    <x v="4"/>
    <n v="178.7"/>
    <n v="3.6"/>
    <n v="676"/>
    <n v="601"/>
    <n v="174"/>
    <n v="86"/>
    <n v="575"/>
    <n v="127"/>
    <n v="296"/>
    <n v="804"/>
    <n v="420"/>
    <n v="889"/>
    <n v="218"/>
    <n v="319"/>
    <n v="645"/>
    <n v="5154"/>
    <n v="107398.7"/>
    <n v="31093.8"/>
    <n v="15368.199999999999"/>
    <n v="102752.5"/>
    <n v="22694.899999999998"/>
    <n v="52895.199999999997"/>
    <n v="143674.79999999999"/>
    <n v="75054"/>
    <n v="158864.29999999999"/>
    <n v="38956.6"/>
    <n v="57005.299999999996"/>
    <n v="115261.49999999999"/>
    <n v="921019.80000000016"/>
  </r>
  <r>
    <n v="430"/>
    <s v="Product_430"/>
    <x v="5"/>
    <n v="62.95"/>
    <n v="4.5"/>
    <n v="936"/>
    <n v="103"/>
    <n v="448"/>
    <n v="687"/>
    <n v="245"/>
    <n v="531"/>
    <n v="972"/>
    <n v="519"/>
    <n v="218"/>
    <n v="792"/>
    <n v="11"/>
    <n v="400"/>
    <n v="107"/>
    <n v="5033"/>
    <n v="6483.85"/>
    <n v="28201.600000000002"/>
    <n v="43246.65"/>
    <n v="15422.75"/>
    <n v="33426.450000000004"/>
    <n v="61187.4"/>
    <n v="32671.050000000003"/>
    <n v="13723.1"/>
    <n v="49856.4"/>
    <n v="692.45"/>
    <n v="25180"/>
    <n v="6735.6500000000005"/>
    <n v="316827.35000000003"/>
  </r>
  <r>
    <n v="431"/>
    <s v="Product_431"/>
    <x v="3"/>
    <n v="75.78"/>
    <n v="2.8"/>
    <n v="465"/>
    <n v="392"/>
    <n v="924"/>
    <n v="182"/>
    <n v="243"/>
    <n v="983"/>
    <n v="230"/>
    <n v="811"/>
    <n v="347"/>
    <n v="386"/>
    <n v="813"/>
    <n v="381"/>
    <n v="583"/>
    <n v="6275"/>
    <n v="29705.760000000002"/>
    <n v="70020.72"/>
    <n v="13791.960000000001"/>
    <n v="18414.54"/>
    <n v="74491.740000000005"/>
    <n v="17429.400000000001"/>
    <n v="61457.58"/>
    <n v="26295.66"/>
    <n v="29251.08"/>
    <n v="61609.14"/>
    <n v="28872.18"/>
    <n v="44179.74"/>
    <n v="475519.5"/>
  </r>
  <r>
    <n v="432"/>
    <s v="Product_432"/>
    <x v="3"/>
    <n v="381.95"/>
    <n v="3.1"/>
    <n v="286"/>
    <n v="630"/>
    <n v="945"/>
    <n v="367"/>
    <n v="505"/>
    <n v="410"/>
    <n v="452"/>
    <n v="97"/>
    <n v="807"/>
    <n v="264"/>
    <n v="414"/>
    <n v="717"/>
    <n v="838"/>
    <n v="6446"/>
    <n v="240628.5"/>
    <n v="360942.75"/>
    <n v="140175.65"/>
    <n v="192884.75"/>
    <n v="156599.5"/>
    <n v="172641.4"/>
    <n v="37049.15"/>
    <n v="308233.64999999997"/>
    <n v="100834.8"/>
    <n v="158127.29999999999"/>
    <n v="273858.14999999997"/>
    <n v="320074.09999999998"/>
    <n v="2462049.6999999997"/>
  </r>
  <r>
    <n v="433"/>
    <s v="Product_433"/>
    <x v="6"/>
    <n v="311.02"/>
    <n v="3"/>
    <n v="265"/>
    <n v="644"/>
    <n v="353"/>
    <n v="128"/>
    <n v="421"/>
    <n v="933"/>
    <n v="889"/>
    <n v="235"/>
    <n v="545"/>
    <n v="981"/>
    <n v="31"/>
    <n v="616"/>
    <n v="417"/>
    <n v="6193"/>
    <n v="200296.87999999998"/>
    <n v="109790.06"/>
    <n v="39810.559999999998"/>
    <n v="130939.42"/>
    <n v="290181.65999999997"/>
    <n v="276496.77999999997"/>
    <n v="73089.7"/>
    <n v="169505.9"/>
    <n v="305110.62"/>
    <n v="9641.619999999999"/>
    <n v="191588.31999999998"/>
    <n v="129695.34"/>
    <n v="1926146.8599999999"/>
  </r>
  <r>
    <n v="434"/>
    <s v="Product_434"/>
    <x v="0"/>
    <n v="55.06"/>
    <n v="3.7"/>
    <n v="320"/>
    <n v="823"/>
    <n v="498"/>
    <n v="245"/>
    <n v="319"/>
    <n v="839"/>
    <n v="393"/>
    <n v="900"/>
    <n v="863"/>
    <n v="214"/>
    <n v="159"/>
    <n v="317"/>
    <n v="619"/>
    <n v="6189"/>
    <n v="45314.380000000005"/>
    <n v="27419.88"/>
    <n v="13489.7"/>
    <n v="17564.14"/>
    <n v="46195.340000000004"/>
    <n v="21638.58"/>
    <n v="49554"/>
    <n v="47516.78"/>
    <n v="11782.84"/>
    <n v="8754.5400000000009"/>
    <n v="17454.02"/>
    <n v="34082.14"/>
    <n v="340766.34000000008"/>
  </r>
  <r>
    <n v="435"/>
    <s v="Product_435"/>
    <x v="1"/>
    <n v="46.63"/>
    <n v="1.6"/>
    <n v="673"/>
    <n v="607"/>
    <n v="140"/>
    <n v="600"/>
    <n v="86"/>
    <n v="64"/>
    <n v="521"/>
    <n v="373"/>
    <n v="78"/>
    <n v="459"/>
    <n v="1000"/>
    <n v="802"/>
    <n v="820"/>
    <n v="5550"/>
    <n v="28304.41"/>
    <n v="6528.2000000000007"/>
    <n v="27978"/>
    <n v="4010.1800000000003"/>
    <n v="2984.32"/>
    <n v="24294.23"/>
    <n v="17392.990000000002"/>
    <n v="3637.1400000000003"/>
    <n v="21403.170000000002"/>
    <n v="46630"/>
    <n v="37397.26"/>
    <n v="38236.6"/>
    <n v="258796.50000000003"/>
  </r>
  <r>
    <n v="436"/>
    <s v="Product_436"/>
    <x v="5"/>
    <n v="351.98"/>
    <n v="1.1000000000000001"/>
    <n v="376"/>
    <n v="979"/>
    <n v="757"/>
    <n v="577"/>
    <n v="216"/>
    <n v="693"/>
    <n v="357"/>
    <n v="580"/>
    <n v="747"/>
    <n v="457"/>
    <n v="236"/>
    <n v="249"/>
    <n v="397"/>
    <n v="6245"/>
    <n v="344588.42000000004"/>
    <n v="266448.86"/>
    <n v="203092.46000000002"/>
    <n v="76027.680000000008"/>
    <n v="243922.14"/>
    <n v="125656.86"/>
    <n v="204148.40000000002"/>
    <n v="262929.06"/>
    <n v="160854.86000000002"/>
    <n v="83067.28"/>
    <n v="87643.02"/>
    <n v="139736.06"/>
    <n v="2198115.1000000006"/>
  </r>
  <r>
    <n v="437"/>
    <s v="Product_437"/>
    <x v="3"/>
    <n v="41.02"/>
    <n v="2.2000000000000002"/>
    <n v="820"/>
    <n v="433"/>
    <n v="896"/>
    <n v="669"/>
    <n v="489"/>
    <n v="240"/>
    <n v="986"/>
    <n v="926"/>
    <n v="894"/>
    <n v="801"/>
    <n v="738"/>
    <n v="524"/>
    <n v="271"/>
    <n v="7867"/>
    <n v="17761.66"/>
    <n v="36753.920000000006"/>
    <n v="27442.38"/>
    <n v="20058.780000000002"/>
    <n v="9844.8000000000011"/>
    <n v="40445.72"/>
    <n v="37984.520000000004"/>
    <n v="36671.880000000005"/>
    <n v="32857.020000000004"/>
    <n v="30272.760000000002"/>
    <n v="21494.480000000003"/>
    <n v="11116.42"/>
    <n v="322704.34000000003"/>
  </r>
  <r>
    <n v="438"/>
    <s v="Product_438"/>
    <x v="5"/>
    <n v="411.82"/>
    <n v="3.8"/>
    <n v="89"/>
    <n v="330"/>
    <n v="929"/>
    <n v="898"/>
    <n v="518"/>
    <n v="368"/>
    <n v="443"/>
    <n v="556"/>
    <n v="272"/>
    <n v="42"/>
    <n v="180"/>
    <n v="674"/>
    <n v="682"/>
    <n v="5892"/>
    <n v="135900.6"/>
    <n v="382580.77999999997"/>
    <n v="369814.36"/>
    <n v="213322.76"/>
    <n v="151549.76000000001"/>
    <n v="182436.26"/>
    <n v="228971.91999999998"/>
    <n v="112015.03999999999"/>
    <n v="17296.439999999999"/>
    <n v="74127.600000000006"/>
    <n v="277566.68"/>
    <n v="280861.24"/>
    <n v="2426443.4400000004"/>
  </r>
  <r>
    <n v="439"/>
    <s v="Product_439"/>
    <x v="3"/>
    <n v="354.59"/>
    <n v="1.8"/>
    <n v="654"/>
    <n v="142"/>
    <n v="92"/>
    <n v="377"/>
    <n v="277"/>
    <n v="535"/>
    <n v="127"/>
    <n v="648"/>
    <n v="160"/>
    <n v="585"/>
    <n v="828"/>
    <n v="554"/>
    <n v="115"/>
    <n v="4440"/>
    <n v="50351.78"/>
    <n v="32622.28"/>
    <n v="133680.43"/>
    <n v="98221.43"/>
    <n v="189705.65"/>
    <n v="45032.93"/>
    <n v="229774.31999999998"/>
    <n v="56734.399999999994"/>
    <n v="207435.15"/>
    <n v="293600.51999999996"/>
    <n v="196442.86"/>
    <n v="40777.85"/>
    <n v="1574379.6"/>
  </r>
  <r>
    <n v="440"/>
    <s v="Product_440"/>
    <x v="4"/>
    <n v="45.27"/>
    <n v="3.7"/>
    <n v="203"/>
    <n v="799"/>
    <n v="943"/>
    <n v="148"/>
    <n v="848"/>
    <n v="383"/>
    <n v="690"/>
    <n v="233"/>
    <n v="686"/>
    <n v="861"/>
    <n v="557"/>
    <n v="897"/>
    <n v="840"/>
    <n v="7885"/>
    <n v="36170.730000000003"/>
    <n v="42689.61"/>
    <n v="6699.96"/>
    <n v="38388.959999999999"/>
    <n v="17338.41"/>
    <n v="31236.300000000003"/>
    <n v="10547.91"/>
    <n v="31055.22"/>
    <n v="38977.47"/>
    <n v="25215.390000000003"/>
    <n v="40607.19"/>
    <n v="38026.800000000003"/>
    <n v="356953.95"/>
  </r>
  <r>
    <n v="441"/>
    <s v="Product_441"/>
    <x v="5"/>
    <n v="46.99"/>
    <n v="4.9000000000000004"/>
    <n v="821"/>
    <n v="539"/>
    <n v="238"/>
    <n v="984"/>
    <n v="721"/>
    <n v="430"/>
    <n v="404"/>
    <n v="31"/>
    <n v="877"/>
    <n v="277"/>
    <n v="340"/>
    <n v="951"/>
    <n v="585"/>
    <n v="6377"/>
    <n v="25327.61"/>
    <n v="11183.62"/>
    <n v="46238.16"/>
    <n v="33879.79"/>
    <n v="20205.7"/>
    <n v="18983.96"/>
    <n v="1456.69"/>
    <n v="41210.230000000003"/>
    <n v="13016.230000000001"/>
    <n v="15976.6"/>
    <n v="44687.490000000005"/>
    <n v="27489.15"/>
    <n v="299655.2300000001"/>
  </r>
  <r>
    <n v="442"/>
    <s v="Product_442"/>
    <x v="4"/>
    <n v="493.39"/>
    <n v="1.4"/>
    <n v="739"/>
    <n v="277"/>
    <n v="204"/>
    <n v="851"/>
    <n v="168"/>
    <n v="966"/>
    <n v="391"/>
    <n v="288"/>
    <n v="307"/>
    <n v="837"/>
    <n v="457"/>
    <n v="622"/>
    <n v="255"/>
    <n v="5623"/>
    <n v="136669.03"/>
    <n v="100651.56"/>
    <n v="419874.89"/>
    <n v="82889.52"/>
    <n v="476614.74"/>
    <n v="192915.49"/>
    <n v="142096.32000000001"/>
    <n v="151470.72999999998"/>
    <n v="412967.43"/>
    <n v="225479.22999999998"/>
    <n v="306888.58"/>
    <n v="125814.45"/>
    <n v="2774331.97"/>
  </r>
  <r>
    <n v="443"/>
    <s v="Product_443"/>
    <x v="6"/>
    <n v="190.26"/>
    <n v="3.7"/>
    <n v="955"/>
    <n v="232"/>
    <n v="559"/>
    <n v="432"/>
    <n v="329"/>
    <n v="82"/>
    <n v="192"/>
    <n v="637"/>
    <n v="373"/>
    <n v="753"/>
    <n v="79"/>
    <n v="716"/>
    <n v="80"/>
    <n v="4464"/>
    <n v="44140.32"/>
    <n v="106355.34"/>
    <n v="82192.319999999992"/>
    <n v="62595.539999999994"/>
    <n v="15601.32"/>
    <n v="36529.919999999998"/>
    <n v="121195.62"/>
    <n v="70966.98"/>
    <n v="143265.78"/>
    <n v="15030.539999999999"/>
    <n v="136226.16"/>
    <n v="15220.8"/>
    <n v="849320.64000000013"/>
  </r>
  <r>
    <n v="444"/>
    <s v="Product_444"/>
    <x v="4"/>
    <n v="188.47"/>
    <n v="2.8"/>
    <n v="334"/>
    <n v="528"/>
    <n v="432"/>
    <n v="627"/>
    <n v="649"/>
    <n v="981"/>
    <n v="603"/>
    <n v="578"/>
    <n v="975"/>
    <n v="129"/>
    <n v="646"/>
    <n v="895"/>
    <n v="779"/>
    <n v="7822"/>
    <n v="99512.16"/>
    <n v="81419.039999999994"/>
    <n v="118170.69"/>
    <n v="122317.03"/>
    <n v="184889.07"/>
    <n v="113647.41"/>
    <n v="108935.66"/>
    <n v="183758.25"/>
    <n v="24312.63"/>
    <n v="121751.62"/>
    <n v="168680.65"/>
    <n v="146818.13"/>
    <n v="1474212.3399999999"/>
  </r>
  <r>
    <n v="445"/>
    <s v="Product_445"/>
    <x v="5"/>
    <n v="407.34"/>
    <n v="4.5"/>
    <n v="222"/>
    <n v="570"/>
    <n v="244"/>
    <n v="725"/>
    <n v="440"/>
    <n v="830"/>
    <n v="880"/>
    <n v="541"/>
    <n v="732"/>
    <n v="349"/>
    <n v="771"/>
    <n v="255"/>
    <n v="127"/>
    <n v="6464"/>
    <n v="232183.8"/>
    <n v="99390.959999999992"/>
    <n v="295321.5"/>
    <n v="179229.59999999998"/>
    <n v="338092.19999999995"/>
    <n v="358459.19999999995"/>
    <n v="220370.93999999997"/>
    <n v="298172.88"/>
    <n v="142161.66"/>
    <n v="314059.13999999996"/>
    <n v="103871.7"/>
    <n v="51732.18"/>
    <n v="2633045.7600000007"/>
  </r>
  <r>
    <n v="446"/>
    <s v="Product_446"/>
    <x v="2"/>
    <n v="473.89"/>
    <n v="1.7"/>
    <n v="41"/>
    <n v="89"/>
    <n v="831"/>
    <n v="468"/>
    <n v="390"/>
    <n v="696"/>
    <n v="742"/>
    <n v="113"/>
    <n v="8"/>
    <n v="705"/>
    <n v="986"/>
    <n v="306"/>
    <n v="837"/>
    <n v="6171"/>
    <n v="42176.21"/>
    <n v="393802.58999999997"/>
    <n v="221780.52"/>
    <n v="184817.1"/>
    <n v="329827.44"/>
    <n v="351626.38"/>
    <n v="53549.57"/>
    <n v="3791.12"/>
    <n v="334092.45"/>
    <n v="467255.54"/>
    <n v="145010.34"/>
    <n v="396645.93"/>
    <n v="2924375.19"/>
  </r>
  <r>
    <n v="447"/>
    <s v="Product_447"/>
    <x v="5"/>
    <n v="493.07"/>
    <n v="3.8"/>
    <n v="708"/>
    <n v="491"/>
    <n v="316"/>
    <n v="445"/>
    <n v="495"/>
    <n v="950"/>
    <n v="77"/>
    <n v="203"/>
    <n v="800"/>
    <n v="543"/>
    <n v="819"/>
    <n v="949"/>
    <n v="914"/>
    <n v="7002"/>
    <n v="242097.37"/>
    <n v="155810.12"/>
    <n v="219416.15"/>
    <n v="244069.65"/>
    <n v="468416.5"/>
    <n v="37966.39"/>
    <n v="100093.20999999999"/>
    <n v="394456"/>
    <n v="267737.01"/>
    <n v="403824.33"/>
    <n v="467923.43"/>
    <n v="450665.98"/>
    <n v="3452476.14"/>
  </r>
  <r>
    <n v="448"/>
    <s v="Product_448"/>
    <x v="3"/>
    <n v="377.92"/>
    <n v="4.4000000000000004"/>
    <n v="68"/>
    <n v="198"/>
    <n v="924"/>
    <n v="480"/>
    <n v="380"/>
    <n v="827"/>
    <n v="84"/>
    <n v="28"/>
    <n v="443"/>
    <n v="105"/>
    <n v="758"/>
    <n v="143"/>
    <n v="234"/>
    <n v="4604"/>
    <n v="74828.160000000003"/>
    <n v="349198.08000000002"/>
    <n v="181401.60000000001"/>
    <n v="143609.60000000001"/>
    <n v="312539.84000000003"/>
    <n v="31745.280000000002"/>
    <n v="10581.76"/>
    <n v="167418.56"/>
    <n v="39681.599999999999"/>
    <n v="286463.35999999999"/>
    <n v="54042.560000000005"/>
    <n v="88433.279999999999"/>
    <n v="1739943.6800000004"/>
  </r>
  <r>
    <n v="449"/>
    <s v="Product_449"/>
    <x v="4"/>
    <n v="191.25"/>
    <n v="4.8"/>
    <n v="988"/>
    <n v="361"/>
    <n v="294"/>
    <n v="883"/>
    <n v="305"/>
    <n v="610"/>
    <n v="29"/>
    <n v="642"/>
    <n v="112"/>
    <n v="911"/>
    <n v="472"/>
    <n v="657"/>
    <n v="552"/>
    <n v="5828"/>
    <n v="69041.25"/>
    <n v="56227.5"/>
    <n v="168873.75"/>
    <n v="58331.25"/>
    <n v="116662.5"/>
    <n v="5546.25"/>
    <n v="122782.5"/>
    <n v="21420"/>
    <n v="174228.75"/>
    <n v="90270"/>
    <n v="125651.25"/>
    <n v="105570"/>
    <n v="1114605"/>
  </r>
  <r>
    <n v="450"/>
    <s v="Product_450"/>
    <x v="0"/>
    <n v="46.33"/>
    <n v="3.7"/>
    <n v="776"/>
    <n v="440"/>
    <n v="639"/>
    <n v="293"/>
    <n v="741"/>
    <n v="573"/>
    <n v="724"/>
    <n v="473"/>
    <n v="988"/>
    <n v="715"/>
    <n v="670"/>
    <n v="390"/>
    <n v="180"/>
    <n v="6826"/>
    <n v="20385.2"/>
    <n v="29604.87"/>
    <n v="13574.689999999999"/>
    <n v="34330.53"/>
    <n v="26547.09"/>
    <n v="33542.92"/>
    <n v="21914.09"/>
    <n v="45774.04"/>
    <n v="33125.949999999997"/>
    <n v="31041.1"/>
    <n v="18068.7"/>
    <n v="8339.4"/>
    <n v="316248.58"/>
  </r>
  <r>
    <n v="451"/>
    <s v="Product_451"/>
    <x v="2"/>
    <n v="389.69"/>
    <n v="3"/>
    <n v="514"/>
    <n v="25"/>
    <n v="855"/>
    <n v="764"/>
    <n v="986"/>
    <n v="285"/>
    <n v="48"/>
    <n v="696"/>
    <n v="204"/>
    <n v="0"/>
    <n v="714"/>
    <n v="812"/>
    <n v="156"/>
    <n v="5545"/>
    <n v="9742.25"/>
    <n v="333184.95"/>
    <n v="297723.15999999997"/>
    <n v="384234.34"/>
    <n v="111061.65"/>
    <n v="18705.12"/>
    <n v="271224.24"/>
    <n v="79496.759999999995"/>
    <n v="0"/>
    <n v="278238.65999999997"/>
    <n v="316428.27999999997"/>
    <n v="60791.64"/>
    <n v="2160831.0499999998"/>
  </r>
  <r>
    <n v="452"/>
    <s v="Product_452"/>
    <x v="6"/>
    <n v="281.41000000000003"/>
    <n v="3.5"/>
    <n v="873"/>
    <n v="24"/>
    <n v="281"/>
    <n v="142"/>
    <n v="819"/>
    <n v="988"/>
    <n v="776"/>
    <n v="252"/>
    <n v="404"/>
    <n v="756"/>
    <n v="111"/>
    <n v="675"/>
    <n v="453"/>
    <n v="5681"/>
    <n v="6753.84"/>
    <n v="79076.210000000006"/>
    <n v="39960.22"/>
    <n v="230474.79"/>
    <n v="278033.08"/>
    <n v="218374.16000000003"/>
    <n v="70915.320000000007"/>
    <n v="113689.64000000001"/>
    <n v="212745.96000000002"/>
    <n v="31236.510000000002"/>
    <n v="189951.75000000003"/>
    <n v="127478.73000000001"/>
    <n v="1598690.2100000002"/>
  </r>
  <r>
    <n v="453"/>
    <s v="Product_453"/>
    <x v="1"/>
    <n v="214.99"/>
    <n v="4.5"/>
    <n v="637"/>
    <n v="393"/>
    <n v="16"/>
    <n v="249"/>
    <n v="672"/>
    <n v="533"/>
    <n v="144"/>
    <n v="797"/>
    <n v="697"/>
    <n v="583"/>
    <n v="979"/>
    <n v="168"/>
    <n v="570"/>
    <n v="5801"/>
    <n v="84491.07"/>
    <n v="3439.84"/>
    <n v="53532.51"/>
    <n v="144473.28"/>
    <n v="114589.67"/>
    <n v="30958.560000000001"/>
    <n v="171347.03"/>
    <n v="149848.03"/>
    <n v="125339.17"/>
    <n v="210475.21000000002"/>
    <n v="36118.32"/>
    <n v="122544.3"/>
    <n v="1247156.9900000002"/>
  </r>
  <r>
    <n v="454"/>
    <s v="Product_454"/>
    <x v="3"/>
    <n v="453.65"/>
    <n v="3.3"/>
    <n v="622"/>
    <n v="506"/>
    <n v="70"/>
    <n v="877"/>
    <n v="512"/>
    <n v="458"/>
    <n v="68"/>
    <n v="904"/>
    <n v="852"/>
    <n v="431"/>
    <n v="291"/>
    <n v="989"/>
    <n v="856"/>
    <n v="6814"/>
    <n v="229546.9"/>
    <n v="31755.5"/>
    <n v="397851.05"/>
    <n v="232268.79999999999"/>
    <n v="207771.69999999998"/>
    <n v="30848.199999999997"/>
    <n v="410099.6"/>
    <n v="386509.8"/>
    <n v="195523.15"/>
    <n v="132012.15"/>
    <n v="448659.85"/>
    <n v="388324.39999999997"/>
    <n v="3091171.1"/>
  </r>
  <r>
    <n v="455"/>
    <s v="Product_455"/>
    <x v="3"/>
    <n v="60.04"/>
    <n v="1.1000000000000001"/>
    <n v="598"/>
    <n v="300"/>
    <n v="268"/>
    <n v="947"/>
    <n v="747"/>
    <n v="211"/>
    <n v="57"/>
    <n v="921"/>
    <n v="196"/>
    <n v="305"/>
    <n v="949"/>
    <n v="297"/>
    <n v="760"/>
    <n v="5958"/>
    <n v="18012"/>
    <n v="16090.72"/>
    <n v="56857.88"/>
    <n v="44849.88"/>
    <n v="12668.44"/>
    <n v="3422.2799999999997"/>
    <n v="55296.84"/>
    <n v="11767.84"/>
    <n v="18312.2"/>
    <n v="56977.96"/>
    <n v="17831.88"/>
    <n v="45630.400000000001"/>
    <n v="357718.32000000007"/>
  </r>
  <r>
    <n v="456"/>
    <s v="Product_456"/>
    <x v="0"/>
    <n v="248.85"/>
    <n v="4.7"/>
    <n v="937"/>
    <n v="338"/>
    <n v="324"/>
    <n v="974"/>
    <n v="948"/>
    <n v="125"/>
    <n v="696"/>
    <n v="385"/>
    <n v="777"/>
    <n v="908"/>
    <n v="821"/>
    <n v="232"/>
    <n v="703"/>
    <n v="7231"/>
    <n v="84111.3"/>
    <n v="80627.399999999994"/>
    <n v="242379.9"/>
    <n v="235909.8"/>
    <n v="31106.25"/>
    <n v="173199.6"/>
    <n v="95807.25"/>
    <n v="193356.44999999998"/>
    <n v="225955.8"/>
    <n v="204305.85"/>
    <n v="57733.2"/>
    <n v="174941.55"/>
    <n v="1799434.35"/>
  </r>
  <r>
    <n v="457"/>
    <s v="Product_457"/>
    <x v="1"/>
    <n v="10.62"/>
    <n v="3.8"/>
    <n v="632"/>
    <n v="266"/>
    <n v="793"/>
    <n v="301"/>
    <n v="187"/>
    <n v="412"/>
    <n v="573"/>
    <n v="61"/>
    <n v="773"/>
    <n v="526"/>
    <n v="630"/>
    <n v="902"/>
    <n v="23"/>
    <n v="5447"/>
    <n v="2824.9199999999996"/>
    <n v="8421.66"/>
    <n v="3196.62"/>
    <n v="1985.9399999999998"/>
    <n v="4375.4399999999996"/>
    <n v="6085.2599999999993"/>
    <n v="647.81999999999994"/>
    <n v="8209.26"/>
    <n v="5586.12"/>
    <n v="6690.5999999999995"/>
    <n v="9579.24"/>
    <n v="244.26"/>
    <n v="57847.14"/>
  </r>
  <r>
    <n v="458"/>
    <s v="Product_458"/>
    <x v="1"/>
    <n v="236.99"/>
    <n v="3.7"/>
    <n v="127"/>
    <n v="460"/>
    <n v="304"/>
    <n v="24"/>
    <n v="929"/>
    <n v="498"/>
    <n v="478"/>
    <n v="514"/>
    <n v="759"/>
    <n v="52"/>
    <n v="382"/>
    <n v="270"/>
    <n v="472"/>
    <n v="5142"/>
    <n v="109015.40000000001"/>
    <n v="72044.960000000006"/>
    <n v="5687.76"/>
    <n v="220163.71000000002"/>
    <n v="118021.02"/>
    <n v="113281.22"/>
    <n v="121812.86"/>
    <n v="179875.41"/>
    <n v="12323.48"/>
    <n v="90530.180000000008"/>
    <n v="63987.3"/>
    <n v="111859.28"/>
    <n v="1218602.58"/>
  </r>
  <r>
    <n v="459"/>
    <s v="Product_459"/>
    <x v="6"/>
    <n v="32.869999999999997"/>
    <n v="1.9"/>
    <n v="255"/>
    <n v="692"/>
    <n v="450"/>
    <n v="788"/>
    <n v="515"/>
    <n v="424"/>
    <n v="819"/>
    <n v="429"/>
    <n v="114"/>
    <n v="939"/>
    <n v="16"/>
    <n v="59"/>
    <n v="399"/>
    <n v="5644"/>
    <n v="22746.039999999997"/>
    <n v="14791.499999999998"/>
    <n v="25901.559999999998"/>
    <n v="16928.05"/>
    <n v="13936.88"/>
    <n v="26920.53"/>
    <n v="14101.23"/>
    <n v="3747.18"/>
    <n v="30864.929999999997"/>
    <n v="525.91999999999996"/>
    <n v="1939.33"/>
    <n v="13115.13"/>
    <n v="185518.28"/>
  </r>
  <r>
    <n v="460"/>
    <s v="Product_460"/>
    <x v="6"/>
    <n v="63.81"/>
    <n v="3.6"/>
    <n v="695"/>
    <n v="455"/>
    <n v="6"/>
    <n v="983"/>
    <n v="912"/>
    <n v="553"/>
    <n v="444"/>
    <n v="579"/>
    <n v="120"/>
    <n v="519"/>
    <n v="492"/>
    <n v="295"/>
    <n v="947"/>
    <n v="6305"/>
    <n v="29033.55"/>
    <n v="382.86"/>
    <n v="62725.23"/>
    <n v="58194.720000000001"/>
    <n v="35286.93"/>
    <n v="28331.64"/>
    <n v="36945.99"/>
    <n v="7657.2000000000007"/>
    <n v="33117.39"/>
    <n v="31394.52"/>
    <n v="18823.95"/>
    <n v="60428.07"/>
    <n v="402322.05000000005"/>
  </r>
  <r>
    <n v="461"/>
    <s v="Product_461"/>
    <x v="2"/>
    <n v="63.18"/>
    <n v="2.6"/>
    <n v="16"/>
    <n v="359"/>
    <n v="313"/>
    <n v="888"/>
    <n v="643"/>
    <n v="609"/>
    <n v="295"/>
    <n v="536"/>
    <n v="652"/>
    <n v="329"/>
    <n v="330"/>
    <n v="466"/>
    <n v="591"/>
    <n v="6011"/>
    <n v="22681.62"/>
    <n v="19775.34"/>
    <n v="56103.839999999997"/>
    <n v="40624.74"/>
    <n v="38476.620000000003"/>
    <n v="18638.099999999999"/>
    <n v="33864.480000000003"/>
    <n v="41193.360000000001"/>
    <n v="20786.22"/>
    <n v="20849.400000000001"/>
    <n v="29441.88"/>
    <n v="37339.379999999997"/>
    <n v="379774.98"/>
  </r>
  <r>
    <n v="462"/>
    <s v="Product_462"/>
    <x v="3"/>
    <n v="326.36"/>
    <n v="3.6"/>
    <n v="477"/>
    <n v="67"/>
    <n v="816"/>
    <n v="889"/>
    <n v="426"/>
    <n v="960"/>
    <n v="677"/>
    <n v="690"/>
    <n v="64"/>
    <n v="557"/>
    <n v="925"/>
    <n v="234"/>
    <n v="133"/>
    <n v="6438"/>
    <n v="21866.120000000003"/>
    <n v="266309.76000000001"/>
    <n v="290134.04000000004"/>
    <n v="139029.36000000002"/>
    <n v="313305.60000000003"/>
    <n v="220945.72"/>
    <n v="225188.40000000002"/>
    <n v="20887.04"/>
    <n v="181782.52000000002"/>
    <n v="301883"/>
    <n v="76368.240000000005"/>
    <n v="43405.880000000005"/>
    <n v="2101105.6800000002"/>
  </r>
  <r>
    <n v="463"/>
    <s v="Product_463"/>
    <x v="4"/>
    <n v="374.29"/>
    <n v="1.4"/>
    <n v="62"/>
    <n v="862"/>
    <n v="102"/>
    <n v="900"/>
    <n v="501"/>
    <n v="542"/>
    <n v="170"/>
    <n v="140"/>
    <n v="275"/>
    <n v="324"/>
    <n v="738"/>
    <n v="676"/>
    <n v="420"/>
    <n v="5650"/>
    <n v="322637.98000000004"/>
    <n v="38177.58"/>
    <n v="336861"/>
    <n v="187519.29"/>
    <n v="202865.18000000002"/>
    <n v="63629.3"/>
    <n v="52400.600000000006"/>
    <n v="102929.75"/>
    <n v="121269.96"/>
    <n v="276226.02"/>
    <n v="253020.04"/>
    <n v="157201.80000000002"/>
    <n v="2114738.5"/>
  </r>
  <r>
    <n v="464"/>
    <s v="Product_464"/>
    <x v="6"/>
    <n v="293.77"/>
    <n v="3.6"/>
    <n v="881"/>
    <n v="411"/>
    <n v="820"/>
    <n v="69"/>
    <n v="729"/>
    <n v="157"/>
    <n v="574"/>
    <n v="742"/>
    <n v="824"/>
    <n v="113"/>
    <n v="872"/>
    <n v="705"/>
    <n v="212"/>
    <n v="6228"/>
    <n v="120739.46999999999"/>
    <n v="240891.4"/>
    <n v="20270.129999999997"/>
    <n v="214158.33"/>
    <n v="46121.89"/>
    <n v="168623.97999999998"/>
    <n v="217977.34"/>
    <n v="242066.47999999998"/>
    <n v="33196.009999999995"/>
    <n v="256167.43999999997"/>
    <n v="207107.84999999998"/>
    <n v="62279.24"/>
    <n v="1829599.5599999998"/>
  </r>
  <r>
    <n v="465"/>
    <s v="Product_465"/>
    <x v="0"/>
    <n v="481.28"/>
    <n v="5"/>
    <n v="432"/>
    <n v="970"/>
    <n v="192"/>
    <n v="624"/>
    <n v="259"/>
    <n v="111"/>
    <n v="146"/>
    <n v="299"/>
    <n v="238"/>
    <n v="146"/>
    <n v="485"/>
    <n v="233"/>
    <n v="899"/>
    <n v="4602"/>
    <n v="466841.59999999998"/>
    <n v="92405.759999999995"/>
    <n v="300318.71999999997"/>
    <n v="124651.51999999999"/>
    <n v="53422.079999999994"/>
    <n v="70266.87999999999"/>
    <n v="143902.72"/>
    <n v="114544.64"/>
    <n v="70266.87999999999"/>
    <n v="233420.79999999999"/>
    <n v="112138.23999999999"/>
    <n v="432670.71999999997"/>
    <n v="2214850.5599999996"/>
  </r>
  <r>
    <n v="466"/>
    <s v="Product_466"/>
    <x v="0"/>
    <n v="190.56"/>
    <n v="1.2"/>
    <n v="670"/>
    <n v="490"/>
    <n v="752"/>
    <n v="874"/>
    <n v="512"/>
    <n v="401"/>
    <n v="483"/>
    <n v="674"/>
    <n v="301"/>
    <n v="165"/>
    <n v="405"/>
    <n v="367"/>
    <n v="481"/>
    <n v="5905"/>
    <n v="93374.399999999994"/>
    <n v="143301.12"/>
    <n v="166549.44"/>
    <n v="97566.720000000001"/>
    <n v="76414.559999999998"/>
    <n v="92040.48"/>
    <n v="128437.44"/>
    <n v="57358.559999999998"/>
    <n v="31442.400000000001"/>
    <n v="77176.800000000003"/>
    <n v="69935.520000000004"/>
    <n v="91659.36"/>
    <n v="1125256.8"/>
  </r>
  <r>
    <n v="467"/>
    <s v="Product_467"/>
    <x v="0"/>
    <n v="146.43"/>
    <n v="4.9000000000000004"/>
    <n v="268"/>
    <n v="832"/>
    <n v="573"/>
    <n v="111"/>
    <n v="70"/>
    <n v="758"/>
    <n v="305"/>
    <n v="310"/>
    <n v="391"/>
    <n v="378"/>
    <n v="116"/>
    <n v="694"/>
    <n v="347"/>
    <n v="4885"/>
    <n v="121829.76000000001"/>
    <n v="83904.39"/>
    <n v="16253.730000000001"/>
    <n v="10250.1"/>
    <n v="110993.94"/>
    <n v="44661.15"/>
    <n v="45393.3"/>
    <n v="57254.130000000005"/>
    <n v="55350.54"/>
    <n v="16985.88"/>
    <n v="101622.42"/>
    <n v="50811.21"/>
    <n v="715310.55"/>
  </r>
  <r>
    <n v="468"/>
    <s v="Product_468"/>
    <x v="5"/>
    <n v="434.96"/>
    <n v="2.6"/>
    <n v="35"/>
    <n v="48"/>
    <n v="528"/>
    <n v="363"/>
    <n v="477"/>
    <n v="121"/>
    <n v="672"/>
    <n v="470"/>
    <n v="521"/>
    <n v="138"/>
    <n v="554"/>
    <n v="844"/>
    <n v="165"/>
    <n v="4901"/>
    <n v="20878.079999999998"/>
    <n v="229658.87999999998"/>
    <n v="157890.47999999998"/>
    <n v="207475.91999999998"/>
    <n v="52630.159999999996"/>
    <n v="292293.12"/>
    <n v="204431.19999999998"/>
    <n v="226614.16"/>
    <n v="60024.479999999996"/>
    <n v="240967.84"/>
    <n v="367106.24"/>
    <n v="71768.399999999994"/>
    <n v="2131738.96"/>
  </r>
  <r>
    <n v="469"/>
    <s v="Product_469"/>
    <x v="6"/>
    <n v="115.68"/>
    <n v="4.5"/>
    <n v="779"/>
    <n v="686"/>
    <n v="170"/>
    <n v="302"/>
    <n v="177"/>
    <n v="272"/>
    <n v="652"/>
    <n v="392"/>
    <n v="968"/>
    <n v="628"/>
    <n v="879"/>
    <n v="231"/>
    <n v="936"/>
    <n v="6293"/>
    <n v="79356.48000000001"/>
    <n v="19665.600000000002"/>
    <n v="34935.360000000001"/>
    <n v="20475.36"/>
    <n v="31464.960000000003"/>
    <n v="75423.360000000001"/>
    <n v="45346.560000000005"/>
    <n v="111978.24000000001"/>
    <n v="72647.040000000008"/>
    <n v="101682.72"/>
    <n v="26722.080000000002"/>
    <n v="108276.48000000001"/>
    <n v="727974.23999999987"/>
  </r>
  <r>
    <n v="470"/>
    <s v="Product_470"/>
    <x v="6"/>
    <n v="481.8"/>
    <n v="4.0999999999999996"/>
    <n v="576"/>
    <n v="563"/>
    <n v="536"/>
    <n v="470"/>
    <n v="456"/>
    <n v="293"/>
    <n v="845"/>
    <n v="641"/>
    <n v="368"/>
    <n v="298"/>
    <n v="114"/>
    <n v="872"/>
    <n v="347"/>
    <n v="5803"/>
    <n v="271253.40000000002"/>
    <n v="258244.80000000002"/>
    <n v="226446"/>
    <n v="219700.80000000002"/>
    <n v="141167.4"/>
    <n v="407121"/>
    <n v="308833.8"/>
    <n v="177302.39999999999"/>
    <n v="143576.4"/>
    <n v="54925.200000000004"/>
    <n v="420129.60000000003"/>
    <n v="167184.6"/>
    <n v="2795885.4000000004"/>
  </r>
  <r>
    <n v="471"/>
    <s v="Product_471"/>
    <x v="0"/>
    <n v="11.02"/>
    <n v="3.3"/>
    <n v="494"/>
    <n v="101"/>
    <n v="250"/>
    <n v="963"/>
    <n v="188"/>
    <n v="397"/>
    <n v="608"/>
    <n v="444"/>
    <n v="232"/>
    <n v="275"/>
    <n v="794"/>
    <n v="490"/>
    <n v="848"/>
    <n v="5590"/>
    <n v="1113.02"/>
    <n v="2755"/>
    <n v="10612.26"/>
    <n v="2071.7599999999998"/>
    <n v="4374.9399999999996"/>
    <n v="6700.16"/>
    <n v="4892.88"/>
    <n v="2556.64"/>
    <n v="3030.5"/>
    <n v="8749.8799999999992"/>
    <n v="5399.8"/>
    <n v="9344.9599999999991"/>
    <n v="61601.8"/>
  </r>
  <r>
    <n v="472"/>
    <s v="Product_472"/>
    <x v="6"/>
    <n v="485.09"/>
    <n v="4"/>
    <n v="562"/>
    <n v="215"/>
    <n v="764"/>
    <n v="90"/>
    <n v="290"/>
    <n v="470"/>
    <n v="445"/>
    <n v="757"/>
    <n v="194"/>
    <n v="915"/>
    <n v="548"/>
    <n v="618"/>
    <n v="397"/>
    <n v="5703"/>
    <n v="104294.34999999999"/>
    <n v="370608.76"/>
    <n v="43658.1"/>
    <n v="140676.1"/>
    <n v="227992.3"/>
    <n v="215865.05"/>
    <n v="367213.13"/>
    <n v="94107.459999999992"/>
    <n v="443857.35"/>
    <n v="265829.32"/>
    <n v="299785.62"/>
    <n v="192580.72999999998"/>
    <n v="2766468.27"/>
  </r>
  <r>
    <n v="473"/>
    <s v="Product_473"/>
    <x v="5"/>
    <n v="26.36"/>
    <n v="4.5"/>
    <n v="469"/>
    <n v="437"/>
    <n v="386"/>
    <n v="529"/>
    <n v="519"/>
    <n v="984"/>
    <n v="220"/>
    <n v="808"/>
    <n v="906"/>
    <n v="788"/>
    <n v="813"/>
    <n v="502"/>
    <n v="582"/>
    <n v="7474"/>
    <n v="11519.32"/>
    <n v="10174.959999999999"/>
    <n v="13944.44"/>
    <n v="13680.84"/>
    <n v="25938.239999999998"/>
    <n v="5799.2"/>
    <n v="21298.880000000001"/>
    <n v="23882.16"/>
    <n v="20771.68"/>
    <n v="21430.68"/>
    <n v="13232.72"/>
    <n v="15341.52"/>
    <n v="197014.63999999998"/>
  </r>
  <r>
    <n v="474"/>
    <s v="Product_474"/>
    <x v="4"/>
    <n v="446.12"/>
    <n v="2.6"/>
    <n v="767"/>
    <n v="699"/>
    <n v="206"/>
    <n v="660"/>
    <n v="764"/>
    <n v="206"/>
    <n v="554"/>
    <n v="171"/>
    <n v="11"/>
    <n v="849"/>
    <n v="624"/>
    <n v="889"/>
    <n v="725"/>
    <n v="6358"/>
    <n v="311837.88"/>
    <n v="91900.72"/>
    <n v="294439.2"/>
    <n v="340835.68"/>
    <n v="91900.72"/>
    <n v="247150.48"/>
    <n v="76286.52"/>
    <n v="4907.32"/>
    <n v="378755.88"/>
    <n v="278378.88"/>
    <n v="396600.68"/>
    <n v="323437"/>
    <n v="2836430.96"/>
  </r>
  <r>
    <n v="475"/>
    <s v="Product_475"/>
    <x v="4"/>
    <n v="266.20999999999998"/>
    <n v="2.2999999999999998"/>
    <n v="661"/>
    <n v="568"/>
    <n v="540"/>
    <n v="987"/>
    <n v="919"/>
    <n v="109"/>
    <n v="944"/>
    <n v="575"/>
    <n v="905"/>
    <n v="824"/>
    <n v="546"/>
    <n v="734"/>
    <n v="434"/>
    <n v="8085"/>
    <n v="151207.28"/>
    <n v="143753.4"/>
    <n v="262749.26999999996"/>
    <n v="244646.99"/>
    <n v="29016.89"/>
    <n v="251302.24"/>
    <n v="153070.75"/>
    <n v="240920.05"/>
    <n v="219357.03999999998"/>
    <n v="145350.65999999997"/>
    <n v="195398.13999999998"/>
    <n v="115535.13999999998"/>
    <n v="2152307.8499999996"/>
  </r>
  <r>
    <n v="476"/>
    <s v="Product_476"/>
    <x v="2"/>
    <n v="496.52"/>
    <n v="3.7"/>
    <n v="325"/>
    <n v="558"/>
    <n v="628"/>
    <n v="738"/>
    <n v="978"/>
    <n v="439"/>
    <n v="803"/>
    <n v="30"/>
    <n v="920"/>
    <n v="177"/>
    <n v="643"/>
    <n v="591"/>
    <n v="576"/>
    <n v="7081"/>
    <n v="277058.15999999997"/>
    <n v="311814.56"/>
    <n v="366431.76"/>
    <n v="485596.56"/>
    <n v="217972.28"/>
    <n v="398705.56"/>
    <n v="14895.599999999999"/>
    <n v="456798.39999999997"/>
    <n v="87884.04"/>
    <n v="319262.36"/>
    <n v="293443.32"/>
    <n v="285995.52000000002"/>
    <n v="3515858.12"/>
  </r>
  <r>
    <n v="477"/>
    <s v="Product_477"/>
    <x v="3"/>
    <n v="41.53"/>
    <n v="4.2"/>
    <n v="304"/>
    <n v="158"/>
    <n v="415"/>
    <n v="725"/>
    <n v="291"/>
    <n v="277"/>
    <n v="377"/>
    <n v="46"/>
    <n v="688"/>
    <n v="841"/>
    <n v="335"/>
    <n v="745"/>
    <n v="220"/>
    <n v="5118"/>
    <n v="6561.74"/>
    <n v="17234.95"/>
    <n v="30109.25"/>
    <n v="12085.23"/>
    <n v="11503.81"/>
    <n v="15656.810000000001"/>
    <n v="1910.38"/>
    <n v="28572.639999999999"/>
    <n v="34926.730000000003"/>
    <n v="13912.550000000001"/>
    <n v="30939.850000000002"/>
    <n v="9136.6"/>
    <n v="212550.54"/>
  </r>
  <r>
    <n v="478"/>
    <s v="Product_478"/>
    <x v="4"/>
    <n v="279.16000000000003"/>
    <n v="4"/>
    <n v="276"/>
    <n v="488"/>
    <n v="793"/>
    <n v="871"/>
    <n v="945"/>
    <n v="962"/>
    <n v="619"/>
    <n v="129"/>
    <n v="176"/>
    <n v="353"/>
    <n v="335"/>
    <n v="380"/>
    <n v="307"/>
    <n v="6358"/>
    <n v="136230.08000000002"/>
    <n v="221373.88000000003"/>
    <n v="243148.36000000002"/>
    <n v="263806.2"/>
    <n v="268551.92000000004"/>
    <n v="172800.04"/>
    <n v="36011.640000000007"/>
    <n v="49132.160000000003"/>
    <n v="98543.48000000001"/>
    <n v="93518.6"/>
    <n v="106080.8"/>
    <n v="85702.12000000001"/>
    <n v="1774899.28"/>
  </r>
  <r>
    <n v="479"/>
    <s v="Product_479"/>
    <x v="2"/>
    <n v="484.8"/>
    <n v="4.2"/>
    <n v="869"/>
    <n v="685"/>
    <n v="379"/>
    <n v="662"/>
    <n v="755"/>
    <n v="567"/>
    <n v="265"/>
    <n v="351"/>
    <n v="216"/>
    <n v="153"/>
    <n v="980"/>
    <n v="695"/>
    <n v="990"/>
    <n v="6698"/>
    <n v="332088"/>
    <n v="183739.2"/>
    <n v="320937.60000000003"/>
    <n v="366024"/>
    <n v="274881.60000000003"/>
    <n v="128472"/>
    <n v="170164.80000000002"/>
    <n v="104716.8"/>
    <n v="74174.400000000009"/>
    <n v="475104"/>
    <n v="336936"/>
    <n v="479952"/>
    <n v="3247190.4000000004"/>
  </r>
  <r>
    <n v="480"/>
    <s v="Product_480"/>
    <x v="1"/>
    <n v="263.93"/>
    <n v="2.7"/>
    <n v="963"/>
    <n v="241"/>
    <n v="143"/>
    <n v="191"/>
    <n v="634"/>
    <n v="886"/>
    <n v="94"/>
    <n v="977"/>
    <n v="10"/>
    <n v="925"/>
    <n v="921"/>
    <n v="427"/>
    <n v="797"/>
    <n v="6246"/>
    <n v="63607.130000000005"/>
    <n v="37741.99"/>
    <n v="50410.630000000005"/>
    <n v="167331.62"/>
    <n v="233841.98"/>
    <n v="24809.420000000002"/>
    <n v="257859.61000000002"/>
    <n v="2639.3"/>
    <n v="244135.25"/>
    <n v="243079.53"/>
    <n v="112698.11"/>
    <n v="210352.21"/>
    <n v="1648506.7800000003"/>
  </r>
  <r>
    <n v="481"/>
    <s v="Product_481"/>
    <x v="3"/>
    <n v="316.55"/>
    <n v="4.3"/>
    <n v="684"/>
    <n v="793"/>
    <n v="24"/>
    <n v="962"/>
    <n v="810"/>
    <n v="914"/>
    <n v="261"/>
    <n v="844"/>
    <n v="445"/>
    <n v="200"/>
    <n v="888"/>
    <n v="696"/>
    <n v="696"/>
    <n v="7533"/>
    <n v="251024.15000000002"/>
    <n v="7597.2000000000007"/>
    <n v="304521.10000000003"/>
    <n v="256405.5"/>
    <n v="289326.7"/>
    <n v="82619.55"/>
    <n v="267168.2"/>
    <n v="140864.75"/>
    <n v="63310"/>
    <n v="281096.40000000002"/>
    <n v="220318.80000000002"/>
    <n v="220318.80000000002"/>
    <n v="2384571.15"/>
  </r>
  <r>
    <n v="482"/>
    <s v="Product_482"/>
    <x v="4"/>
    <n v="349.4"/>
    <n v="1.5"/>
    <n v="929"/>
    <n v="752"/>
    <n v="821"/>
    <n v="551"/>
    <n v="282"/>
    <n v="568"/>
    <n v="824"/>
    <n v="621"/>
    <n v="629"/>
    <n v="877"/>
    <n v="739"/>
    <n v="645"/>
    <n v="718"/>
    <n v="8027"/>
    <n v="262748.79999999999"/>
    <n v="286857.39999999997"/>
    <n v="192519.4"/>
    <n v="98530.799999999988"/>
    <n v="198459.19999999998"/>
    <n v="287905.59999999998"/>
    <n v="216977.4"/>
    <n v="219772.59999999998"/>
    <n v="306423.8"/>
    <n v="258206.59999999998"/>
    <n v="225362.99999999997"/>
    <n v="250869.19999999998"/>
    <n v="2804633.8"/>
  </r>
  <r>
    <n v="483"/>
    <s v="Product_483"/>
    <x v="5"/>
    <n v="230"/>
    <n v="3.2"/>
    <n v="201"/>
    <n v="881"/>
    <n v="667"/>
    <n v="241"/>
    <n v="543"/>
    <n v="939"/>
    <n v="896"/>
    <n v="580"/>
    <n v="163"/>
    <n v="114"/>
    <n v="146"/>
    <n v="731"/>
    <n v="465"/>
    <n v="6366"/>
    <n v="202630"/>
    <n v="153410"/>
    <n v="55430"/>
    <n v="124890"/>
    <n v="215970"/>
    <n v="206080"/>
    <n v="133400"/>
    <n v="37490"/>
    <n v="26220"/>
    <n v="33580"/>
    <n v="168130"/>
    <n v="106950"/>
    <n v="1464180"/>
  </r>
  <r>
    <n v="484"/>
    <s v="Product_484"/>
    <x v="1"/>
    <n v="315.64"/>
    <n v="1"/>
    <n v="445"/>
    <n v="4"/>
    <n v="72"/>
    <n v="137"/>
    <n v="845"/>
    <n v="481"/>
    <n v="70"/>
    <n v="57"/>
    <n v="550"/>
    <n v="670"/>
    <n v="121"/>
    <n v="799"/>
    <n v="98"/>
    <n v="3904"/>
    <n v="1262.56"/>
    <n v="22726.079999999998"/>
    <n v="43242.68"/>
    <n v="266715.8"/>
    <n v="151822.84"/>
    <n v="22094.799999999999"/>
    <n v="17991.48"/>
    <n v="173602"/>
    <n v="211478.8"/>
    <n v="38192.439999999995"/>
    <n v="252196.36"/>
    <n v="30932.719999999998"/>
    <n v="1232258.5599999998"/>
  </r>
  <r>
    <n v="485"/>
    <s v="Product_485"/>
    <x v="2"/>
    <n v="294.24"/>
    <n v="2.2999999999999998"/>
    <n v="905"/>
    <n v="595"/>
    <n v="631"/>
    <n v="344"/>
    <n v="376"/>
    <n v="802"/>
    <n v="953"/>
    <n v="105"/>
    <n v="52"/>
    <n v="553"/>
    <n v="80"/>
    <n v="363"/>
    <n v="241"/>
    <n v="5095"/>
    <n v="175072.80000000002"/>
    <n v="185665.44"/>
    <n v="101218.56"/>
    <n v="110634.24000000001"/>
    <n v="235980.48"/>
    <n v="280410.72000000003"/>
    <n v="30895.200000000001"/>
    <n v="15300.48"/>
    <n v="162714.72"/>
    <n v="23539.200000000001"/>
    <n v="106809.12000000001"/>
    <n v="70911.839999999997"/>
    <n v="1499152.8"/>
  </r>
  <r>
    <n v="486"/>
    <s v="Product_486"/>
    <x v="4"/>
    <n v="451.07"/>
    <n v="2.5"/>
    <n v="324"/>
    <n v="819"/>
    <n v="823"/>
    <n v="179"/>
    <n v="657"/>
    <n v="113"/>
    <n v="218"/>
    <n v="811"/>
    <n v="217"/>
    <n v="758"/>
    <n v="684"/>
    <n v="201"/>
    <n v="157"/>
    <n v="5637"/>
    <n v="369426.33"/>
    <n v="371230.61"/>
    <n v="80741.53"/>
    <n v="296352.99"/>
    <n v="50970.909999999996"/>
    <n v="98333.26"/>
    <n v="365817.77"/>
    <n v="97882.19"/>
    <n v="341911.06"/>
    <n v="308531.88"/>
    <n v="90665.069999999992"/>
    <n v="70817.990000000005"/>
    <n v="2542681.59"/>
  </r>
  <r>
    <n v="487"/>
    <s v="Product_487"/>
    <x v="4"/>
    <n v="27.5"/>
    <n v="2.6"/>
    <n v="35"/>
    <n v="360"/>
    <n v="832"/>
    <n v="711"/>
    <n v="155"/>
    <n v="892"/>
    <n v="532"/>
    <n v="329"/>
    <n v="717"/>
    <n v="67"/>
    <n v="665"/>
    <n v="881"/>
    <n v="609"/>
    <n v="6750"/>
    <n v="9900"/>
    <n v="22880"/>
    <n v="19552.5"/>
    <n v="4262.5"/>
    <n v="24530"/>
    <n v="14630"/>
    <n v="9047.5"/>
    <n v="19717.5"/>
    <n v="1842.5"/>
    <n v="18287.5"/>
    <n v="24227.5"/>
    <n v="16747.5"/>
    <n v="185625"/>
  </r>
  <r>
    <n v="488"/>
    <s v="Product_488"/>
    <x v="6"/>
    <n v="144.08000000000001"/>
    <n v="3.8"/>
    <n v="977"/>
    <n v="458"/>
    <n v="92"/>
    <n v="502"/>
    <n v="507"/>
    <n v="896"/>
    <n v="91"/>
    <n v="767"/>
    <n v="998"/>
    <n v="444"/>
    <n v="661"/>
    <n v="145"/>
    <n v="553"/>
    <n v="6114"/>
    <n v="65988.639999999999"/>
    <n v="13255.36"/>
    <n v="72328.160000000003"/>
    <n v="73048.560000000012"/>
    <n v="129095.68000000001"/>
    <n v="13111.28"/>
    <n v="110509.36000000002"/>
    <n v="143791.84000000003"/>
    <n v="63971.520000000004"/>
    <n v="95236.88"/>
    <n v="20891.600000000002"/>
    <n v="79676.240000000005"/>
    <n v="880905.12000000011"/>
  </r>
  <r>
    <n v="489"/>
    <s v="Product_489"/>
    <x v="1"/>
    <n v="475.45"/>
    <n v="2.6"/>
    <n v="482"/>
    <n v="247"/>
    <n v="504"/>
    <n v="202"/>
    <n v="412"/>
    <n v="819"/>
    <n v="126"/>
    <n v="823"/>
    <n v="823"/>
    <n v="444"/>
    <n v="374"/>
    <n v="835"/>
    <n v="650"/>
    <n v="6259"/>
    <n v="117436.15"/>
    <n v="239626.8"/>
    <n v="96040.9"/>
    <n v="195885.4"/>
    <n v="389393.55"/>
    <n v="59906.7"/>
    <n v="391295.35"/>
    <n v="391295.35"/>
    <n v="211099.8"/>
    <n v="177818.3"/>
    <n v="397000.75"/>
    <n v="309042.5"/>
    <n v="2975841.5500000003"/>
  </r>
  <r>
    <n v="490"/>
    <s v="Product_490"/>
    <x v="4"/>
    <n v="445.68"/>
    <n v="2.8"/>
    <n v="728"/>
    <n v="565"/>
    <n v="597"/>
    <n v="572"/>
    <n v="527"/>
    <n v="852"/>
    <n v="79"/>
    <n v="682"/>
    <n v="359"/>
    <n v="325"/>
    <n v="569"/>
    <n v="638"/>
    <n v="794"/>
    <n v="6559"/>
    <n v="251809.2"/>
    <n v="266070.96000000002"/>
    <n v="254928.96"/>
    <n v="234873.36000000002"/>
    <n v="379719.36"/>
    <n v="35208.720000000001"/>
    <n v="303953.76"/>
    <n v="159999.12"/>
    <n v="144846"/>
    <n v="253591.92"/>
    <n v="284343.84000000003"/>
    <n v="353869.92"/>
    <n v="2923215.1199999996"/>
  </r>
  <r>
    <n v="491"/>
    <s v="Product_491"/>
    <x v="0"/>
    <n v="230.55"/>
    <n v="2"/>
    <n v="480"/>
    <n v="672"/>
    <n v="335"/>
    <n v="191"/>
    <n v="354"/>
    <n v="476"/>
    <n v="823"/>
    <n v="382"/>
    <n v="384"/>
    <n v="845"/>
    <n v="62"/>
    <n v="456"/>
    <n v="919"/>
    <n v="5899"/>
    <n v="154929.60000000001"/>
    <n v="77234.25"/>
    <n v="44035.05"/>
    <n v="81614.7"/>
    <n v="109741.8"/>
    <n v="189742.65000000002"/>
    <n v="88070.1"/>
    <n v="88531.200000000012"/>
    <n v="194814.75"/>
    <n v="14294.1"/>
    <n v="105130.8"/>
    <n v="211875.45"/>
    <n v="1360014.45"/>
  </r>
  <r>
    <n v="492"/>
    <s v="Product_492"/>
    <x v="5"/>
    <n v="311.97000000000003"/>
    <n v="2.5"/>
    <n v="65"/>
    <n v="945"/>
    <n v="424"/>
    <n v="4"/>
    <n v="558"/>
    <n v="709"/>
    <n v="237"/>
    <n v="984"/>
    <n v="55"/>
    <n v="707"/>
    <n v="503"/>
    <n v="134"/>
    <n v="226"/>
    <n v="5486"/>
    <n v="294811.65000000002"/>
    <n v="132275.28"/>
    <n v="1247.8800000000001"/>
    <n v="174079.26"/>
    <n v="221186.73"/>
    <n v="73936.89"/>
    <n v="306978.48000000004"/>
    <n v="17158.350000000002"/>
    <n v="220562.79"/>
    <n v="156920.91"/>
    <n v="41803.980000000003"/>
    <n v="70505.22"/>
    <n v="1711467.4200000002"/>
  </r>
  <r>
    <n v="493"/>
    <s v="Product_493"/>
    <x v="6"/>
    <n v="142.30000000000001"/>
    <n v="1.9"/>
    <n v="8"/>
    <n v="421"/>
    <n v="498"/>
    <n v="889"/>
    <n v="762"/>
    <n v="932"/>
    <n v="982"/>
    <n v="161"/>
    <n v="117"/>
    <n v="601"/>
    <n v="667"/>
    <n v="625"/>
    <n v="422"/>
    <n v="7077"/>
    <n v="59908.3"/>
    <n v="70865.400000000009"/>
    <n v="126504.70000000001"/>
    <n v="108432.6"/>
    <n v="132623.6"/>
    <n v="139738.6"/>
    <n v="22910.300000000003"/>
    <n v="16649.100000000002"/>
    <n v="85522.3"/>
    <n v="94914.1"/>
    <n v="88937.5"/>
    <n v="60050.600000000006"/>
    <n v="1007057.1"/>
  </r>
  <r>
    <n v="494"/>
    <s v="Product_494"/>
    <x v="6"/>
    <n v="98.12"/>
    <n v="1.3"/>
    <n v="301"/>
    <n v="922"/>
    <n v="363"/>
    <n v="236"/>
    <n v="186"/>
    <n v="320"/>
    <n v="371"/>
    <n v="996"/>
    <n v="899"/>
    <n v="622"/>
    <n v="448"/>
    <n v="263"/>
    <n v="71"/>
    <n v="5697"/>
    <n v="90466.64"/>
    <n v="35617.560000000005"/>
    <n v="23156.32"/>
    <n v="18250.32"/>
    <n v="31398.400000000001"/>
    <n v="36402.520000000004"/>
    <n v="97727.52"/>
    <n v="88209.88"/>
    <n v="61030.64"/>
    <n v="43957.760000000002"/>
    <n v="25805.56"/>
    <n v="6966.52"/>
    <n v="558989.64000000013"/>
  </r>
  <r>
    <n v="495"/>
    <s v="Product_495"/>
    <x v="4"/>
    <n v="234.53"/>
    <n v="3.4"/>
    <n v="343"/>
    <n v="737"/>
    <n v="946"/>
    <n v="692"/>
    <n v="30"/>
    <n v="178"/>
    <n v="915"/>
    <n v="285"/>
    <n v="252"/>
    <n v="879"/>
    <n v="427"/>
    <n v="63"/>
    <n v="242"/>
    <n v="5646"/>
    <n v="172848.61000000002"/>
    <n v="221865.38"/>
    <n v="162294.76"/>
    <n v="7035.9"/>
    <n v="41746.340000000004"/>
    <n v="214594.95"/>
    <n v="66841.05"/>
    <n v="59101.56"/>
    <n v="206151.87"/>
    <n v="100144.31"/>
    <n v="14775.39"/>
    <n v="56756.26"/>
    <n v="1324156.3799999999"/>
  </r>
  <r>
    <n v="496"/>
    <s v="Product_496"/>
    <x v="5"/>
    <n v="179.91"/>
    <n v="3.7"/>
    <n v="431"/>
    <n v="14"/>
    <n v="629"/>
    <n v="310"/>
    <n v="259"/>
    <n v="896"/>
    <n v="485"/>
    <n v="70"/>
    <n v="797"/>
    <n v="358"/>
    <n v="867"/>
    <n v="490"/>
    <n v="529"/>
    <n v="5704"/>
    <n v="2518.7399999999998"/>
    <n v="113163.39"/>
    <n v="55772.1"/>
    <n v="46596.69"/>
    <n v="161199.35999999999"/>
    <n v="87256.349999999991"/>
    <n v="12593.699999999999"/>
    <n v="143388.26999999999"/>
    <n v="64407.78"/>
    <n v="155981.97"/>
    <n v="88155.9"/>
    <n v="95172.39"/>
    <n v="1026206.64"/>
  </r>
  <r>
    <n v="497"/>
    <s v="Product_497"/>
    <x v="6"/>
    <n v="293.91000000000003"/>
    <n v="3.5"/>
    <n v="424"/>
    <n v="735"/>
    <n v="744"/>
    <n v="548"/>
    <n v="420"/>
    <n v="218"/>
    <n v="693"/>
    <n v="766"/>
    <n v="779"/>
    <n v="144"/>
    <n v="426"/>
    <n v="646"/>
    <n v="588"/>
    <n v="6707"/>
    <n v="216023.85"/>
    <n v="218669.04"/>
    <n v="161062.68000000002"/>
    <n v="123442.20000000001"/>
    <n v="64072.380000000005"/>
    <n v="203679.63"/>
    <n v="225135.06000000003"/>
    <n v="228955.89"/>
    <n v="42323.040000000001"/>
    <n v="125205.66"/>
    <n v="189865.86000000002"/>
    <n v="172819.08000000002"/>
    <n v="1971254.37"/>
  </r>
  <r>
    <n v="498"/>
    <s v="Product_498"/>
    <x v="3"/>
    <n v="43.48"/>
    <n v="2.9"/>
    <n v="332"/>
    <n v="572"/>
    <n v="198"/>
    <n v="55"/>
    <n v="528"/>
    <n v="788"/>
    <n v="24"/>
    <n v="453"/>
    <n v="802"/>
    <n v="274"/>
    <n v="420"/>
    <n v="40"/>
    <n v="44"/>
    <n v="4198"/>
    <n v="24870.559999999998"/>
    <n v="8609.0399999999991"/>
    <n v="2391.3999999999996"/>
    <n v="22957.439999999999"/>
    <n v="34262.239999999998"/>
    <n v="1043.52"/>
    <n v="19696.439999999999"/>
    <n v="34870.959999999999"/>
    <n v="11913.519999999999"/>
    <n v="18261.599999999999"/>
    <n v="1739.1999999999998"/>
    <n v="1913.12"/>
    <n v="182529.04"/>
  </r>
  <r>
    <n v="499"/>
    <s v="Product_499"/>
    <x v="1"/>
    <n v="487.33"/>
    <n v="2.5"/>
    <n v="438"/>
    <n v="121"/>
    <n v="717"/>
    <n v="442"/>
    <n v="550"/>
    <n v="948"/>
    <n v="155"/>
    <n v="885"/>
    <n v="844"/>
    <n v="508"/>
    <n v="321"/>
    <n v="295"/>
    <n v="471"/>
    <n v="6257"/>
    <n v="58966.93"/>
    <n v="349415.61"/>
    <n v="215399.86"/>
    <n v="268031.5"/>
    <n v="461988.83999999997"/>
    <n v="75536.149999999994"/>
    <n v="431287.05"/>
    <n v="411306.51999999996"/>
    <n v="247563.63999999998"/>
    <n v="156432.93"/>
    <n v="143762.35"/>
    <n v="229532.43"/>
    <n v="3049223.81"/>
  </r>
  <r>
    <n v="500"/>
    <s v="Product_500"/>
    <x v="3"/>
    <n v="493.17"/>
    <n v="4.5"/>
    <n v="588"/>
    <n v="276"/>
    <n v="412"/>
    <n v="236"/>
    <n v="303"/>
    <n v="527"/>
    <n v="516"/>
    <n v="566"/>
    <n v="179"/>
    <n v="178"/>
    <n v="912"/>
    <n v="2"/>
    <n v="370"/>
    <n v="4477"/>
    <n v="136114.92000000001"/>
    <n v="203186.04"/>
    <n v="116388.12000000001"/>
    <n v="149430.51"/>
    <n v="259900.59"/>
    <n v="254475.72"/>
    <n v="279134.22000000003"/>
    <n v="88277.430000000008"/>
    <n v="87784.260000000009"/>
    <n v="449771.04000000004"/>
    <n v="986.34"/>
    <n v="182472.9"/>
    <n v="2207922.0900000003"/>
  </r>
  <r>
    <n v="501"/>
    <s v="Product_501"/>
    <x v="2"/>
    <n v="350.59"/>
    <n v="3.1"/>
    <n v="174"/>
    <n v="557"/>
    <n v="338"/>
    <n v="869"/>
    <n v="941"/>
    <n v="491"/>
    <n v="631"/>
    <n v="834"/>
    <n v="414"/>
    <n v="752"/>
    <n v="679"/>
    <n v="912"/>
    <n v="854"/>
    <n v="8272"/>
    <n v="195278.62999999998"/>
    <n v="118499.42"/>
    <n v="304662.70999999996"/>
    <n v="329905.19"/>
    <n v="172139.68999999997"/>
    <n v="221222.28999999998"/>
    <n v="292392.06"/>
    <n v="145144.25999999998"/>
    <n v="263643.68"/>
    <n v="238050.61"/>
    <n v="319738.07999999996"/>
    <n v="299403.86"/>
    <n v="2900080.48"/>
  </r>
  <r>
    <n v="502"/>
    <s v="Product_502"/>
    <x v="3"/>
    <n v="270.37"/>
    <n v="2.9"/>
    <n v="559"/>
    <n v="452"/>
    <n v="658"/>
    <n v="860"/>
    <n v="985"/>
    <n v="890"/>
    <n v="788"/>
    <n v="396"/>
    <n v="869"/>
    <n v="837"/>
    <n v="165"/>
    <n v="705"/>
    <n v="651"/>
    <n v="8256"/>
    <n v="122207.24"/>
    <n v="177903.46"/>
    <n v="232518.2"/>
    <n v="266314.45"/>
    <n v="240629.30000000002"/>
    <n v="213051.56"/>
    <n v="107066.52"/>
    <n v="234951.53"/>
    <n v="226299.69"/>
    <n v="44611.05"/>
    <n v="190610.85"/>
    <n v="176010.87"/>
    <n v="2232174.7200000002"/>
  </r>
  <r>
    <n v="503"/>
    <s v="Product_503"/>
    <x v="5"/>
    <n v="158.22"/>
    <n v="1.1000000000000001"/>
    <n v="527"/>
    <n v="389"/>
    <n v="961"/>
    <n v="196"/>
    <n v="943"/>
    <n v="60"/>
    <n v="529"/>
    <n v="514"/>
    <n v="234"/>
    <n v="830"/>
    <n v="596"/>
    <n v="974"/>
    <n v="688"/>
    <n v="6914"/>
    <n v="61547.58"/>
    <n v="152049.42000000001"/>
    <n v="31011.119999999999"/>
    <n v="149201.46"/>
    <n v="9493.2000000000007"/>
    <n v="83698.38"/>
    <n v="81325.08"/>
    <n v="37023.480000000003"/>
    <n v="131322.6"/>
    <n v="94299.12"/>
    <n v="154106.28"/>
    <n v="108855.36"/>
    <n v="1093933.08"/>
  </r>
  <r>
    <n v="504"/>
    <s v="Product_504"/>
    <x v="0"/>
    <n v="407.83"/>
    <n v="2.4"/>
    <n v="873"/>
    <n v="293"/>
    <n v="936"/>
    <n v="584"/>
    <n v="38"/>
    <n v="53"/>
    <n v="942"/>
    <n v="25"/>
    <n v="854"/>
    <n v="476"/>
    <n v="956"/>
    <n v="109"/>
    <n v="733"/>
    <n v="5999"/>
    <n v="119494.19"/>
    <n v="381728.88"/>
    <n v="238172.72"/>
    <n v="15497.539999999999"/>
    <n v="21614.989999999998"/>
    <n v="384175.86"/>
    <n v="10195.75"/>
    <n v="348286.82"/>
    <n v="194127.08"/>
    <n v="389885.48"/>
    <n v="44453.47"/>
    <n v="298939.39"/>
    <n v="2446572.1700000009"/>
  </r>
  <r>
    <n v="505"/>
    <s v="Product_505"/>
    <x v="6"/>
    <n v="343.94"/>
    <n v="2.5"/>
    <n v="659"/>
    <n v="573"/>
    <n v="428"/>
    <n v="570"/>
    <n v="488"/>
    <n v="679"/>
    <n v="709"/>
    <n v="312"/>
    <n v="707"/>
    <n v="842"/>
    <n v="648"/>
    <n v="220"/>
    <n v="926"/>
    <n v="7102"/>
    <n v="197077.62"/>
    <n v="147206.32"/>
    <n v="196045.8"/>
    <n v="167842.72"/>
    <n v="233535.26"/>
    <n v="243853.46"/>
    <n v="107309.28"/>
    <n v="243165.58"/>
    <n v="289597.48"/>
    <n v="222873.12"/>
    <n v="75666.8"/>
    <n v="318488.44"/>
    <n v="2442661.88"/>
  </r>
  <r>
    <n v="506"/>
    <s v="Product_506"/>
    <x v="5"/>
    <n v="85.5"/>
    <n v="2.6"/>
    <n v="26"/>
    <n v="597"/>
    <n v="782"/>
    <n v="751"/>
    <n v="643"/>
    <n v="537"/>
    <n v="56"/>
    <n v="125"/>
    <n v="819"/>
    <n v="975"/>
    <n v="460"/>
    <n v="369"/>
    <n v="91"/>
    <n v="6205"/>
    <n v="51043.5"/>
    <n v="66861"/>
    <n v="64210.5"/>
    <n v="54976.5"/>
    <n v="45913.5"/>
    <n v="4788"/>
    <n v="10687.5"/>
    <n v="70024.5"/>
    <n v="83362.5"/>
    <n v="39330"/>
    <n v="31549.5"/>
    <n v="7780.5"/>
    <n v="530527.5"/>
  </r>
  <r>
    <n v="507"/>
    <s v="Product_507"/>
    <x v="6"/>
    <n v="455.91"/>
    <n v="3.3"/>
    <n v="820"/>
    <n v="445"/>
    <n v="898"/>
    <n v="513"/>
    <n v="541"/>
    <n v="847"/>
    <n v="604"/>
    <n v="407"/>
    <n v="79"/>
    <n v="413"/>
    <n v="458"/>
    <n v="367"/>
    <n v="21"/>
    <n v="5593"/>
    <n v="202879.95"/>
    <n v="409407.18000000005"/>
    <n v="233881.83000000002"/>
    <n v="246647.31000000003"/>
    <n v="386155.77"/>
    <n v="275369.64"/>
    <n v="185555.37000000002"/>
    <n v="36016.89"/>
    <n v="188290.83000000002"/>
    <n v="208806.78"/>
    <n v="167318.97"/>
    <n v="9574.11"/>
    <n v="2549904.63"/>
  </r>
  <r>
    <n v="508"/>
    <s v="Product_508"/>
    <x v="0"/>
    <n v="412.16"/>
    <n v="3.1"/>
    <n v="605"/>
    <n v="209"/>
    <n v="138"/>
    <n v="448"/>
    <n v="669"/>
    <n v="987"/>
    <n v="18"/>
    <n v="564"/>
    <n v="646"/>
    <n v="152"/>
    <n v="188"/>
    <n v="435"/>
    <n v="171"/>
    <n v="4625"/>
    <n v="86141.440000000002"/>
    <n v="56878.080000000002"/>
    <n v="184647.68000000002"/>
    <n v="275735.04000000004"/>
    <n v="406801.92000000004"/>
    <n v="7418.88"/>
    <n v="232458.24000000002"/>
    <n v="266255.36000000004"/>
    <n v="62648.320000000007"/>
    <n v="77486.080000000002"/>
    <n v="179289.60000000001"/>
    <n v="70479.360000000001"/>
    <n v="1906240.0000000007"/>
  </r>
  <r>
    <n v="509"/>
    <s v="Product_509"/>
    <x v="6"/>
    <n v="475.15"/>
    <n v="3.4"/>
    <n v="406"/>
    <n v="589"/>
    <n v="692"/>
    <n v="359"/>
    <n v="277"/>
    <n v="64"/>
    <n v="383"/>
    <n v="197"/>
    <n v="21"/>
    <n v="103"/>
    <n v="463"/>
    <n v="917"/>
    <n v="603"/>
    <n v="4668"/>
    <n v="279863.34999999998"/>
    <n v="328803.8"/>
    <n v="170578.85"/>
    <n v="131616.54999999999"/>
    <n v="30409.599999999999"/>
    <n v="181982.44999999998"/>
    <n v="93604.549999999988"/>
    <n v="9978.15"/>
    <n v="48940.45"/>
    <n v="219994.44999999998"/>
    <n v="435712.55"/>
    <n v="286515.45"/>
    <n v="2218000.1999999997"/>
  </r>
  <r>
    <n v="510"/>
    <s v="Product_510"/>
    <x v="3"/>
    <n v="364.23"/>
    <n v="4.0999999999999996"/>
    <n v="232"/>
    <n v="713"/>
    <n v="941"/>
    <n v="699"/>
    <n v="202"/>
    <n v="611"/>
    <n v="864"/>
    <n v="810"/>
    <n v="476"/>
    <n v="74"/>
    <n v="911"/>
    <n v="3"/>
    <n v="191"/>
    <n v="6495"/>
    <n v="259695.99000000002"/>
    <n v="342740.43"/>
    <n v="254596.77000000002"/>
    <n v="73574.460000000006"/>
    <n v="222544.53"/>
    <n v="314694.72000000003"/>
    <n v="295026.3"/>
    <n v="173373.48"/>
    <n v="26953.02"/>
    <n v="331813.53000000003"/>
    <n v="1092.69"/>
    <n v="69567.930000000008"/>
    <n v="2365673.85"/>
  </r>
  <r>
    <n v="511"/>
    <s v="Product_511"/>
    <x v="2"/>
    <n v="308.64"/>
    <n v="4.3"/>
    <n v="533"/>
    <n v="301"/>
    <n v="541"/>
    <n v="818"/>
    <n v="65"/>
    <n v="585"/>
    <n v="192"/>
    <n v="187"/>
    <n v="842"/>
    <n v="127"/>
    <n v="378"/>
    <n v="243"/>
    <n v="76"/>
    <n v="4355"/>
    <n v="92900.64"/>
    <n v="166974.24"/>
    <n v="252467.52"/>
    <n v="20061.599999999999"/>
    <n v="180554.4"/>
    <n v="59258.879999999997"/>
    <n v="57715.68"/>
    <n v="259874.87999999998"/>
    <n v="39197.279999999999"/>
    <n v="116665.92"/>
    <n v="74999.51999999999"/>
    <n v="23456.639999999999"/>
    <n v="1344127.2"/>
  </r>
  <r>
    <n v="512"/>
    <s v="Product_512"/>
    <x v="4"/>
    <n v="212.03"/>
    <n v="3.9"/>
    <n v="819"/>
    <n v="908"/>
    <n v="56"/>
    <n v="29"/>
    <n v="107"/>
    <n v="703"/>
    <n v="236"/>
    <n v="697"/>
    <n v="439"/>
    <n v="710"/>
    <n v="1"/>
    <n v="901"/>
    <n v="280"/>
    <n v="5067"/>
    <n v="192523.24"/>
    <n v="11873.68"/>
    <n v="6148.87"/>
    <n v="22687.21"/>
    <n v="149057.09"/>
    <n v="50039.08"/>
    <n v="147784.91"/>
    <n v="93081.17"/>
    <n v="150541.29999999999"/>
    <n v="212.03"/>
    <n v="191039.03"/>
    <n v="59368.4"/>
    <n v="1074356.01"/>
  </r>
  <r>
    <n v="513"/>
    <s v="Product_513"/>
    <x v="0"/>
    <n v="466.7"/>
    <n v="4.8"/>
    <n v="550"/>
    <n v="222"/>
    <n v="231"/>
    <n v="778"/>
    <n v="267"/>
    <n v="170"/>
    <n v="386"/>
    <n v="816"/>
    <n v="736"/>
    <n v="665"/>
    <n v="617"/>
    <n v="165"/>
    <n v="363"/>
    <n v="5416"/>
    <n v="103607.4"/>
    <n v="107807.7"/>
    <n v="363092.6"/>
    <n v="124608.9"/>
    <n v="79339"/>
    <n v="180146.19999999998"/>
    <n v="380827.2"/>
    <n v="343491.2"/>
    <n v="310355.5"/>
    <n v="287953.89999999997"/>
    <n v="77005.5"/>
    <n v="169412.1"/>
    <n v="2527647.2000000002"/>
  </r>
  <r>
    <n v="514"/>
    <s v="Product_514"/>
    <x v="3"/>
    <n v="433.7"/>
    <n v="1.1000000000000001"/>
    <n v="788"/>
    <n v="733"/>
    <n v="657"/>
    <n v="987"/>
    <n v="221"/>
    <n v="272"/>
    <n v="425"/>
    <n v="809"/>
    <n v="569"/>
    <n v="567"/>
    <n v="363"/>
    <n v="25"/>
    <n v="178"/>
    <n v="5806"/>
    <n v="317902.09999999998"/>
    <n v="284940.89999999997"/>
    <n v="428061.89999999997"/>
    <n v="95847.7"/>
    <n v="117966.39999999999"/>
    <n v="184322.5"/>
    <n v="350863.3"/>
    <n v="246775.3"/>
    <n v="245907.9"/>
    <n v="157433.1"/>
    <n v="10842.5"/>
    <n v="77198.599999999991"/>
    <n v="2518062.2000000002"/>
  </r>
  <r>
    <n v="515"/>
    <s v="Product_515"/>
    <x v="5"/>
    <n v="27.38"/>
    <n v="1.8"/>
    <n v="505"/>
    <n v="2"/>
    <n v="434"/>
    <n v="107"/>
    <n v="803"/>
    <n v="888"/>
    <n v="276"/>
    <n v="715"/>
    <n v="92"/>
    <n v="789"/>
    <n v="71"/>
    <n v="394"/>
    <n v="237"/>
    <n v="4808"/>
    <n v="54.76"/>
    <n v="11882.92"/>
    <n v="2929.66"/>
    <n v="21986.14"/>
    <n v="24313.439999999999"/>
    <n v="7556.88"/>
    <n v="19576.7"/>
    <n v="2518.96"/>
    <n v="21602.82"/>
    <n v="1943.98"/>
    <n v="10787.72"/>
    <n v="6489.0599999999995"/>
    <n v="131643.04"/>
  </r>
  <r>
    <n v="516"/>
    <s v="Product_516"/>
    <x v="3"/>
    <n v="18.05"/>
    <n v="1"/>
    <n v="669"/>
    <n v="989"/>
    <n v="383"/>
    <n v="843"/>
    <n v="529"/>
    <n v="698"/>
    <n v="226"/>
    <n v="483"/>
    <n v="191"/>
    <n v="344"/>
    <n v="426"/>
    <n v="473"/>
    <n v="134"/>
    <n v="5719"/>
    <n v="17851.45"/>
    <n v="6913.1500000000005"/>
    <n v="15216.150000000001"/>
    <n v="9548.4500000000007"/>
    <n v="12598.9"/>
    <n v="4079.3"/>
    <n v="8718.15"/>
    <n v="3447.55"/>
    <n v="6209.2"/>
    <n v="7689.3"/>
    <n v="8537.65"/>
    <n v="2418.7000000000003"/>
    <n v="103227.94999999998"/>
  </r>
  <r>
    <n v="517"/>
    <s v="Product_517"/>
    <x v="3"/>
    <n v="191.35"/>
    <n v="3.6"/>
    <n v="179"/>
    <n v="517"/>
    <n v="559"/>
    <n v="934"/>
    <n v="89"/>
    <n v="534"/>
    <n v="744"/>
    <n v="449"/>
    <n v="102"/>
    <n v="530"/>
    <n v="637"/>
    <n v="16"/>
    <n v="876"/>
    <n v="5987"/>
    <n v="98927.95"/>
    <n v="106964.65"/>
    <n v="178720.9"/>
    <n v="17030.149999999998"/>
    <n v="102180.9"/>
    <n v="142364.4"/>
    <n v="85916.15"/>
    <n v="19517.7"/>
    <n v="101415.5"/>
    <n v="121889.95"/>
    <n v="3061.6"/>
    <n v="167622.6"/>
    <n v="1145612.45"/>
  </r>
  <r>
    <n v="518"/>
    <s v="Product_518"/>
    <x v="4"/>
    <n v="406.22"/>
    <n v="4.5999999999999996"/>
    <n v="132"/>
    <n v="92"/>
    <n v="193"/>
    <n v="601"/>
    <n v="692"/>
    <n v="390"/>
    <n v="551"/>
    <n v="522"/>
    <n v="395"/>
    <n v="158"/>
    <n v="169"/>
    <n v="727"/>
    <n v="901"/>
    <n v="5391"/>
    <n v="37372.240000000005"/>
    <n v="78400.460000000006"/>
    <n v="244138.22000000003"/>
    <n v="281104.24"/>
    <n v="158425.80000000002"/>
    <n v="223827.22"/>
    <n v="212046.84000000003"/>
    <n v="160456.90000000002"/>
    <n v="64182.76"/>
    <n v="68651.180000000008"/>
    <n v="295321.94"/>
    <n v="366004.22000000003"/>
    <n v="2189932.02"/>
  </r>
  <r>
    <n v="519"/>
    <s v="Product_519"/>
    <x v="1"/>
    <n v="493.7"/>
    <n v="2"/>
    <n v="823"/>
    <n v="519"/>
    <n v="735"/>
    <n v="716"/>
    <n v="254"/>
    <n v="939"/>
    <n v="322"/>
    <n v="870"/>
    <n v="6"/>
    <n v="537"/>
    <n v="204"/>
    <n v="91"/>
    <n v="279"/>
    <n v="5472"/>
    <n v="256230.3"/>
    <n v="362869.5"/>
    <n v="353489.2"/>
    <n v="125399.8"/>
    <n v="463584.3"/>
    <n v="158971.4"/>
    <n v="429519"/>
    <n v="2962.2"/>
    <n v="265116.89999999997"/>
    <n v="100714.8"/>
    <n v="44926.7"/>
    <n v="137742.29999999999"/>
    <n v="2701526.4"/>
  </r>
  <r>
    <n v="520"/>
    <s v="Product_520"/>
    <x v="6"/>
    <n v="79.459999999999994"/>
    <n v="4.7"/>
    <n v="455"/>
    <n v="427"/>
    <n v="647"/>
    <n v="890"/>
    <n v="454"/>
    <n v="692"/>
    <n v="152"/>
    <n v="353"/>
    <n v="639"/>
    <n v="425"/>
    <n v="824"/>
    <n v="482"/>
    <n v="18"/>
    <n v="6003"/>
    <n v="33929.42"/>
    <n v="51410.619999999995"/>
    <n v="70719.399999999994"/>
    <n v="36074.839999999997"/>
    <n v="54986.319999999992"/>
    <n v="12077.919999999998"/>
    <n v="28049.379999999997"/>
    <n v="50774.939999999995"/>
    <n v="33770.5"/>
    <n v="65475.039999999994"/>
    <n v="38299.719999999994"/>
    <n v="1430.28"/>
    <n v="476998.37999999995"/>
  </r>
  <r>
    <n v="521"/>
    <s v="Product_521"/>
    <x v="6"/>
    <n v="299.08999999999997"/>
    <n v="1.2"/>
    <n v="348"/>
    <n v="492"/>
    <n v="533"/>
    <n v="967"/>
    <n v="252"/>
    <n v="326"/>
    <n v="638"/>
    <n v="985"/>
    <n v="566"/>
    <n v="680"/>
    <n v="336"/>
    <n v="542"/>
    <n v="594"/>
    <n v="6911"/>
    <n v="147152.28"/>
    <n v="159414.97"/>
    <n v="289220.02999999997"/>
    <n v="75370.679999999993"/>
    <n v="97503.34"/>
    <n v="190819.41999999998"/>
    <n v="294603.64999999997"/>
    <n v="169284.93999999997"/>
    <n v="203381.19999999998"/>
    <n v="100494.23999999999"/>
    <n v="162106.78"/>
    <n v="177659.46"/>
    <n v="2067010.9899999998"/>
  </r>
  <r>
    <n v="522"/>
    <s v="Product_522"/>
    <x v="5"/>
    <n v="193.54"/>
    <n v="4.7"/>
    <n v="540"/>
    <n v="234"/>
    <n v="517"/>
    <n v="958"/>
    <n v="256"/>
    <n v="107"/>
    <n v="236"/>
    <n v="657"/>
    <n v="230"/>
    <n v="995"/>
    <n v="998"/>
    <n v="204"/>
    <n v="739"/>
    <n v="6131"/>
    <n v="45288.36"/>
    <n v="100060.18"/>
    <n v="185411.31999999998"/>
    <n v="49546.239999999998"/>
    <n v="20708.78"/>
    <n v="45675.439999999995"/>
    <n v="127155.78"/>
    <n v="44514.2"/>
    <n v="192572.3"/>
    <n v="193152.91999999998"/>
    <n v="39482.159999999996"/>
    <n v="143026.06"/>
    <n v="1186593.7399999998"/>
  </r>
  <r>
    <n v="523"/>
    <s v="Product_523"/>
    <x v="2"/>
    <n v="485.11"/>
    <n v="2.4"/>
    <n v="772"/>
    <n v="619"/>
    <n v="715"/>
    <n v="959"/>
    <n v="382"/>
    <n v="846"/>
    <n v="997"/>
    <n v="596"/>
    <n v="873"/>
    <n v="22"/>
    <n v="471"/>
    <n v="501"/>
    <n v="370"/>
    <n v="7351"/>
    <n v="300283.09000000003"/>
    <n v="346853.65"/>
    <n v="465220.49"/>
    <n v="185312.02000000002"/>
    <n v="410403.06"/>
    <n v="483654.67000000004"/>
    <n v="289125.56"/>
    <n v="423501.03"/>
    <n v="10672.42"/>
    <n v="228486.81"/>
    <n v="243040.11000000002"/>
    <n v="179490.7"/>
    <n v="3566043.6100000003"/>
  </r>
  <r>
    <n v="524"/>
    <s v="Product_524"/>
    <x v="5"/>
    <n v="421.85"/>
    <n v="1.4"/>
    <n v="406"/>
    <n v="160"/>
    <n v="750"/>
    <n v="444"/>
    <n v="441"/>
    <n v="161"/>
    <n v="54"/>
    <n v="99"/>
    <n v="573"/>
    <n v="46"/>
    <n v="194"/>
    <n v="930"/>
    <n v="776"/>
    <n v="4628"/>
    <n v="67496"/>
    <n v="316387.5"/>
    <n v="187301.40000000002"/>
    <n v="186035.85"/>
    <n v="67917.850000000006"/>
    <n v="22779.9"/>
    <n v="41763.15"/>
    <n v="241720.05000000002"/>
    <n v="19405.100000000002"/>
    <n v="81838.900000000009"/>
    <n v="392320.5"/>
    <n v="327355.60000000003"/>
    <n v="1952321.8"/>
  </r>
  <r>
    <n v="525"/>
    <s v="Product_525"/>
    <x v="1"/>
    <n v="419.97"/>
    <n v="2.9"/>
    <n v="76"/>
    <n v="720"/>
    <n v="184"/>
    <n v="892"/>
    <n v="857"/>
    <n v="813"/>
    <n v="979"/>
    <n v="615"/>
    <n v="239"/>
    <n v="524"/>
    <n v="669"/>
    <n v="399"/>
    <n v="111"/>
    <n v="7002"/>
    <n v="302378.40000000002"/>
    <n v="77274.48000000001"/>
    <n v="374613.24000000005"/>
    <n v="359914.29000000004"/>
    <n v="341435.61000000004"/>
    <n v="411150.63"/>
    <n v="258281.55000000002"/>
    <n v="100372.83"/>
    <n v="220064.28000000003"/>
    <n v="280959.93"/>
    <n v="167568.03"/>
    <n v="46616.670000000006"/>
    <n v="2940629.9400000004"/>
  </r>
  <r>
    <n v="526"/>
    <s v="Product_526"/>
    <x v="6"/>
    <n v="237"/>
    <n v="2"/>
    <n v="941"/>
    <n v="751"/>
    <n v="871"/>
    <n v="437"/>
    <n v="598"/>
    <n v="451"/>
    <n v="435"/>
    <n v="947"/>
    <n v="89"/>
    <n v="728"/>
    <n v="652"/>
    <n v="206"/>
    <n v="762"/>
    <n v="6927"/>
    <n v="177987"/>
    <n v="206427"/>
    <n v="103569"/>
    <n v="141726"/>
    <n v="106887"/>
    <n v="103095"/>
    <n v="224439"/>
    <n v="21093"/>
    <n v="172536"/>
    <n v="154524"/>
    <n v="48822"/>
    <n v="180594"/>
    <n v="1641699"/>
  </r>
  <r>
    <n v="527"/>
    <s v="Product_527"/>
    <x v="2"/>
    <n v="210.34"/>
    <n v="2.1"/>
    <n v="579"/>
    <n v="330"/>
    <n v="291"/>
    <n v="731"/>
    <n v="89"/>
    <n v="205"/>
    <n v="683"/>
    <n v="557"/>
    <n v="231"/>
    <n v="833"/>
    <n v="274"/>
    <n v="618"/>
    <n v="675"/>
    <n v="5517"/>
    <n v="69412.2"/>
    <n v="61208.94"/>
    <n v="153758.54"/>
    <n v="18720.260000000002"/>
    <n v="43119.7"/>
    <n v="143662.22"/>
    <n v="117159.38"/>
    <n v="48588.54"/>
    <n v="175213.22"/>
    <n v="57633.16"/>
    <n v="129990.12"/>
    <n v="141979.5"/>
    <n v="1160445.78"/>
  </r>
  <r>
    <n v="528"/>
    <s v="Product_528"/>
    <x v="5"/>
    <n v="140.34"/>
    <n v="2.2000000000000002"/>
    <n v="854"/>
    <n v="332"/>
    <n v="334"/>
    <n v="889"/>
    <n v="748"/>
    <n v="589"/>
    <n v="108"/>
    <n v="555"/>
    <n v="456"/>
    <n v="705"/>
    <n v="6"/>
    <n v="145"/>
    <n v="869"/>
    <n v="5736"/>
    <n v="46592.880000000005"/>
    <n v="46873.56"/>
    <n v="124762.26000000001"/>
    <n v="104974.32"/>
    <n v="82660.259999999995"/>
    <n v="15156.720000000001"/>
    <n v="77888.7"/>
    <n v="63995.040000000001"/>
    <n v="98939.7"/>
    <n v="842.04"/>
    <n v="20349.3"/>
    <n v="121955.46"/>
    <n v="804990.24"/>
  </r>
  <r>
    <n v="529"/>
    <s v="Product_529"/>
    <x v="2"/>
    <n v="32.909999999999997"/>
    <n v="4.2"/>
    <n v="492"/>
    <n v="49"/>
    <n v="731"/>
    <n v="605"/>
    <n v="389"/>
    <n v="15"/>
    <n v="865"/>
    <n v="277"/>
    <n v="232"/>
    <n v="143"/>
    <n v="904"/>
    <n v="878"/>
    <n v="679"/>
    <n v="5767"/>
    <n v="1612.59"/>
    <n v="24057.21"/>
    <n v="19910.55"/>
    <n v="12801.989999999998"/>
    <n v="493.65"/>
    <n v="28467.149999999998"/>
    <n v="9116.07"/>
    <n v="7635.119999999999"/>
    <n v="4706.1299999999992"/>
    <n v="29750.639999999996"/>
    <n v="28894.979999999996"/>
    <n v="22345.89"/>
    <n v="189791.96999999997"/>
  </r>
  <r>
    <n v="530"/>
    <s v="Product_530"/>
    <x v="3"/>
    <n v="433.04"/>
    <n v="3.2"/>
    <n v="194"/>
    <n v="522"/>
    <n v="115"/>
    <n v="456"/>
    <n v="581"/>
    <n v="326"/>
    <n v="980"/>
    <n v="692"/>
    <n v="353"/>
    <n v="584"/>
    <n v="978"/>
    <n v="100"/>
    <n v="220"/>
    <n v="5907"/>
    <n v="226046.88"/>
    <n v="49799.600000000006"/>
    <n v="197466.24000000002"/>
    <n v="251596.24000000002"/>
    <n v="141171.04"/>
    <n v="424379.2"/>
    <n v="299663.68"/>
    <n v="152863.12"/>
    <n v="252895.36000000002"/>
    <n v="423513.12"/>
    <n v="43304"/>
    <n v="95268.800000000003"/>
    <n v="2557967.2799999998"/>
  </r>
  <r>
    <n v="531"/>
    <s v="Product_531"/>
    <x v="0"/>
    <n v="407.39"/>
    <n v="2.2000000000000002"/>
    <n v="984"/>
    <n v="862"/>
    <n v="824"/>
    <n v="614"/>
    <n v="43"/>
    <n v="607"/>
    <n v="183"/>
    <n v="698"/>
    <n v="332"/>
    <n v="667"/>
    <n v="565"/>
    <n v="879"/>
    <n v="919"/>
    <n v="7193"/>
    <n v="351170.18"/>
    <n v="335689.36"/>
    <n v="250137.46"/>
    <n v="17517.77"/>
    <n v="247285.72999999998"/>
    <n v="74552.37"/>
    <n v="284358.21999999997"/>
    <n v="135253.47999999998"/>
    <n v="271729.13"/>
    <n v="230175.35"/>
    <n v="358095.81"/>
    <n v="374391.41"/>
    <n v="2930356.2700000005"/>
  </r>
  <r>
    <n v="532"/>
    <s v="Product_532"/>
    <x v="3"/>
    <n v="499.86"/>
    <n v="3.4"/>
    <n v="162"/>
    <n v="667"/>
    <n v="48"/>
    <n v="734"/>
    <n v="711"/>
    <n v="658"/>
    <n v="950"/>
    <n v="989"/>
    <n v="438"/>
    <n v="588"/>
    <n v="615"/>
    <n v="829"/>
    <n v="303"/>
    <n v="7530"/>
    <n v="333406.62"/>
    <n v="23993.279999999999"/>
    <n v="366897.24"/>
    <n v="355400.46"/>
    <n v="328907.88"/>
    <n v="474867"/>
    <n v="494361.54000000004"/>
    <n v="218938.68"/>
    <n v="293917.68"/>
    <n v="307413.90000000002"/>
    <n v="414383.94"/>
    <n v="151457.58000000002"/>
    <n v="3763945.8000000003"/>
  </r>
  <r>
    <n v="533"/>
    <s v="Product_533"/>
    <x v="4"/>
    <n v="498.34"/>
    <n v="3.9"/>
    <n v="347"/>
    <n v="491"/>
    <n v="684"/>
    <n v="697"/>
    <n v="663"/>
    <n v="1"/>
    <n v="367"/>
    <n v="625"/>
    <n v="374"/>
    <n v="418"/>
    <n v="853"/>
    <n v="879"/>
    <n v="702"/>
    <n v="6754"/>
    <n v="244684.93999999997"/>
    <n v="340864.56"/>
    <n v="347342.98"/>
    <n v="330399.42"/>
    <n v="498.34"/>
    <n v="182890.78"/>
    <n v="311462.5"/>
    <n v="186379.16"/>
    <n v="208306.12"/>
    <n v="425084.01999999996"/>
    <n v="438040.86"/>
    <n v="349834.68"/>
    <n v="3365788.36"/>
  </r>
  <r>
    <n v="534"/>
    <s v="Product_534"/>
    <x v="6"/>
    <n v="279.94"/>
    <n v="2.1"/>
    <n v="951"/>
    <n v="581"/>
    <n v="81"/>
    <n v="980"/>
    <n v="597"/>
    <n v="9"/>
    <n v="982"/>
    <n v="490"/>
    <n v="291"/>
    <n v="680"/>
    <n v="849"/>
    <n v="240"/>
    <n v="324"/>
    <n v="6104"/>
    <n v="162645.13999999998"/>
    <n v="22675.14"/>
    <n v="274341.2"/>
    <n v="167124.18"/>
    <n v="2519.46"/>
    <n v="274901.08"/>
    <n v="137170.6"/>
    <n v="81462.539999999994"/>
    <n v="190359.2"/>
    <n v="237669.06"/>
    <n v="67185.600000000006"/>
    <n v="90700.56"/>
    <n v="1708753.76"/>
  </r>
  <r>
    <n v="535"/>
    <s v="Product_535"/>
    <x v="2"/>
    <n v="385.65"/>
    <n v="2.7"/>
    <n v="361"/>
    <n v="680"/>
    <n v="833"/>
    <n v="695"/>
    <n v="18"/>
    <n v="433"/>
    <n v="197"/>
    <n v="254"/>
    <n v="344"/>
    <n v="972"/>
    <n v="572"/>
    <n v="1000"/>
    <n v="436"/>
    <n v="6434"/>
    <n v="262242"/>
    <n v="321246.44999999995"/>
    <n v="268026.75"/>
    <n v="6941.7"/>
    <n v="166986.44999999998"/>
    <n v="75973.049999999988"/>
    <n v="97955.099999999991"/>
    <n v="132663.6"/>
    <n v="374851.8"/>
    <n v="220591.8"/>
    <n v="385650"/>
    <n v="168143.4"/>
    <n v="2481272.1"/>
  </r>
  <r>
    <n v="536"/>
    <s v="Product_536"/>
    <x v="5"/>
    <n v="472.66"/>
    <n v="1.5"/>
    <n v="769"/>
    <n v="271"/>
    <n v="332"/>
    <n v="494"/>
    <n v="100"/>
    <n v="124"/>
    <n v="370"/>
    <n v="380"/>
    <n v="663"/>
    <n v="798"/>
    <n v="598"/>
    <n v="922"/>
    <n v="437"/>
    <n v="5489"/>
    <n v="128090.86"/>
    <n v="156923.12"/>
    <n v="233494.04"/>
    <n v="47266"/>
    <n v="58609.840000000004"/>
    <n v="174884.2"/>
    <n v="179610.80000000002"/>
    <n v="313373.58"/>
    <n v="377182.68"/>
    <n v="282650.68"/>
    <n v="435792.52"/>
    <n v="206552.42"/>
    <n v="2594430.7400000002"/>
  </r>
  <r>
    <n v="537"/>
    <s v="Product_537"/>
    <x v="0"/>
    <n v="425.58"/>
    <n v="1.7"/>
    <n v="584"/>
    <n v="579"/>
    <n v="556"/>
    <n v="673"/>
    <n v="913"/>
    <n v="80"/>
    <n v="372"/>
    <n v="891"/>
    <n v="427"/>
    <n v="84"/>
    <n v="769"/>
    <n v="758"/>
    <n v="169"/>
    <n v="6271"/>
    <n v="246410.81999999998"/>
    <n v="236622.47999999998"/>
    <n v="286415.33999999997"/>
    <n v="388554.54"/>
    <n v="34046.400000000001"/>
    <n v="158315.75999999998"/>
    <n v="379191.77999999997"/>
    <n v="181722.66"/>
    <n v="35748.720000000001"/>
    <n v="327271.01999999996"/>
    <n v="322589.64"/>
    <n v="71923.02"/>
    <n v="2668812.1799999997"/>
  </r>
  <r>
    <n v="538"/>
    <s v="Product_538"/>
    <x v="5"/>
    <n v="127.44"/>
    <n v="3.7"/>
    <n v="87"/>
    <n v="866"/>
    <n v="334"/>
    <n v="246"/>
    <n v="606"/>
    <n v="484"/>
    <n v="972"/>
    <n v="541"/>
    <n v="656"/>
    <n v="415"/>
    <n v="177"/>
    <n v="162"/>
    <n v="374"/>
    <n v="5833"/>
    <n v="110363.04"/>
    <n v="42564.959999999999"/>
    <n v="31350.239999999998"/>
    <n v="77228.639999999999"/>
    <n v="61680.959999999999"/>
    <n v="123871.67999999999"/>
    <n v="68945.039999999994"/>
    <n v="83600.639999999999"/>
    <n v="52887.6"/>
    <n v="22556.880000000001"/>
    <n v="20645.28"/>
    <n v="47662.559999999998"/>
    <n v="743357.52"/>
  </r>
  <r>
    <n v="539"/>
    <s v="Product_539"/>
    <x v="6"/>
    <n v="228.02"/>
    <n v="1.7"/>
    <n v="934"/>
    <n v="251"/>
    <n v="531"/>
    <n v="542"/>
    <n v="765"/>
    <n v="651"/>
    <n v="496"/>
    <n v="263"/>
    <n v="129"/>
    <n v="693"/>
    <n v="241"/>
    <n v="883"/>
    <n v="556"/>
    <n v="6001"/>
    <n v="57233.020000000004"/>
    <n v="121078.62000000001"/>
    <n v="123586.84000000001"/>
    <n v="174435.30000000002"/>
    <n v="148441.02000000002"/>
    <n v="113097.92"/>
    <n v="59969.26"/>
    <n v="29414.58"/>
    <n v="158017.86000000002"/>
    <n v="54952.82"/>
    <n v="201341.66"/>
    <n v="126779.12000000001"/>
    <n v="1368348.02"/>
  </r>
  <r>
    <n v="540"/>
    <s v="Product_540"/>
    <x v="2"/>
    <n v="68.930000000000007"/>
    <n v="3.1"/>
    <n v="262"/>
    <n v="559"/>
    <n v="959"/>
    <n v="563"/>
    <n v="356"/>
    <n v="837"/>
    <n v="598"/>
    <n v="609"/>
    <n v="140"/>
    <n v="481"/>
    <n v="202"/>
    <n v="172"/>
    <n v="380"/>
    <n v="5856"/>
    <n v="38531.870000000003"/>
    <n v="66103.87000000001"/>
    <n v="38807.590000000004"/>
    <n v="24539.08"/>
    <n v="57694.41"/>
    <n v="41220.140000000007"/>
    <n v="41978.37"/>
    <n v="9650.2000000000007"/>
    <n v="33155.33"/>
    <n v="13923.86"/>
    <n v="11855.960000000001"/>
    <n v="26193.4"/>
    <n v="403654.08000000007"/>
  </r>
  <r>
    <n v="541"/>
    <s v="Product_541"/>
    <x v="2"/>
    <n v="477.26"/>
    <n v="3.8"/>
    <n v="214"/>
    <n v="695"/>
    <n v="220"/>
    <n v="856"/>
    <n v="541"/>
    <n v="149"/>
    <n v="200"/>
    <n v="824"/>
    <n v="414"/>
    <n v="455"/>
    <n v="542"/>
    <n v="501"/>
    <n v="985"/>
    <n v="6382"/>
    <n v="331695.7"/>
    <n v="104997.2"/>
    <n v="408534.56"/>
    <n v="258197.66"/>
    <n v="71111.740000000005"/>
    <n v="95452"/>
    <n v="393262.24"/>
    <n v="197585.63999999998"/>
    <n v="217153.3"/>
    <n v="258674.91999999998"/>
    <n v="239107.26"/>
    <n v="470101.1"/>
    <n v="3045873.32"/>
  </r>
  <r>
    <n v="542"/>
    <s v="Product_542"/>
    <x v="3"/>
    <n v="305.06"/>
    <n v="1.4"/>
    <n v="665"/>
    <n v="831"/>
    <n v="634"/>
    <n v="587"/>
    <n v="760"/>
    <n v="799"/>
    <n v="848"/>
    <n v="878"/>
    <n v="92"/>
    <n v="826"/>
    <n v="800"/>
    <n v="546"/>
    <n v="13"/>
    <n v="7614"/>
    <n v="253504.86000000002"/>
    <n v="193408.04"/>
    <n v="179070.22"/>
    <n v="231845.6"/>
    <n v="243742.94"/>
    <n v="258690.88"/>
    <n v="267842.68"/>
    <n v="28065.52"/>
    <n v="251979.56"/>
    <n v="244048"/>
    <n v="166562.76"/>
    <n v="3965.78"/>
    <n v="2322726.8399999994"/>
  </r>
  <r>
    <n v="543"/>
    <s v="Product_543"/>
    <x v="0"/>
    <n v="118.18"/>
    <n v="3.3"/>
    <n v="722"/>
    <n v="698"/>
    <n v="745"/>
    <n v="896"/>
    <n v="937"/>
    <n v="872"/>
    <n v="508"/>
    <n v="328"/>
    <n v="625"/>
    <n v="296"/>
    <n v="461"/>
    <n v="283"/>
    <n v="742"/>
    <n v="7391"/>
    <n v="82489.64"/>
    <n v="88044.1"/>
    <n v="105889.28"/>
    <n v="110734.66"/>
    <n v="103052.96"/>
    <n v="60035.44"/>
    <n v="38763.040000000001"/>
    <n v="73862.5"/>
    <n v="34981.279999999999"/>
    <n v="54480.98"/>
    <n v="33444.94"/>
    <n v="87689.560000000012"/>
    <n v="873468.38000000012"/>
  </r>
  <r>
    <n v="544"/>
    <s v="Product_544"/>
    <x v="0"/>
    <n v="337.49"/>
    <n v="2"/>
    <n v="913"/>
    <n v="89"/>
    <n v="732"/>
    <n v="438"/>
    <n v="32"/>
    <n v="339"/>
    <n v="321"/>
    <n v="114"/>
    <n v="283"/>
    <n v="111"/>
    <n v="79"/>
    <n v="358"/>
    <n v="668"/>
    <n v="3564"/>
    <n v="30036.61"/>
    <n v="247042.68"/>
    <n v="147820.62"/>
    <n v="10799.68"/>
    <n v="114409.11"/>
    <n v="108334.29000000001"/>
    <n v="38473.86"/>
    <n v="95509.67"/>
    <n v="37461.39"/>
    <n v="26661.71"/>
    <n v="120821.42"/>
    <n v="225443.32"/>
    <n v="1202814.3600000001"/>
  </r>
  <r>
    <n v="545"/>
    <s v="Product_545"/>
    <x v="6"/>
    <n v="310.97000000000003"/>
    <n v="4.9000000000000004"/>
    <n v="573"/>
    <n v="445"/>
    <n v="322"/>
    <n v="277"/>
    <n v="969"/>
    <n v="128"/>
    <n v="274"/>
    <n v="275"/>
    <n v="955"/>
    <n v="961"/>
    <n v="522"/>
    <n v="380"/>
    <n v="499"/>
    <n v="6007"/>
    <n v="138381.65000000002"/>
    <n v="100132.34000000001"/>
    <n v="86138.69"/>
    <n v="301329.93000000005"/>
    <n v="39804.160000000003"/>
    <n v="85205.780000000013"/>
    <n v="85516.750000000015"/>
    <n v="296976.35000000003"/>
    <n v="298842.17000000004"/>
    <n v="162326.34000000003"/>
    <n v="118168.6"/>
    <n v="155174.03000000003"/>
    <n v="1867996.7900000005"/>
  </r>
  <r>
    <n v="546"/>
    <s v="Product_546"/>
    <x v="2"/>
    <n v="182.29"/>
    <n v="2.9"/>
    <n v="780"/>
    <n v="331"/>
    <n v="850"/>
    <n v="551"/>
    <n v="228"/>
    <n v="437"/>
    <n v="210"/>
    <n v="487"/>
    <n v="922"/>
    <n v="229"/>
    <n v="416"/>
    <n v="869"/>
    <n v="645"/>
    <n v="6175"/>
    <n v="60337.99"/>
    <n v="154946.5"/>
    <n v="100441.79"/>
    <n v="41562.119999999995"/>
    <n v="79660.73"/>
    <n v="38280.9"/>
    <n v="88775.23"/>
    <n v="168071.38"/>
    <n v="41744.409999999996"/>
    <n v="75832.639999999999"/>
    <n v="158410.00999999998"/>
    <n v="117577.04999999999"/>
    <n v="1125640.75"/>
  </r>
  <r>
    <n v="547"/>
    <s v="Product_547"/>
    <x v="0"/>
    <n v="61.21"/>
    <n v="4.2"/>
    <n v="262"/>
    <n v="138"/>
    <n v="2"/>
    <n v="612"/>
    <n v="523"/>
    <n v="750"/>
    <n v="503"/>
    <n v="280"/>
    <n v="654"/>
    <n v="95"/>
    <n v="765"/>
    <n v="904"/>
    <n v="390"/>
    <n v="5616"/>
    <n v="8446.98"/>
    <n v="122.42"/>
    <n v="37460.520000000004"/>
    <n v="32012.83"/>
    <n v="45907.5"/>
    <n v="30788.63"/>
    <n v="17138.8"/>
    <n v="40031.340000000004"/>
    <n v="5814.95"/>
    <n v="46825.65"/>
    <n v="55333.840000000004"/>
    <n v="23871.9"/>
    <n v="343755.36000000004"/>
  </r>
  <r>
    <n v="548"/>
    <s v="Product_548"/>
    <x v="0"/>
    <n v="337.43"/>
    <n v="3.2"/>
    <n v="730"/>
    <n v="356"/>
    <n v="693"/>
    <n v="110"/>
    <n v="629"/>
    <n v="500"/>
    <n v="902"/>
    <n v="274"/>
    <n v="222"/>
    <n v="949"/>
    <n v="383"/>
    <n v="971"/>
    <n v="548"/>
    <n v="6537"/>
    <n v="120125.08"/>
    <n v="233838.99"/>
    <n v="37117.300000000003"/>
    <n v="212243.47"/>
    <n v="168715"/>
    <n v="304361.86"/>
    <n v="92455.82"/>
    <n v="74909.460000000006"/>
    <n v="320221.07"/>
    <n v="129235.69"/>
    <n v="327644.53000000003"/>
    <n v="184911.64"/>
    <n v="2205779.91"/>
  </r>
  <r>
    <n v="549"/>
    <s v="Product_549"/>
    <x v="5"/>
    <n v="262.55"/>
    <n v="1.2"/>
    <n v="283"/>
    <n v="600"/>
    <n v="205"/>
    <n v="384"/>
    <n v="861"/>
    <n v="57"/>
    <n v="117"/>
    <n v="772"/>
    <n v="743"/>
    <n v="679"/>
    <n v="390"/>
    <n v="910"/>
    <n v="564"/>
    <n v="6282"/>
    <n v="157530"/>
    <n v="53822.75"/>
    <n v="100819.20000000001"/>
    <n v="226055.55000000002"/>
    <n v="14965.35"/>
    <n v="30718.350000000002"/>
    <n v="202688.6"/>
    <n v="195074.65"/>
    <n v="178271.45"/>
    <n v="102394.5"/>
    <n v="238920.5"/>
    <n v="148078.20000000001"/>
    <n v="1649339.0999999999"/>
  </r>
  <r>
    <n v="550"/>
    <s v="Product_550"/>
    <x v="6"/>
    <n v="387.3"/>
    <n v="3.5"/>
    <n v="648"/>
    <n v="273"/>
    <n v="831"/>
    <n v="832"/>
    <n v="154"/>
    <n v="197"/>
    <n v="702"/>
    <n v="842"/>
    <n v="462"/>
    <n v="377"/>
    <n v="895"/>
    <n v="532"/>
    <n v="529"/>
    <n v="6626"/>
    <n v="105732.90000000001"/>
    <n v="321846.3"/>
    <n v="322233.60000000003"/>
    <n v="59644.200000000004"/>
    <n v="76298.100000000006"/>
    <n v="271884.60000000003"/>
    <n v="326106.60000000003"/>
    <n v="178932.6"/>
    <n v="146012.1"/>
    <n v="346633.5"/>
    <n v="206043.6"/>
    <n v="204881.7"/>
    <n v="2566249.8000000003"/>
  </r>
  <r>
    <n v="551"/>
    <s v="Product_551"/>
    <x v="3"/>
    <n v="262.48"/>
    <n v="4.8"/>
    <n v="467"/>
    <n v="18"/>
    <n v="39"/>
    <n v="760"/>
    <n v="422"/>
    <n v="210"/>
    <n v="553"/>
    <n v="718"/>
    <n v="544"/>
    <n v="155"/>
    <n v="798"/>
    <n v="819"/>
    <n v="982"/>
    <n v="6018"/>
    <n v="4724.6400000000003"/>
    <n v="10236.720000000001"/>
    <n v="199484.80000000002"/>
    <n v="110766.56000000001"/>
    <n v="55120.800000000003"/>
    <n v="145151.44"/>
    <n v="188460.64"/>
    <n v="142789.12"/>
    <n v="40684.400000000001"/>
    <n v="209459.04"/>
    <n v="214971.12000000002"/>
    <n v="257755.36000000002"/>
    <n v="1579604.6400000001"/>
  </r>
  <r>
    <n v="552"/>
    <s v="Product_552"/>
    <x v="5"/>
    <n v="426.83"/>
    <n v="3.4"/>
    <n v="380"/>
    <n v="982"/>
    <n v="58"/>
    <n v="190"/>
    <n v="904"/>
    <n v="913"/>
    <n v="41"/>
    <n v="895"/>
    <n v="275"/>
    <n v="420"/>
    <n v="687"/>
    <n v="162"/>
    <n v="491"/>
    <n v="6018"/>
    <n v="419147.06"/>
    <n v="24756.14"/>
    <n v="81097.7"/>
    <n v="385854.32"/>
    <n v="389695.79"/>
    <n v="17500.03"/>
    <n v="382012.85"/>
    <n v="117378.25"/>
    <n v="179268.6"/>
    <n v="293232.20999999996"/>
    <n v="69146.459999999992"/>
    <n v="209573.53"/>
    <n v="2568662.94"/>
  </r>
  <r>
    <n v="553"/>
    <s v="Product_553"/>
    <x v="5"/>
    <n v="278.19"/>
    <n v="4.3"/>
    <n v="362"/>
    <n v="310"/>
    <n v="950"/>
    <n v="489"/>
    <n v="245"/>
    <n v="901"/>
    <n v="314"/>
    <n v="327"/>
    <n v="681"/>
    <n v="104"/>
    <n v="125"/>
    <n v="608"/>
    <n v="549"/>
    <n v="5603"/>
    <n v="86238.9"/>
    <n v="264280.5"/>
    <n v="136034.91"/>
    <n v="68156.55"/>
    <n v="250649.19"/>
    <n v="87351.66"/>
    <n v="90968.13"/>
    <n v="189447.38999999998"/>
    <n v="28931.759999999998"/>
    <n v="34773.75"/>
    <n v="169139.52"/>
    <n v="152726.31"/>
    <n v="1558698.57"/>
  </r>
  <r>
    <n v="554"/>
    <s v="Product_554"/>
    <x v="1"/>
    <n v="282.66000000000003"/>
    <n v="4.5"/>
    <n v="449"/>
    <n v="869"/>
    <n v="573"/>
    <n v="693"/>
    <n v="404"/>
    <n v="44"/>
    <n v="787"/>
    <n v="210"/>
    <n v="139"/>
    <n v="704"/>
    <n v="493"/>
    <n v="306"/>
    <n v="698"/>
    <n v="5920"/>
    <n v="245631.54"/>
    <n v="161964.18000000002"/>
    <n v="195883.38"/>
    <n v="114194.64000000001"/>
    <n v="12437.04"/>
    <n v="222453.42"/>
    <n v="59358.600000000006"/>
    <n v="39289.740000000005"/>
    <n v="198992.64000000001"/>
    <n v="139351.38"/>
    <n v="86493.96"/>
    <n v="197296.68000000002"/>
    <n v="1673347.2"/>
  </r>
  <r>
    <n v="555"/>
    <s v="Product_555"/>
    <x v="4"/>
    <n v="438.94"/>
    <n v="1.9"/>
    <n v="441"/>
    <n v="885"/>
    <n v="643"/>
    <n v="425"/>
    <n v="843"/>
    <n v="96"/>
    <n v="328"/>
    <n v="726"/>
    <n v="356"/>
    <n v="1000"/>
    <n v="46"/>
    <n v="338"/>
    <n v="384"/>
    <n v="6070"/>
    <n v="388461.9"/>
    <n v="282238.42"/>
    <n v="186549.5"/>
    <n v="370026.42"/>
    <n v="42138.239999999998"/>
    <n v="143972.32"/>
    <n v="318670.44"/>
    <n v="156262.63999999998"/>
    <n v="438940"/>
    <n v="20191.240000000002"/>
    <n v="148361.72"/>
    <n v="168552.95999999999"/>
    <n v="2664365.8000000003"/>
  </r>
  <r>
    <n v="556"/>
    <s v="Product_556"/>
    <x v="1"/>
    <n v="204.72"/>
    <n v="1.8"/>
    <n v="93"/>
    <n v="977"/>
    <n v="506"/>
    <n v="404"/>
    <n v="758"/>
    <n v="278"/>
    <n v="16"/>
    <n v="922"/>
    <n v="712"/>
    <n v="329"/>
    <n v="717"/>
    <n v="54"/>
    <n v="195"/>
    <n v="5868"/>
    <n v="200011.44"/>
    <n v="103588.31999999999"/>
    <n v="82706.880000000005"/>
    <n v="155177.76"/>
    <n v="56912.159999999996"/>
    <n v="3275.52"/>
    <n v="188751.84"/>
    <n v="145760.63999999998"/>
    <n v="67352.88"/>
    <n v="146784.24"/>
    <n v="11054.88"/>
    <n v="39920.400000000001"/>
    <n v="1201296.96"/>
  </r>
  <r>
    <n v="557"/>
    <s v="Product_557"/>
    <x v="0"/>
    <n v="71.34"/>
    <n v="3.4"/>
    <n v="621"/>
    <n v="153"/>
    <n v="571"/>
    <n v="334"/>
    <n v="540"/>
    <n v="534"/>
    <n v="282"/>
    <n v="551"/>
    <n v="22"/>
    <n v="438"/>
    <n v="475"/>
    <n v="982"/>
    <n v="754"/>
    <n v="5636"/>
    <n v="10915.02"/>
    <n v="40735.14"/>
    <n v="23827.56"/>
    <n v="38523.599999999999"/>
    <n v="38095.560000000005"/>
    <n v="20117.88"/>
    <n v="39308.340000000004"/>
    <n v="1569.48"/>
    <n v="31246.920000000002"/>
    <n v="33886.5"/>
    <n v="70055.88"/>
    <n v="53790.36"/>
    <n v="402072.24"/>
  </r>
  <r>
    <n v="558"/>
    <s v="Product_558"/>
    <x v="2"/>
    <n v="19.25"/>
    <n v="2.6"/>
    <n v="753"/>
    <n v="389"/>
    <n v="883"/>
    <n v="208"/>
    <n v="160"/>
    <n v="409"/>
    <n v="942"/>
    <n v="991"/>
    <n v="967"/>
    <n v="131"/>
    <n v="948"/>
    <n v="332"/>
    <n v="299"/>
    <n v="6659"/>
    <n v="7488.25"/>
    <n v="16997.75"/>
    <n v="4004"/>
    <n v="3080"/>
    <n v="7873.25"/>
    <n v="18133.5"/>
    <n v="19076.75"/>
    <n v="18614.75"/>
    <n v="2521.75"/>
    <n v="18249"/>
    <n v="6391"/>
    <n v="5755.75"/>
    <n v="128185.75"/>
  </r>
  <r>
    <n v="559"/>
    <s v="Product_559"/>
    <x v="4"/>
    <n v="378.79"/>
    <n v="4.4000000000000004"/>
    <n v="867"/>
    <n v="259"/>
    <n v="842"/>
    <n v="21"/>
    <n v="746"/>
    <n v="460"/>
    <n v="257"/>
    <n v="25"/>
    <n v="735"/>
    <n v="866"/>
    <n v="618"/>
    <n v="126"/>
    <n v="814"/>
    <n v="5769"/>
    <n v="98106.61"/>
    <n v="318941.18"/>
    <n v="7954.59"/>
    <n v="282577.34000000003"/>
    <n v="174243.40000000002"/>
    <n v="97349.03"/>
    <n v="9469.75"/>
    <n v="278410.65000000002"/>
    <n v="328032.14"/>
    <n v="234092.22"/>
    <n v="47727.54"/>
    <n v="308335.06"/>
    <n v="2185239.5099999998"/>
  </r>
  <r>
    <n v="560"/>
    <s v="Product_560"/>
    <x v="4"/>
    <n v="312.05"/>
    <n v="4.5999999999999996"/>
    <n v="424"/>
    <n v="619"/>
    <n v="121"/>
    <n v="677"/>
    <n v="701"/>
    <n v="390"/>
    <n v="574"/>
    <n v="26"/>
    <n v="879"/>
    <n v="381"/>
    <n v="463"/>
    <n v="939"/>
    <n v="546"/>
    <n v="6316"/>
    <n v="193158.95"/>
    <n v="37758.050000000003"/>
    <n v="211257.85"/>
    <n v="218747.05000000002"/>
    <n v="121699.5"/>
    <n v="179116.7"/>
    <n v="8113.3"/>
    <n v="274291.95"/>
    <n v="118891.05"/>
    <n v="144479.15"/>
    <n v="293014.95"/>
    <n v="170379.30000000002"/>
    <n v="1970907.8"/>
  </r>
  <r>
    <n v="561"/>
    <s v="Product_561"/>
    <x v="2"/>
    <n v="353.52"/>
    <n v="2.4"/>
    <n v="142"/>
    <n v="882"/>
    <n v="478"/>
    <n v="610"/>
    <n v="116"/>
    <n v="846"/>
    <n v="573"/>
    <n v="701"/>
    <n v="269"/>
    <n v="137"/>
    <n v="786"/>
    <n v="704"/>
    <n v="726"/>
    <n v="6828"/>
    <n v="311804.63999999996"/>
    <n v="168982.56"/>
    <n v="215647.19999999998"/>
    <n v="41008.32"/>
    <n v="299077.92"/>
    <n v="202566.96"/>
    <n v="247817.52"/>
    <n v="95096.87999999999"/>
    <n v="48432.24"/>
    <n v="277866.71999999997"/>
    <n v="248878.07999999999"/>
    <n v="256655.52"/>
    <n v="2413834.5599999996"/>
  </r>
  <r>
    <n v="562"/>
    <s v="Product_562"/>
    <x v="4"/>
    <n v="110.42"/>
    <n v="1.9"/>
    <n v="291"/>
    <n v="796"/>
    <n v="618"/>
    <n v="207"/>
    <n v="270"/>
    <n v="43"/>
    <n v="611"/>
    <n v="82"/>
    <n v="858"/>
    <n v="942"/>
    <n v="848"/>
    <n v="242"/>
    <n v="730"/>
    <n v="6247"/>
    <n v="87894.32"/>
    <n v="68239.56"/>
    <n v="22856.94"/>
    <n v="29813.4"/>
    <n v="4748.0600000000004"/>
    <n v="67466.62"/>
    <n v="9054.44"/>
    <n v="94740.36"/>
    <n v="104015.64"/>
    <n v="93636.160000000003"/>
    <n v="26721.64"/>
    <n v="80606.600000000006"/>
    <n v="689793.74"/>
  </r>
  <r>
    <n v="563"/>
    <s v="Product_563"/>
    <x v="2"/>
    <n v="72.5"/>
    <n v="4.0999999999999996"/>
    <n v="432"/>
    <n v="570"/>
    <n v="95"/>
    <n v="7"/>
    <n v="769"/>
    <n v="26"/>
    <n v="18"/>
    <n v="895"/>
    <n v="664"/>
    <n v="842"/>
    <n v="122"/>
    <n v="860"/>
    <n v="827"/>
    <n v="5695"/>
    <n v="41325"/>
    <n v="6887.5"/>
    <n v="507.5"/>
    <n v="55752.5"/>
    <n v="1885"/>
    <n v="1305"/>
    <n v="64887.5"/>
    <n v="48140"/>
    <n v="61045"/>
    <n v="8845"/>
    <n v="62350"/>
    <n v="59957.5"/>
    <n v="412887.5"/>
  </r>
  <r>
    <n v="564"/>
    <s v="Product_564"/>
    <x v="4"/>
    <n v="12.2"/>
    <n v="2.1"/>
    <n v="749"/>
    <n v="124"/>
    <n v="858"/>
    <n v="701"/>
    <n v="691"/>
    <n v="793"/>
    <n v="528"/>
    <n v="945"/>
    <n v="332"/>
    <n v="269"/>
    <n v="473"/>
    <n v="599"/>
    <n v="601"/>
    <n v="6914"/>
    <n v="1512.8"/>
    <n v="10467.599999999999"/>
    <n v="8552.1999999999989"/>
    <n v="8430.1999999999989"/>
    <n v="9674.5999999999985"/>
    <n v="6441.5999999999995"/>
    <n v="11529"/>
    <n v="4050.3999999999996"/>
    <n v="3281.7999999999997"/>
    <n v="5770.5999999999995"/>
    <n v="7307.7999999999993"/>
    <n v="7332.2"/>
    <n v="84350.8"/>
  </r>
  <r>
    <n v="565"/>
    <s v="Product_565"/>
    <x v="5"/>
    <n v="178.54"/>
    <n v="4.3"/>
    <n v="852"/>
    <n v="353"/>
    <n v="413"/>
    <n v="686"/>
    <n v="486"/>
    <n v="96"/>
    <n v="836"/>
    <n v="681"/>
    <n v="84"/>
    <n v="549"/>
    <n v="133"/>
    <n v="847"/>
    <n v="307"/>
    <n v="5471"/>
    <n v="63024.619999999995"/>
    <n v="73737.01999999999"/>
    <n v="122478.43999999999"/>
    <n v="86770.44"/>
    <n v="17139.84"/>
    <n v="149259.44"/>
    <n v="121585.73999999999"/>
    <n v="14997.359999999999"/>
    <n v="98018.459999999992"/>
    <n v="23745.82"/>
    <n v="151223.38"/>
    <n v="54811.78"/>
    <n v="976792.34"/>
  </r>
  <r>
    <n v="566"/>
    <s v="Product_566"/>
    <x v="6"/>
    <n v="297.01"/>
    <n v="2.7"/>
    <n v="824"/>
    <n v="272"/>
    <n v="234"/>
    <n v="784"/>
    <n v="884"/>
    <n v="974"/>
    <n v="422"/>
    <n v="412"/>
    <n v="620"/>
    <n v="395"/>
    <n v="618"/>
    <n v="408"/>
    <n v="251"/>
    <n v="6274"/>
    <n v="80786.720000000001"/>
    <n v="69500.34"/>
    <n v="232855.84"/>
    <n v="262556.83999999997"/>
    <n v="289287.74"/>
    <n v="125338.22"/>
    <n v="122368.12"/>
    <n v="184146.19999999998"/>
    <n v="117318.95"/>
    <n v="183552.18"/>
    <n v="121180.08"/>
    <n v="74549.509999999995"/>
    <n v="1863440.7399999998"/>
  </r>
  <r>
    <n v="567"/>
    <s v="Product_567"/>
    <x v="6"/>
    <n v="199.16"/>
    <n v="3.7"/>
    <n v="689"/>
    <n v="618"/>
    <n v="897"/>
    <n v="528"/>
    <n v="171"/>
    <n v="547"/>
    <n v="465"/>
    <n v="166"/>
    <n v="30"/>
    <n v="556"/>
    <n v="816"/>
    <n v="502"/>
    <n v="7"/>
    <n v="5303"/>
    <n v="123080.88"/>
    <n v="178646.52"/>
    <n v="105156.48"/>
    <n v="34056.36"/>
    <n v="108940.52"/>
    <n v="92609.4"/>
    <n v="33060.559999999998"/>
    <n v="5974.8"/>
    <n v="110732.95999999999"/>
    <n v="162514.56"/>
    <n v="99978.319999999992"/>
    <n v="1394.12"/>
    <n v="1056145.4800000002"/>
  </r>
  <r>
    <n v="568"/>
    <s v="Product_568"/>
    <x v="1"/>
    <n v="221.55"/>
    <n v="1.4"/>
    <n v="653"/>
    <n v="810"/>
    <n v="61"/>
    <n v="601"/>
    <n v="949"/>
    <n v="620"/>
    <n v="372"/>
    <n v="699"/>
    <n v="740"/>
    <n v="912"/>
    <n v="840"/>
    <n v="726"/>
    <n v="767"/>
    <n v="8097"/>
    <n v="179455.5"/>
    <n v="13514.550000000001"/>
    <n v="133151.55000000002"/>
    <n v="210250.95"/>
    <n v="137361"/>
    <n v="82416.600000000006"/>
    <n v="154863.45000000001"/>
    <n v="163947"/>
    <n v="202053.6"/>
    <n v="186102"/>
    <n v="160845.30000000002"/>
    <n v="169928.85"/>
    <n v="1793890.3500000003"/>
  </r>
  <r>
    <n v="569"/>
    <s v="Product_569"/>
    <x v="5"/>
    <n v="452.56"/>
    <n v="3.5"/>
    <n v="701"/>
    <n v="244"/>
    <n v="255"/>
    <n v="652"/>
    <n v="273"/>
    <n v="566"/>
    <n v="757"/>
    <n v="168"/>
    <n v="239"/>
    <n v="463"/>
    <n v="561"/>
    <n v="603"/>
    <n v="874"/>
    <n v="5655"/>
    <n v="110424.64"/>
    <n v="115402.8"/>
    <n v="295069.12"/>
    <n v="123548.88"/>
    <n v="256148.96"/>
    <n v="342587.92"/>
    <n v="76030.080000000002"/>
    <n v="108161.84"/>
    <n v="209535.28"/>
    <n v="253886.16"/>
    <n v="272893.68"/>
    <n v="395537.44"/>
    <n v="2559226.7999999998"/>
  </r>
  <r>
    <n v="570"/>
    <s v="Product_570"/>
    <x v="4"/>
    <n v="177.39"/>
    <n v="2.8"/>
    <n v="998"/>
    <n v="847"/>
    <n v="560"/>
    <n v="656"/>
    <n v="258"/>
    <n v="703"/>
    <n v="762"/>
    <n v="800"/>
    <n v="889"/>
    <n v="674"/>
    <n v="848"/>
    <n v="302"/>
    <n v="207"/>
    <n v="7506"/>
    <n v="150249.32999999999"/>
    <n v="99338.4"/>
    <n v="116367.84"/>
    <n v="45766.619999999995"/>
    <n v="124705.16999999998"/>
    <n v="135171.18"/>
    <n v="141912"/>
    <n v="157699.71"/>
    <n v="119560.85999999999"/>
    <n v="150426.72"/>
    <n v="53571.78"/>
    <n v="36719.729999999996"/>
    <n v="1331489.3399999999"/>
  </r>
  <r>
    <n v="571"/>
    <s v="Product_571"/>
    <x v="3"/>
    <n v="259.42"/>
    <n v="3.3"/>
    <n v="49"/>
    <n v="449"/>
    <n v="904"/>
    <n v="165"/>
    <n v="134"/>
    <n v="218"/>
    <n v="966"/>
    <n v="978"/>
    <n v="362"/>
    <n v="449"/>
    <n v="606"/>
    <n v="463"/>
    <n v="936"/>
    <n v="6630"/>
    <n v="116479.58"/>
    <n v="234515.68000000002"/>
    <n v="42804.3"/>
    <n v="34762.28"/>
    <n v="56553.560000000005"/>
    <n v="250599.72"/>
    <n v="253712.76"/>
    <n v="93910.040000000008"/>
    <n v="116479.58"/>
    <n v="157208.52000000002"/>
    <n v="120111.46"/>
    <n v="242817.12000000002"/>
    <n v="1719954.6"/>
  </r>
  <r>
    <n v="572"/>
    <s v="Product_572"/>
    <x v="2"/>
    <n v="392.91"/>
    <n v="1.7"/>
    <n v="302"/>
    <n v="929"/>
    <n v="347"/>
    <n v="848"/>
    <n v="682"/>
    <n v="184"/>
    <n v="80"/>
    <n v="228"/>
    <n v="821"/>
    <n v="330"/>
    <n v="779"/>
    <n v="234"/>
    <n v="130"/>
    <n v="5592"/>
    <n v="365013.39"/>
    <n v="136339.77000000002"/>
    <n v="333187.68"/>
    <n v="267964.62"/>
    <n v="72295.44"/>
    <n v="31432.800000000003"/>
    <n v="89583.48000000001"/>
    <n v="322579.11000000004"/>
    <n v="129660.3"/>
    <n v="306076.89"/>
    <n v="91940.94"/>
    <n v="51078.3"/>
    <n v="2197152.7199999997"/>
  </r>
  <r>
    <n v="573"/>
    <s v="Product_573"/>
    <x v="5"/>
    <n v="201.29"/>
    <n v="3.9"/>
    <n v="881"/>
    <n v="246"/>
    <n v="670"/>
    <n v="495"/>
    <n v="721"/>
    <n v="68"/>
    <n v="550"/>
    <n v="978"/>
    <n v="388"/>
    <n v="252"/>
    <n v="22"/>
    <n v="695"/>
    <n v="735"/>
    <n v="5820"/>
    <n v="49517.34"/>
    <n v="134864.29999999999"/>
    <n v="99638.55"/>
    <n v="145130.09"/>
    <n v="13687.72"/>
    <n v="110709.5"/>
    <n v="196861.62"/>
    <n v="78100.52"/>
    <n v="50725.079999999994"/>
    <n v="4428.38"/>
    <n v="139896.54999999999"/>
    <n v="147948.15"/>
    <n v="1171507.7999999998"/>
  </r>
  <r>
    <n v="574"/>
    <s v="Product_574"/>
    <x v="4"/>
    <n v="312.93"/>
    <n v="4.5"/>
    <n v="190"/>
    <n v="519"/>
    <n v="123"/>
    <n v="589"/>
    <n v="747"/>
    <n v="828"/>
    <n v="547"/>
    <n v="608"/>
    <n v="652"/>
    <n v="680"/>
    <n v="565"/>
    <n v="37"/>
    <n v="708"/>
    <n v="6603"/>
    <n v="162410.67000000001"/>
    <n v="38490.39"/>
    <n v="184315.77"/>
    <n v="233758.71"/>
    <n v="259106.04"/>
    <n v="171172.71"/>
    <n v="190261.44"/>
    <n v="204030.36000000002"/>
    <n v="212792.4"/>
    <n v="176805.45"/>
    <n v="11578.41"/>
    <n v="221554.44"/>
    <n v="2066276.7899999998"/>
  </r>
  <r>
    <n v="575"/>
    <s v="Product_575"/>
    <x v="6"/>
    <n v="431.87"/>
    <n v="1.9"/>
    <n v="136"/>
    <n v="140"/>
    <n v="481"/>
    <n v="428"/>
    <n v="421"/>
    <n v="129"/>
    <n v="423"/>
    <n v="366"/>
    <n v="667"/>
    <n v="962"/>
    <n v="885"/>
    <n v="138"/>
    <n v="979"/>
    <n v="6019"/>
    <n v="60461.8"/>
    <n v="207729.47"/>
    <n v="184840.36000000002"/>
    <n v="181817.27"/>
    <n v="55711.23"/>
    <n v="182681.01"/>
    <n v="158064.42000000001"/>
    <n v="288057.28999999998"/>
    <n v="415458.94"/>
    <n v="382204.95"/>
    <n v="59598.06"/>
    <n v="422800.73"/>
    <n v="2599425.5300000003"/>
  </r>
  <r>
    <n v="576"/>
    <s v="Product_576"/>
    <x v="6"/>
    <n v="475.01"/>
    <n v="1.4"/>
    <n v="555"/>
    <n v="361"/>
    <n v="316"/>
    <n v="773"/>
    <n v="420"/>
    <n v="566"/>
    <n v="428"/>
    <n v="527"/>
    <n v="298"/>
    <n v="284"/>
    <n v="765"/>
    <n v="194"/>
    <n v="653"/>
    <n v="5585"/>
    <n v="171478.61"/>
    <n v="150103.16"/>
    <n v="367182.73"/>
    <n v="199504.19999999998"/>
    <n v="268855.65999999997"/>
    <n v="203304.28"/>
    <n v="250330.27"/>
    <n v="141552.98000000001"/>
    <n v="134902.84"/>
    <n v="363382.64999999997"/>
    <n v="92151.94"/>
    <n v="310181.52999999997"/>
    <n v="2652930.8499999996"/>
  </r>
  <r>
    <n v="577"/>
    <s v="Product_577"/>
    <x v="2"/>
    <n v="77.8"/>
    <n v="1.1000000000000001"/>
    <n v="404"/>
    <n v="7"/>
    <n v="503"/>
    <n v="162"/>
    <n v="185"/>
    <n v="889"/>
    <n v="387"/>
    <n v="790"/>
    <n v="856"/>
    <n v="273"/>
    <n v="964"/>
    <n v="526"/>
    <n v="763"/>
    <n v="6305"/>
    <n v="544.6"/>
    <n v="39133.4"/>
    <n v="12603.6"/>
    <n v="14393"/>
    <n v="69164.2"/>
    <n v="30108.6"/>
    <n v="61462"/>
    <n v="66596.800000000003"/>
    <n v="21239.399999999998"/>
    <n v="74999.199999999997"/>
    <n v="40922.799999999996"/>
    <n v="59361.4"/>
    <n v="490529.00000000006"/>
  </r>
  <r>
    <n v="578"/>
    <s v="Product_578"/>
    <x v="3"/>
    <n v="463.66"/>
    <n v="3.6"/>
    <n v="892"/>
    <n v="477"/>
    <n v="718"/>
    <n v="365"/>
    <n v="928"/>
    <n v="608"/>
    <n v="997"/>
    <n v="646"/>
    <n v="370"/>
    <n v="19"/>
    <n v="234"/>
    <n v="768"/>
    <n v="607"/>
    <n v="6737"/>
    <n v="221165.82"/>
    <n v="332907.88"/>
    <n v="169235.90000000002"/>
    <n v="430276.48000000004"/>
    <n v="281905.28000000003"/>
    <n v="462269.02"/>
    <n v="299524.36000000004"/>
    <n v="171554.2"/>
    <n v="8809.5400000000009"/>
    <n v="108496.44"/>
    <n v="356090.88"/>
    <n v="281441.62"/>
    <n v="3123677.4200000004"/>
  </r>
  <r>
    <n v="579"/>
    <s v="Product_579"/>
    <x v="4"/>
    <n v="248.6"/>
    <n v="3.4"/>
    <n v="865"/>
    <n v="351"/>
    <n v="47"/>
    <n v="525"/>
    <n v="363"/>
    <n v="847"/>
    <n v="920"/>
    <n v="537"/>
    <n v="98"/>
    <n v="238"/>
    <n v="995"/>
    <n v="646"/>
    <n v="25"/>
    <n v="5592"/>
    <n v="87258.599999999991"/>
    <n v="11684.199999999999"/>
    <n v="130515"/>
    <n v="90241.8"/>
    <n v="210564.19999999998"/>
    <n v="228712"/>
    <n v="133498.19999999998"/>
    <n v="24362.799999999999"/>
    <n v="59166.799999999996"/>
    <n v="247357"/>
    <n v="160595.6"/>
    <n v="6215"/>
    <n v="1390171.2000000002"/>
  </r>
  <r>
    <n v="580"/>
    <s v="Product_580"/>
    <x v="4"/>
    <n v="132.83000000000001"/>
    <n v="3.2"/>
    <n v="602"/>
    <n v="995"/>
    <n v="408"/>
    <n v="238"/>
    <n v="954"/>
    <n v="598"/>
    <n v="708"/>
    <n v="863"/>
    <n v="46"/>
    <n v="269"/>
    <n v="58"/>
    <n v="0"/>
    <n v="622"/>
    <n v="5759"/>
    <n v="132165.85"/>
    <n v="54194.640000000007"/>
    <n v="31613.540000000005"/>
    <n v="126719.82"/>
    <n v="79432.340000000011"/>
    <n v="94043.640000000014"/>
    <n v="114632.29000000001"/>
    <n v="6110.18"/>
    <n v="35731.270000000004"/>
    <n v="7704.14"/>
    <n v="0"/>
    <n v="82620.260000000009"/>
    <n v="764967.9700000002"/>
  </r>
  <r>
    <n v="581"/>
    <s v="Product_581"/>
    <x v="3"/>
    <n v="232.27"/>
    <n v="1.9"/>
    <n v="807"/>
    <n v="494"/>
    <n v="931"/>
    <n v="71"/>
    <n v="606"/>
    <n v="805"/>
    <n v="669"/>
    <n v="523"/>
    <n v="998"/>
    <n v="417"/>
    <n v="163"/>
    <n v="560"/>
    <n v="453"/>
    <n v="6690"/>
    <n v="114741.38"/>
    <n v="216243.37"/>
    <n v="16491.170000000002"/>
    <n v="140755.62"/>
    <n v="186977.35"/>
    <n v="155388.63"/>
    <n v="121477.21"/>
    <n v="231805.46000000002"/>
    <n v="96856.590000000011"/>
    <n v="37860.01"/>
    <n v="130071.20000000001"/>
    <n v="105218.31"/>
    <n v="1553886.3"/>
  </r>
  <r>
    <n v="582"/>
    <s v="Product_582"/>
    <x v="3"/>
    <n v="490.12"/>
    <n v="2.6"/>
    <n v="341"/>
    <n v="605"/>
    <n v="135"/>
    <n v="444"/>
    <n v="377"/>
    <n v="630"/>
    <n v="203"/>
    <n v="71"/>
    <n v="838"/>
    <n v="944"/>
    <n v="770"/>
    <n v="95"/>
    <n v="634"/>
    <n v="5746"/>
    <n v="296522.59999999998"/>
    <n v="66166.2"/>
    <n v="217613.28"/>
    <n v="184775.24"/>
    <n v="308775.59999999998"/>
    <n v="99494.36"/>
    <n v="34798.519999999997"/>
    <n v="410720.56"/>
    <n v="462673.28"/>
    <n v="377392.4"/>
    <n v="46561.4"/>
    <n v="310736.08"/>
    <n v="2816229.52"/>
  </r>
  <r>
    <n v="583"/>
    <s v="Product_583"/>
    <x v="3"/>
    <n v="248.85"/>
    <n v="3.4"/>
    <n v="757"/>
    <n v="832"/>
    <n v="200"/>
    <n v="654"/>
    <n v="522"/>
    <n v="719"/>
    <n v="195"/>
    <n v="644"/>
    <n v="421"/>
    <n v="309"/>
    <n v="825"/>
    <n v="712"/>
    <n v="185"/>
    <n v="6218"/>
    <n v="207043.19999999998"/>
    <n v="49770"/>
    <n v="162747.9"/>
    <n v="129899.7"/>
    <n v="178923.15"/>
    <n v="48525.75"/>
    <n v="160259.4"/>
    <n v="104765.84999999999"/>
    <n v="76894.649999999994"/>
    <n v="205301.25"/>
    <n v="177181.19999999998"/>
    <n v="46037.25"/>
    <n v="1547349.2999999998"/>
  </r>
  <r>
    <n v="584"/>
    <s v="Product_584"/>
    <x v="6"/>
    <n v="167.73"/>
    <n v="3"/>
    <n v="945"/>
    <n v="426"/>
    <n v="249"/>
    <n v="821"/>
    <n v="579"/>
    <n v="333"/>
    <n v="727"/>
    <n v="105"/>
    <n v="479"/>
    <n v="30"/>
    <n v="215"/>
    <n v="412"/>
    <n v="483"/>
    <n v="4859"/>
    <n v="71452.98"/>
    <n v="41764.769999999997"/>
    <n v="137706.32999999999"/>
    <n v="97115.67"/>
    <n v="55854.09"/>
    <n v="121939.70999999999"/>
    <n v="17611.649999999998"/>
    <n v="80342.67"/>
    <n v="5031.8999999999996"/>
    <n v="36061.949999999997"/>
    <n v="69104.759999999995"/>
    <n v="81013.59"/>
    <n v="815000.07"/>
  </r>
  <r>
    <n v="585"/>
    <s v="Product_585"/>
    <x v="2"/>
    <n v="318.52999999999997"/>
    <n v="5"/>
    <n v="704"/>
    <n v="38"/>
    <n v="313"/>
    <n v="508"/>
    <n v="890"/>
    <n v="924"/>
    <n v="284"/>
    <n v="731"/>
    <n v="578"/>
    <n v="825"/>
    <n v="182"/>
    <n v="537"/>
    <n v="679"/>
    <n v="6489"/>
    <n v="12104.14"/>
    <n v="99699.889999999985"/>
    <n v="161813.24"/>
    <n v="283491.69999999995"/>
    <n v="294321.71999999997"/>
    <n v="90462.51999999999"/>
    <n v="232845.43"/>
    <n v="184110.34"/>
    <n v="262787.25"/>
    <n v="57972.459999999992"/>
    <n v="171050.61"/>
    <n v="216281.87"/>
    <n v="2066941.17"/>
  </r>
  <r>
    <n v="586"/>
    <s v="Product_586"/>
    <x v="5"/>
    <n v="123.87"/>
    <n v="1.5"/>
    <n v="318"/>
    <n v="592"/>
    <n v="868"/>
    <n v="794"/>
    <n v="721"/>
    <n v="153"/>
    <n v="968"/>
    <n v="884"/>
    <n v="61"/>
    <n v="103"/>
    <n v="568"/>
    <n v="854"/>
    <n v="50"/>
    <n v="6616"/>
    <n v="73331.040000000008"/>
    <n v="107519.16"/>
    <n v="98352.78"/>
    <n v="89310.27"/>
    <n v="18952.11"/>
    <n v="119906.16"/>
    <n v="109501.08"/>
    <n v="7556.0700000000006"/>
    <n v="12758.61"/>
    <n v="70358.16"/>
    <n v="105784.98000000001"/>
    <n v="6193.5"/>
    <n v="819523.91999999993"/>
  </r>
  <r>
    <n v="587"/>
    <s v="Product_587"/>
    <x v="3"/>
    <n v="42.55"/>
    <n v="3.8"/>
    <n v="618"/>
    <n v="186"/>
    <n v="367"/>
    <n v="268"/>
    <n v="195"/>
    <n v="546"/>
    <n v="195"/>
    <n v="964"/>
    <n v="108"/>
    <n v="681"/>
    <n v="656"/>
    <n v="428"/>
    <n v="890"/>
    <n v="5484"/>
    <n v="7914.2999999999993"/>
    <n v="15615.849999999999"/>
    <n v="11403.4"/>
    <n v="8297.25"/>
    <n v="23232.3"/>
    <n v="8297.25"/>
    <n v="41018.199999999997"/>
    <n v="4595.3999999999996"/>
    <n v="28976.55"/>
    <n v="27912.799999999999"/>
    <n v="18211.399999999998"/>
    <n v="37869.5"/>
    <n v="233344.19999999995"/>
  </r>
  <r>
    <n v="588"/>
    <s v="Product_588"/>
    <x v="2"/>
    <n v="68.8"/>
    <n v="2.6"/>
    <n v="363"/>
    <n v="595"/>
    <n v="428"/>
    <n v="752"/>
    <n v="880"/>
    <n v="78"/>
    <n v="306"/>
    <n v="688"/>
    <n v="678"/>
    <n v="185"/>
    <n v="934"/>
    <n v="234"/>
    <n v="4"/>
    <n v="5762"/>
    <n v="40936"/>
    <n v="29446.399999999998"/>
    <n v="51737.599999999999"/>
    <n v="60544"/>
    <n v="5366.4"/>
    <n v="21052.799999999999"/>
    <n v="47334.400000000001"/>
    <n v="46646.400000000001"/>
    <n v="12728"/>
    <n v="64259.199999999997"/>
    <n v="16099.199999999999"/>
    <n v="275.2"/>
    <n v="396425.60000000003"/>
  </r>
  <r>
    <n v="589"/>
    <s v="Product_589"/>
    <x v="1"/>
    <n v="68.38"/>
    <n v="2.7"/>
    <n v="822"/>
    <n v="599"/>
    <n v="829"/>
    <n v="414"/>
    <n v="97"/>
    <n v="578"/>
    <n v="663"/>
    <n v="281"/>
    <n v="548"/>
    <n v="127"/>
    <n v="89"/>
    <n v="348"/>
    <n v="588"/>
    <n v="5161"/>
    <n v="40959.619999999995"/>
    <n v="56687.02"/>
    <n v="28309.32"/>
    <n v="6632.86"/>
    <n v="39523.64"/>
    <n v="45335.939999999995"/>
    <n v="19214.78"/>
    <n v="37472.239999999998"/>
    <n v="8684.26"/>
    <n v="6085.82"/>
    <n v="23796.239999999998"/>
    <n v="40207.439999999995"/>
    <n v="352909.18"/>
  </r>
  <r>
    <n v="590"/>
    <s v="Product_590"/>
    <x v="4"/>
    <n v="80.19"/>
    <n v="3.9"/>
    <n v="382"/>
    <n v="753"/>
    <n v="806"/>
    <n v="244"/>
    <n v="604"/>
    <n v="854"/>
    <n v="13"/>
    <n v="132"/>
    <n v="118"/>
    <n v="209"/>
    <n v="963"/>
    <n v="755"/>
    <n v="159"/>
    <n v="5610"/>
    <n v="60383.07"/>
    <n v="64633.14"/>
    <n v="19566.36"/>
    <n v="48434.76"/>
    <n v="68482.259999999995"/>
    <n v="1042.47"/>
    <n v="10585.08"/>
    <n v="9462.42"/>
    <n v="16759.71"/>
    <n v="77222.97"/>
    <n v="60543.45"/>
    <n v="12750.21"/>
    <n v="449865.9"/>
  </r>
  <r>
    <n v="591"/>
    <s v="Product_591"/>
    <x v="4"/>
    <n v="73.72"/>
    <n v="3.8"/>
    <n v="233"/>
    <n v="853"/>
    <n v="479"/>
    <n v="674"/>
    <n v="983"/>
    <n v="412"/>
    <n v="836"/>
    <n v="533"/>
    <n v="597"/>
    <n v="413"/>
    <n v="310"/>
    <n v="869"/>
    <n v="207"/>
    <n v="7166"/>
    <n v="62883.159999999996"/>
    <n v="35311.879999999997"/>
    <n v="49687.28"/>
    <n v="72466.759999999995"/>
    <n v="30372.639999999999"/>
    <n v="61629.919999999998"/>
    <n v="39292.76"/>
    <n v="44010.84"/>
    <n v="30446.36"/>
    <n v="22853.200000000001"/>
    <n v="64062.68"/>
    <n v="15260.039999999999"/>
    <n v="528277.52"/>
  </r>
  <r>
    <n v="592"/>
    <s v="Product_592"/>
    <x v="0"/>
    <n v="322.23"/>
    <n v="5"/>
    <n v="777"/>
    <n v="92"/>
    <n v="313"/>
    <n v="59"/>
    <n v="21"/>
    <n v="545"/>
    <n v="145"/>
    <n v="974"/>
    <n v="381"/>
    <n v="280"/>
    <n v="556"/>
    <n v="480"/>
    <n v="256"/>
    <n v="4102"/>
    <n v="29645.160000000003"/>
    <n v="100857.99"/>
    <n v="19011.57"/>
    <n v="6766.83"/>
    <n v="175615.35"/>
    <n v="46723.350000000006"/>
    <n v="313852.02"/>
    <n v="122769.63"/>
    <n v="90224.400000000009"/>
    <n v="179159.88"/>
    <n v="154670.40000000002"/>
    <n v="82490.880000000005"/>
    <n v="1321787.46"/>
  </r>
  <r>
    <n v="593"/>
    <s v="Product_593"/>
    <x v="1"/>
    <n v="95.03"/>
    <n v="1.5"/>
    <n v="344"/>
    <n v="85"/>
    <n v="499"/>
    <n v="5"/>
    <n v="449"/>
    <n v="608"/>
    <n v="937"/>
    <n v="268"/>
    <n v="391"/>
    <n v="958"/>
    <n v="971"/>
    <n v="838"/>
    <n v="204"/>
    <n v="6213"/>
    <n v="8077.55"/>
    <n v="47419.97"/>
    <n v="475.15"/>
    <n v="42668.47"/>
    <n v="57778.239999999998"/>
    <n v="89043.11"/>
    <n v="25468.04"/>
    <n v="37156.730000000003"/>
    <n v="91038.74"/>
    <n v="92274.13"/>
    <n v="79635.14"/>
    <n v="19386.12"/>
    <n v="590421.3899999999"/>
  </r>
  <r>
    <n v="594"/>
    <s v="Product_594"/>
    <x v="5"/>
    <n v="176.11"/>
    <n v="1.4"/>
    <n v="549"/>
    <n v="43"/>
    <n v="720"/>
    <n v="708"/>
    <n v="171"/>
    <n v="168"/>
    <n v="56"/>
    <n v="411"/>
    <n v="976"/>
    <n v="252"/>
    <n v="256"/>
    <n v="395"/>
    <n v="766"/>
    <n v="4922"/>
    <n v="7572.7300000000005"/>
    <n v="126799.20000000001"/>
    <n v="124685.88"/>
    <n v="30114.81"/>
    <n v="29586.480000000003"/>
    <n v="9862.16"/>
    <n v="72381.210000000006"/>
    <n v="171883.36000000002"/>
    <n v="44379.72"/>
    <n v="45084.160000000003"/>
    <n v="69563.450000000012"/>
    <n v="134900.26"/>
    <n v="866813.42000000016"/>
  </r>
  <r>
    <n v="595"/>
    <s v="Product_595"/>
    <x v="3"/>
    <n v="448.91"/>
    <n v="3.9"/>
    <n v="817"/>
    <n v="136"/>
    <n v="354"/>
    <n v="981"/>
    <n v="382"/>
    <n v="680"/>
    <n v="722"/>
    <n v="672"/>
    <n v="51"/>
    <n v="18"/>
    <n v="532"/>
    <n v="350"/>
    <n v="949"/>
    <n v="5827"/>
    <n v="61051.76"/>
    <n v="158914.14000000001"/>
    <n v="440380.71"/>
    <n v="171483.62"/>
    <n v="305258.8"/>
    <n v="324113.02"/>
    <n v="301667.52"/>
    <n v="22894.41"/>
    <n v="8080.38"/>
    <n v="238820.12000000002"/>
    <n v="157118.5"/>
    <n v="426015.59"/>
    <n v="2615798.5699999998"/>
  </r>
  <r>
    <n v="596"/>
    <s v="Product_596"/>
    <x v="3"/>
    <n v="239.61"/>
    <n v="3.3"/>
    <n v="553"/>
    <n v="420"/>
    <n v="484"/>
    <n v="569"/>
    <n v="133"/>
    <n v="662"/>
    <n v="779"/>
    <n v="618"/>
    <n v="602"/>
    <n v="711"/>
    <n v="978"/>
    <n v="415"/>
    <n v="10"/>
    <n v="6381"/>
    <n v="100636.20000000001"/>
    <n v="115971.24"/>
    <n v="136338.09"/>
    <n v="31868.13"/>
    <n v="158621.82"/>
    <n v="186656.19"/>
    <n v="148078.98000000001"/>
    <n v="144245.22"/>
    <n v="170362.71000000002"/>
    <n v="234338.58000000002"/>
    <n v="99438.150000000009"/>
    <n v="2396.1000000000004"/>
    <n v="1528951.41"/>
  </r>
  <r>
    <n v="597"/>
    <s v="Product_597"/>
    <x v="5"/>
    <n v="335.44"/>
    <n v="2.1"/>
    <n v="529"/>
    <n v="73"/>
    <n v="210"/>
    <n v="816"/>
    <n v="425"/>
    <n v="582"/>
    <n v="209"/>
    <n v="790"/>
    <n v="288"/>
    <n v="731"/>
    <n v="532"/>
    <n v="885"/>
    <n v="948"/>
    <n v="6489"/>
    <n v="24487.119999999999"/>
    <n v="70442.399999999994"/>
    <n v="273719.03999999998"/>
    <n v="142562"/>
    <n v="195226.08"/>
    <n v="70106.960000000006"/>
    <n v="264997.59999999998"/>
    <n v="96606.720000000001"/>
    <n v="245206.63999999998"/>
    <n v="178454.08"/>
    <n v="296864.40000000002"/>
    <n v="317997.12"/>
    <n v="2176670.16"/>
  </r>
  <r>
    <n v="598"/>
    <s v="Product_598"/>
    <x v="6"/>
    <n v="90.3"/>
    <n v="1.3"/>
    <n v="856"/>
    <n v="547"/>
    <n v="703"/>
    <n v="406"/>
    <n v="24"/>
    <n v="514"/>
    <n v="528"/>
    <n v="864"/>
    <n v="336"/>
    <n v="135"/>
    <n v="51"/>
    <n v="915"/>
    <n v="7"/>
    <n v="5030"/>
    <n v="49394.1"/>
    <n v="63480.9"/>
    <n v="36661.799999999996"/>
    <n v="2167.1999999999998"/>
    <n v="46414.2"/>
    <n v="47678.400000000001"/>
    <n v="78019.199999999997"/>
    <n v="30340.799999999999"/>
    <n v="12190.5"/>
    <n v="4605.3"/>
    <n v="82624.5"/>
    <n v="632.1"/>
    <n v="454208.99999999994"/>
  </r>
  <r>
    <n v="599"/>
    <s v="Product_599"/>
    <x v="1"/>
    <n v="100.18"/>
    <n v="1.3"/>
    <n v="789"/>
    <n v="612"/>
    <n v="43"/>
    <n v="216"/>
    <n v="502"/>
    <n v="313"/>
    <n v="797"/>
    <n v="746"/>
    <n v="809"/>
    <n v="222"/>
    <n v="337"/>
    <n v="886"/>
    <n v="408"/>
    <n v="5891"/>
    <n v="61310.16"/>
    <n v="4307.7400000000007"/>
    <n v="21638.880000000001"/>
    <n v="50290.36"/>
    <n v="31356.340000000004"/>
    <n v="79843.460000000006"/>
    <n v="74734.28"/>
    <n v="81045.62000000001"/>
    <n v="22239.960000000003"/>
    <n v="33760.660000000003"/>
    <n v="88759.48000000001"/>
    <n v="40873.440000000002"/>
    <n v="590160.37999999989"/>
  </r>
  <r>
    <n v="600"/>
    <s v="Product_600"/>
    <x v="3"/>
    <n v="25.23"/>
    <n v="4.5999999999999996"/>
    <n v="819"/>
    <n v="987"/>
    <n v="540"/>
    <n v="929"/>
    <n v="184"/>
    <n v="31"/>
    <n v="343"/>
    <n v="17"/>
    <n v="203"/>
    <n v="2"/>
    <n v="170"/>
    <n v="50"/>
    <n v="935"/>
    <n v="4391"/>
    <n v="24902.010000000002"/>
    <n v="13624.2"/>
    <n v="23438.670000000002"/>
    <n v="4642.32"/>
    <n v="782.13"/>
    <n v="8653.89"/>
    <n v="428.91"/>
    <n v="5121.6900000000005"/>
    <n v="50.46"/>
    <n v="4289.1000000000004"/>
    <n v="1261.5"/>
    <n v="23590.05"/>
    <n v="110784.93000000004"/>
  </r>
  <r>
    <n v="601"/>
    <s v="Product_601"/>
    <x v="0"/>
    <n v="88.62"/>
    <n v="1.8"/>
    <n v="571"/>
    <n v="511"/>
    <n v="570"/>
    <n v="25"/>
    <n v="84"/>
    <n v="286"/>
    <n v="714"/>
    <n v="753"/>
    <n v="879"/>
    <n v="962"/>
    <n v="947"/>
    <n v="80"/>
    <n v="31"/>
    <n v="5842"/>
    <n v="45284.82"/>
    <n v="50513.4"/>
    <n v="2215.5"/>
    <n v="7444.08"/>
    <n v="25345.32"/>
    <n v="63274.68"/>
    <n v="66730.86"/>
    <n v="77896.98000000001"/>
    <n v="85252.44"/>
    <n v="83923.14"/>
    <n v="7089.6"/>
    <n v="2747.2200000000003"/>
    <n v="517718.04"/>
  </r>
  <r>
    <n v="602"/>
    <s v="Product_602"/>
    <x v="2"/>
    <n v="142.9"/>
    <n v="2.2999999999999998"/>
    <n v="935"/>
    <n v="155"/>
    <n v="582"/>
    <n v="814"/>
    <n v="566"/>
    <n v="593"/>
    <n v="610"/>
    <n v="116"/>
    <n v="237"/>
    <n v="235"/>
    <n v="66"/>
    <n v="35"/>
    <n v="983"/>
    <n v="4992"/>
    <n v="22149.5"/>
    <n v="83167.8"/>
    <n v="116320.6"/>
    <n v="80881.400000000009"/>
    <n v="84739.7"/>
    <n v="87169"/>
    <n v="16576.400000000001"/>
    <n v="33867.300000000003"/>
    <n v="33581.5"/>
    <n v="9431.4"/>
    <n v="5001.5"/>
    <n v="140470.70000000001"/>
    <n v="713356.80000000005"/>
  </r>
  <r>
    <n v="603"/>
    <s v="Product_603"/>
    <x v="4"/>
    <n v="92.62"/>
    <n v="1.9"/>
    <n v="183"/>
    <n v="937"/>
    <n v="91"/>
    <n v="4"/>
    <n v="762"/>
    <n v="42"/>
    <n v="278"/>
    <n v="797"/>
    <n v="381"/>
    <n v="853"/>
    <n v="624"/>
    <n v="66"/>
    <n v="539"/>
    <n v="5374"/>
    <n v="86784.94"/>
    <n v="8428.42"/>
    <n v="370.48"/>
    <n v="70576.44"/>
    <n v="3890.04"/>
    <n v="25748.36"/>
    <n v="73818.14"/>
    <n v="35288.22"/>
    <n v="79004.86"/>
    <n v="57794.880000000005"/>
    <n v="6112.92"/>
    <n v="49922.18"/>
    <n v="497739.88"/>
  </r>
  <r>
    <n v="604"/>
    <s v="Product_604"/>
    <x v="1"/>
    <n v="48.91"/>
    <n v="2.4"/>
    <n v="41"/>
    <n v="254"/>
    <n v="264"/>
    <n v="985"/>
    <n v="143"/>
    <n v="902"/>
    <n v="208"/>
    <n v="793"/>
    <n v="666"/>
    <n v="464"/>
    <n v="299"/>
    <n v="640"/>
    <n v="717"/>
    <n v="6335"/>
    <n v="12423.14"/>
    <n v="12912.24"/>
    <n v="48176.35"/>
    <n v="6994.1299999999992"/>
    <n v="44116.82"/>
    <n v="10173.279999999999"/>
    <n v="38785.629999999997"/>
    <n v="32574.059999999998"/>
    <n v="22694.239999999998"/>
    <n v="14624.089999999998"/>
    <n v="31302.399999999998"/>
    <n v="35068.47"/>
    <n v="309844.84999999998"/>
  </r>
  <r>
    <n v="605"/>
    <s v="Product_605"/>
    <x v="4"/>
    <n v="64.709999999999994"/>
    <n v="1.3"/>
    <n v="551"/>
    <n v="170"/>
    <n v="894"/>
    <n v="531"/>
    <n v="862"/>
    <n v="616"/>
    <n v="640"/>
    <n v="143"/>
    <n v="751"/>
    <n v="227"/>
    <n v="671"/>
    <n v="881"/>
    <n v="386"/>
    <n v="6772"/>
    <n v="11000.699999999999"/>
    <n v="57850.74"/>
    <n v="34361.009999999995"/>
    <n v="55780.02"/>
    <n v="39861.359999999993"/>
    <n v="41414.399999999994"/>
    <n v="9253.5299999999988"/>
    <n v="48597.209999999992"/>
    <n v="14689.169999999998"/>
    <n v="43420.409999999996"/>
    <n v="57009.509999999995"/>
    <n v="24978.059999999998"/>
    <n v="438216.11999999994"/>
  </r>
  <r>
    <n v="606"/>
    <s v="Product_606"/>
    <x v="2"/>
    <n v="233.09"/>
    <n v="3.1"/>
    <n v="397"/>
    <n v="980"/>
    <n v="219"/>
    <n v="389"/>
    <n v="909"/>
    <n v="0"/>
    <n v="334"/>
    <n v="716"/>
    <n v="135"/>
    <n v="912"/>
    <n v="777"/>
    <n v="666"/>
    <n v="227"/>
    <n v="6264"/>
    <n v="228428.2"/>
    <n v="51046.71"/>
    <n v="90672.01"/>
    <n v="211878.81"/>
    <n v="0"/>
    <n v="77852.06"/>
    <n v="166892.44"/>
    <n v="31467.15"/>
    <n v="212578.08000000002"/>
    <n v="181110.93"/>
    <n v="155237.94"/>
    <n v="52911.43"/>
    <n v="1460075.7599999998"/>
  </r>
  <r>
    <n v="607"/>
    <s v="Product_607"/>
    <x v="1"/>
    <n v="107.14"/>
    <n v="1.3"/>
    <n v="704"/>
    <n v="727"/>
    <n v="901"/>
    <n v="709"/>
    <n v="678"/>
    <n v="572"/>
    <n v="287"/>
    <n v="550"/>
    <n v="406"/>
    <n v="653"/>
    <n v="831"/>
    <n v="756"/>
    <n v="639"/>
    <n v="7709"/>
    <n v="77890.78"/>
    <n v="96533.14"/>
    <n v="75962.259999999995"/>
    <n v="72640.92"/>
    <n v="61284.08"/>
    <n v="30749.18"/>
    <n v="58927"/>
    <n v="43498.840000000004"/>
    <n v="69962.42"/>
    <n v="89033.34"/>
    <n v="80997.84"/>
    <n v="68462.460000000006"/>
    <n v="825942.25999999989"/>
  </r>
  <r>
    <n v="608"/>
    <s v="Product_608"/>
    <x v="2"/>
    <n v="185.31"/>
    <n v="4.2"/>
    <n v="779"/>
    <n v="169"/>
    <n v="924"/>
    <n v="570"/>
    <n v="411"/>
    <n v="269"/>
    <n v="251"/>
    <n v="928"/>
    <n v="507"/>
    <n v="498"/>
    <n v="231"/>
    <n v="622"/>
    <n v="766"/>
    <n v="6146"/>
    <n v="31317.39"/>
    <n v="171226.44"/>
    <n v="105626.7"/>
    <n v="76162.41"/>
    <n v="49848.39"/>
    <n v="46512.81"/>
    <n v="171967.68"/>
    <n v="93952.17"/>
    <n v="92284.38"/>
    <n v="42806.61"/>
    <n v="115262.82"/>
    <n v="141947.46"/>
    <n v="1138915.26"/>
  </r>
  <r>
    <n v="609"/>
    <s v="Product_609"/>
    <x v="3"/>
    <n v="254.19"/>
    <n v="1.9"/>
    <n v="494"/>
    <n v="763"/>
    <n v="441"/>
    <n v="447"/>
    <n v="223"/>
    <n v="179"/>
    <n v="264"/>
    <n v="665"/>
    <n v="361"/>
    <n v="520"/>
    <n v="974"/>
    <n v="679"/>
    <n v="474"/>
    <n v="5990"/>
    <n v="193946.97"/>
    <n v="112097.79"/>
    <n v="113622.93"/>
    <n v="56684.37"/>
    <n v="45500.01"/>
    <n v="67106.16"/>
    <n v="169036.35"/>
    <n v="91762.59"/>
    <n v="132178.79999999999"/>
    <n v="247581.06"/>
    <n v="172595.01"/>
    <n v="120486.06"/>
    <n v="1522598.1"/>
  </r>
  <r>
    <n v="610"/>
    <s v="Product_610"/>
    <x v="5"/>
    <n v="346.75"/>
    <n v="3.2"/>
    <n v="659"/>
    <n v="871"/>
    <n v="400"/>
    <n v="753"/>
    <n v="219"/>
    <n v="735"/>
    <n v="270"/>
    <n v="687"/>
    <n v="380"/>
    <n v="701"/>
    <n v="836"/>
    <n v="480"/>
    <n v="723"/>
    <n v="7055"/>
    <n v="302019.25"/>
    <n v="138700"/>
    <n v="261102.75"/>
    <n v="75938.25"/>
    <n v="254861.25"/>
    <n v="93622.5"/>
    <n v="238217.25"/>
    <n v="131765"/>
    <n v="243071.75"/>
    <n v="289883"/>
    <n v="166440"/>
    <n v="250700.25"/>
    <n v="2446321.25"/>
  </r>
  <r>
    <n v="611"/>
    <s v="Product_611"/>
    <x v="3"/>
    <n v="24.46"/>
    <n v="4.5"/>
    <n v="907"/>
    <n v="321"/>
    <n v="399"/>
    <n v="145"/>
    <n v="178"/>
    <n v="517"/>
    <n v="923"/>
    <n v="960"/>
    <n v="880"/>
    <n v="861"/>
    <n v="67"/>
    <n v="467"/>
    <n v="750"/>
    <n v="6468"/>
    <n v="7851.66"/>
    <n v="9759.5400000000009"/>
    <n v="3546.7000000000003"/>
    <n v="4353.88"/>
    <n v="12645.82"/>
    <n v="22576.58"/>
    <n v="23481.600000000002"/>
    <n v="21524.799999999999"/>
    <n v="21060.06"/>
    <n v="1638.8200000000002"/>
    <n v="11422.82"/>
    <n v="18345"/>
    <n v="158207.28000000003"/>
  </r>
  <r>
    <n v="612"/>
    <s v="Product_612"/>
    <x v="5"/>
    <n v="400.71"/>
    <n v="3.6"/>
    <n v="333"/>
    <n v="566"/>
    <n v="726"/>
    <n v="387"/>
    <n v="630"/>
    <n v="102"/>
    <n v="919"/>
    <n v="752"/>
    <n v="575"/>
    <n v="916"/>
    <n v="505"/>
    <n v="141"/>
    <n v="206"/>
    <n v="6425"/>
    <n v="226801.86"/>
    <n v="290915.45999999996"/>
    <n v="155074.76999999999"/>
    <n v="252447.3"/>
    <n v="40872.42"/>
    <n v="368252.49"/>
    <n v="301333.92"/>
    <n v="230408.25"/>
    <n v="367050.36"/>
    <n v="202358.55"/>
    <n v="56500.11"/>
    <n v="82546.259999999995"/>
    <n v="2574561.7499999991"/>
  </r>
  <r>
    <n v="613"/>
    <s v="Product_613"/>
    <x v="3"/>
    <n v="315.81"/>
    <n v="3.1"/>
    <n v="127"/>
    <n v="455"/>
    <n v="990"/>
    <n v="784"/>
    <n v="432"/>
    <n v="9"/>
    <n v="699"/>
    <n v="421"/>
    <n v="634"/>
    <n v="971"/>
    <n v="27"/>
    <n v="355"/>
    <n v="317"/>
    <n v="6094"/>
    <n v="143693.54999999999"/>
    <n v="312651.90000000002"/>
    <n v="247595.04"/>
    <n v="136429.92000000001"/>
    <n v="2842.29"/>
    <n v="220751.19"/>
    <n v="132956.01"/>
    <n v="200223.54"/>
    <n v="306651.51"/>
    <n v="8526.8700000000008"/>
    <n v="112112.55"/>
    <n v="100111.77"/>
    <n v="1924546.1400000004"/>
  </r>
  <r>
    <n v="614"/>
    <s v="Product_614"/>
    <x v="2"/>
    <n v="45.47"/>
    <n v="2.2999999999999998"/>
    <n v="558"/>
    <n v="943"/>
    <n v="898"/>
    <n v="248"/>
    <n v="264"/>
    <n v="582"/>
    <n v="418"/>
    <n v="897"/>
    <n v="253"/>
    <n v="676"/>
    <n v="948"/>
    <n v="708"/>
    <n v="794"/>
    <n v="7629"/>
    <n v="42878.21"/>
    <n v="40832.06"/>
    <n v="11276.56"/>
    <n v="12004.08"/>
    <n v="26463.54"/>
    <n v="19006.46"/>
    <n v="40786.589999999997"/>
    <n v="11503.91"/>
    <n v="30737.719999999998"/>
    <n v="43105.56"/>
    <n v="32192.76"/>
    <n v="36103.18"/>
    <n v="346890.62999999995"/>
  </r>
  <r>
    <n v="615"/>
    <s v="Product_615"/>
    <x v="2"/>
    <n v="437.42"/>
    <n v="2.2999999999999998"/>
    <n v="557"/>
    <n v="602"/>
    <n v="788"/>
    <n v="525"/>
    <n v="953"/>
    <n v="89"/>
    <n v="725"/>
    <n v="368"/>
    <n v="476"/>
    <n v="991"/>
    <n v="627"/>
    <n v="470"/>
    <n v="756"/>
    <n v="7370"/>
    <n v="263326.84000000003"/>
    <n v="344686.96"/>
    <n v="229645.5"/>
    <n v="416861.26"/>
    <n v="38930.380000000005"/>
    <n v="317129.5"/>
    <n v="160970.56"/>
    <n v="208211.92"/>
    <n v="433483.22000000003"/>
    <n v="274262.34000000003"/>
    <n v="205587.4"/>
    <n v="330689.52"/>
    <n v="3223785.4"/>
  </r>
  <r>
    <n v="616"/>
    <s v="Product_616"/>
    <x v="2"/>
    <n v="460.83"/>
    <n v="3.7"/>
    <n v="1"/>
    <n v="789"/>
    <n v="575"/>
    <n v="461"/>
    <n v="428"/>
    <n v="225"/>
    <n v="794"/>
    <n v="645"/>
    <n v="113"/>
    <n v="138"/>
    <n v="50"/>
    <n v="620"/>
    <n v="556"/>
    <n v="5394"/>
    <n v="363594.87"/>
    <n v="264977.25"/>
    <n v="212442.63"/>
    <n v="197235.24"/>
    <n v="103686.75"/>
    <n v="365899.01999999996"/>
    <n v="297235.34999999998"/>
    <n v="52073.79"/>
    <n v="63594.54"/>
    <n v="23041.5"/>
    <n v="285714.59999999998"/>
    <n v="256221.47999999998"/>
    <n v="2485717.02"/>
  </r>
  <r>
    <n v="617"/>
    <s v="Product_617"/>
    <x v="4"/>
    <n v="35.229999999999997"/>
    <n v="5"/>
    <n v="168"/>
    <n v="612"/>
    <n v="857"/>
    <n v="12"/>
    <n v="661"/>
    <n v="669"/>
    <n v="210"/>
    <n v="557"/>
    <n v="19"/>
    <n v="275"/>
    <n v="692"/>
    <n v="887"/>
    <n v="616"/>
    <n v="6067"/>
    <n v="21560.76"/>
    <n v="30192.109999999997"/>
    <n v="422.76"/>
    <n v="23287.03"/>
    <n v="23568.87"/>
    <n v="7398.2999999999993"/>
    <n v="19623.109999999997"/>
    <n v="669.36999999999989"/>
    <n v="9688.25"/>
    <n v="24379.159999999996"/>
    <n v="31249.01"/>
    <n v="21701.679999999997"/>
    <n v="213740.41"/>
  </r>
  <r>
    <n v="618"/>
    <s v="Product_618"/>
    <x v="2"/>
    <n v="142.05000000000001"/>
    <n v="3.6"/>
    <n v="620"/>
    <n v="154"/>
    <n v="803"/>
    <n v="902"/>
    <n v="415"/>
    <n v="739"/>
    <n v="364"/>
    <n v="49"/>
    <n v="527"/>
    <n v="290"/>
    <n v="259"/>
    <n v="590"/>
    <n v="347"/>
    <n v="5439"/>
    <n v="21875.7"/>
    <n v="114066.15000000001"/>
    <n v="128129.1"/>
    <n v="58950.750000000007"/>
    <n v="104974.95000000001"/>
    <n v="51706.200000000004"/>
    <n v="6960.4500000000007"/>
    <n v="74860.350000000006"/>
    <n v="41194.5"/>
    <n v="36790.950000000004"/>
    <n v="83809.5"/>
    <n v="49291.350000000006"/>
    <n v="772609.95"/>
  </r>
  <r>
    <n v="619"/>
    <s v="Product_619"/>
    <x v="3"/>
    <n v="404.07"/>
    <n v="3.2"/>
    <n v="19"/>
    <n v="888"/>
    <n v="489"/>
    <n v="383"/>
    <n v="452"/>
    <n v="916"/>
    <n v="75"/>
    <n v="677"/>
    <n v="144"/>
    <n v="52"/>
    <n v="590"/>
    <n v="901"/>
    <n v="792"/>
    <n v="6359"/>
    <n v="358814.16"/>
    <n v="197590.23"/>
    <n v="154758.81"/>
    <n v="182639.63999999998"/>
    <n v="370128.12"/>
    <n v="30305.25"/>
    <n v="273555.39"/>
    <n v="58186.080000000002"/>
    <n v="21011.64"/>
    <n v="238401.3"/>
    <n v="364067.07"/>
    <n v="320023.44"/>
    <n v="2569481.13"/>
  </r>
  <r>
    <n v="620"/>
    <s v="Product_620"/>
    <x v="0"/>
    <n v="375.39"/>
    <n v="3.9"/>
    <n v="332"/>
    <n v="348"/>
    <n v="484"/>
    <n v="555"/>
    <n v="726"/>
    <n v="125"/>
    <n v="659"/>
    <n v="105"/>
    <n v="207"/>
    <n v="686"/>
    <n v="784"/>
    <n v="672"/>
    <n v="233"/>
    <n v="5584"/>
    <n v="130635.72"/>
    <n v="181688.75999999998"/>
    <n v="208341.44999999998"/>
    <n v="272533.14"/>
    <n v="46923.75"/>
    <n v="247382.00999999998"/>
    <n v="39415.949999999997"/>
    <n v="77705.73"/>
    <n v="257517.53999999998"/>
    <n v="294305.76"/>
    <n v="252262.08"/>
    <n v="87465.87"/>
    <n v="2096177.7599999998"/>
  </r>
  <r>
    <n v="621"/>
    <s v="Product_621"/>
    <x v="2"/>
    <n v="96.34"/>
    <n v="2.9"/>
    <n v="584"/>
    <n v="450"/>
    <n v="756"/>
    <n v="886"/>
    <n v="196"/>
    <n v="955"/>
    <n v="320"/>
    <n v="215"/>
    <n v="530"/>
    <n v="109"/>
    <n v="619"/>
    <n v="438"/>
    <n v="700"/>
    <n v="6174"/>
    <n v="43353"/>
    <n v="72833.040000000008"/>
    <n v="85357.24"/>
    <n v="18882.64"/>
    <n v="92004.7"/>
    <n v="30828.800000000003"/>
    <n v="20713.100000000002"/>
    <n v="51060.200000000004"/>
    <n v="10501.06"/>
    <n v="59634.46"/>
    <n v="42196.92"/>
    <n v="67438"/>
    <n v="594803.16"/>
  </r>
  <r>
    <n v="622"/>
    <s v="Product_622"/>
    <x v="0"/>
    <n v="108.63"/>
    <n v="1.2"/>
    <n v="456"/>
    <n v="875"/>
    <n v="469"/>
    <n v="398"/>
    <n v="553"/>
    <n v="208"/>
    <n v="724"/>
    <n v="657"/>
    <n v="375"/>
    <n v="714"/>
    <n v="962"/>
    <n v="530"/>
    <n v="43"/>
    <n v="6508"/>
    <n v="95051.25"/>
    <n v="50947.47"/>
    <n v="43234.74"/>
    <n v="60072.39"/>
    <n v="22595.040000000001"/>
    <n v="78648.12"/>
    <n v="71369.91"/>
    <n v="40736.25"/>
    <n v="77561.819999999992"/>
    <n v="104502.06"/>
    <n v="57573.899999999994"/>
    <n v="4671.09"/>
    <n v="706964.0399999998"/>
  </r>
  <r>
    <n v="623"/>
    <s v="Product_623"/>
    <x v="5"/>
    <n v="188.38"/>
    <n v="3.2"/>
    <n v="957"/>
    <n v="652"/>
    <n v="573"/>
    <n v="18"/>
    <n v="52"/>
    <n v="96"/>
    <n v="432"/>
    <n v="922"/>
    <n v="503"/>
    <n v="947"/>
    <n v="585"/>
    <n v="126"/>
    <n v="736"/>
    <n v="5642"/>
    <n v="122823.76"/>
    <n v="107941.73999999999"/>
    <n v="3390.84"/>
    <n v="9795.76"/>
    <n v="18084.48"/>
    <n v="81380.160000000003"/>
    <n v="173686.36"/>
    <n v="94755.14"/>
    <n v="178395.86"/>
    <n v="110202.3"/>
    <n v="23735.88"/>
    <n v="138647.67999999999"/>
    <n v="1062839.96"/>
  </r>
  <r>
    <n v="624"/>
    <s v="Product_624"/>
    <x v="3"/>
    <n v="244.84"/>
    <n v="4.8"/>
    <n v="109"/>
    <n v="172"/>
    <n v="937"/>
    <n v="574"/>
    <n v="479"/>
    <n v="73"/>
    <n v="108"/>
    <n v="424"/>
    <n v="903"/>
    <n v="647"/>
    <n v="686"/>
    <n v="204"/>
    <n v="941"/>
    <n v="6148"/>
    <n v="42112.480000000003"/>
    <n v="229415.08000000002"/>
    <n v="140538.16"/>
    <n v="117278.36"/>
    <n v="17873.32"/>
    <n v="26442.720000000001"/>
    <n v="103812.16"/>
    <n v="221090.52"/>
    <n v="158411.48000000001"/>
    <n v="167960.24"/>
    <n v="49947.360000000001"/>
    <n v="230394.44"/>
    <n v="1505276.32"/>
  </r>
  <r>
    <n v="625"/>
    <s v="Product_625"/>
    <x v="2"/>
    <n v="311.04000000000002"/>
    <n v="1.7"/>
    <n v="268"/>
    <n v="9"/>
    <n v="843"/>
    <n v="490"/>
    <n v="442"/>
    <n v="626"/>
    <n v="640"/>
    <n v="71"/>
    <n v="165"/>
    <n v="3"/>
    <n v="183"/>
    <n v="28"/>
    <n v="141"/>
    <n v="3641"/>
    <n v="2799.36"/>
    <n v="262206.72000000003"/>
    <n v="152409.60000000001"/>
    <n v="137479.68000000002"/>
    <n v="194711.04000000001"/>
    <n v="199065.60000000001"/>
    <n v="22083.84"/>
    <n v="51321.600000000006"/>
    <n v="933.12000000000012"/>
    <n v="56920.320000000007"/>
    <n v="8709.1200000000008"/>
    <n v="43856.639999999999"/>
    <n v="1132496.6400000001"/>
  </r>
  <r>
    <n v="626"/>
    <s v="Product_626"/>
    <x v="4"/>
    <n v="187.61"/>
    <n v="3.8"/>
    <n v="445"/>
    <n v="739"/>
    <n v="681"/>
    <n v="750"/>
    <n v="329"/>
    <n v="190"/>
    <n v="521"/>
    <n v="987"/>
    <n v="549"/>
    <n v="666"/>
    <n v="22"/>
    <n v="444"/>
    <n v="647"/>
    <n v="6525"/>
    <n v="138643.79"/>
    <n v="127762.41"/>
    <n v="140707.5"/>
    <n v="61723.69"/>
    <n v="35645.9"/>
    <n v="97744.810000000012"/>
    <n v="185171.07"/>
    <n v="102997.89000000001"/>
    <n v="124948.26000000001"/>
    <n v="4127.42"/>
    <n v="83298.840000000011"/>
    <n v="121383.67000000001"/>
    <n v="1224155.2500000002"/>
  </r>
  <r>
    <n v="627"/>
    <s v="Product_627"/>
    <x v="4"/>
    <n v="233.95"/>
    <n v="1.8"/>
    <n v="240"/>
    <n v="264"/>
    <n v="444"/>
    <n v="418"/>
    <n v="250"/>
    <n v="681"/>
    <n v="46"/>
    <n v="841"/>
    <n v="180"/>
    <n v="683"/>
    <n v="785"/>
    <n v="965"/>
    <n v="175"/>
    <n v="5732"/>
    <n v="61762.799999999996"/>
    <n v="103873.79999999999"/>
    <n v="97791.099999999991"/>
    <n v="58487.5"/>
    <n v="159319.94999999998"/>
    <n v="10761.699999999999"/>
    <n v="196751.94999999998"/>
    <n v="42111"/>
    <n v="159787.85"/>
    <n v="183650.75"/>
    <n v="225761.75"/>
    <n v="40941.25"/>
    <n v="1341001.3999999999"/>
  </r>
  <r>
    <n v="628"/>
    <s v="Product_628"/>
    <x v="5"/>
    <n v="375"/>
    <n v="3.1"/>
    <n v="929"/>
    <n v="437"/>
    <n v="268"/>
    <n v="336"/>
    <n v="806"/>
    <n v="818"/>
    <n v="378"/>
    <n v="784"/>
    <n v="860"/>
    <n v="935"/>
    <n v="128"/>
    <n v="718"/>
    <n v="653"/>
    <n v="7121"/>
    <n v="163875"/>
    <n v="100500"/>
    <n v="126000"/>
    <n v="302250"/>
    <n v="306750"/>
    <n v="141750"/>
    <n v="294000"/>
    <n v="322500"/>
    <n v="350625"/>
    <n v="48000"/>
    <n v="269250"/>
    <n v="244875"/>
    <n v="2670375"/>
  </r>
  <r>
    <n v="629"/>
    <s v="Product_629"/>
    <x v="0"/>
    <n v="23.16"/>
    <n v="1.4"/>
    <n v="301"/>
    <n v="759"/>
    <n v="266"/>
    <n v="418"/>
    <n v="889"/>
    <n v="959"/>
    <n v="826"/>
    <n v="758"/>
    <n v="616"/>
    <n v="869"/>
    <n v="290"/>
    <n v="463"/>
    <n v="448"/>
    <n v="7561"/>
    <n v="17578.439999999999"/>
    <n v="6160.56"/>
    <n v="9680.8799999999992"/>
    <n v="20589.240000000002"/>
    <n v="22210.44"/>
    <n v="19130.16"/>
    <n v="17555.28"/>
    <n v="14266.56"/>
    <n v="20126.04"/>
    <n v="6716.4"/>
    <n v="10723.08"/>
    <n v="10375.68"/>
    <n v="175112.75999999998"/>
  </r>
  <r>
    <n v="630"/>
    <s v="Product_630"/>
    <x v="6"/>
    <n v="129.96"/>
    <n v="2.8"/>
    <n v="602"/>
    <n v="246"/>
    <n v="53"/>
    <n v="914"/>
    <n v="782"/>
    <n v="715"/>
    <n v="95"/>
    <n v="445"/>
    <n v="611"/>
    <n v="46"/>
    <n v="831"/>
    <n v="279"/>
    <n v="591"/>
    <n v="5608"/>
    <n v="31970.160000000003"/>
    <n v="6887.88"/>
    <n v="118783.44"/>
    <n v="101628.72"/>
    <n v="92921.400000000009"/>
    <n v="12346.2"/>
    <n v="57832.200000000004"/>
    <n v="79405.56"/>
    <n v="5978.1600000000008"/>
    <n v="107996.76000000001"/>
    <n v="36258.840000000004"/>
    <n v="76806.36"/>
    <n v="728815.67999999993"/>
  </r>
  <r>
    <n v="631"/>
    <s v="Product_631"/>
    <x v="4"/>
    <n v="358.11"/>
    <n v="4"/>
    <n v="103"/>
    <n v="666"/>
    <n v="527"/>
    <n v="915"/>
    <n v="966"/>
    <n v="55"/>
    <n v="957"/>
    <n v="924"/>
    <n v="601"/>
    <n v="93"/>
    <n v="500"/>
    <n v="150"/>
    <n v="81"/>
    <n v="6435"/>
    <n v="238501.26"/>
    <n v="188723.97"/>
    <n v="327670.65000000002"/>
    <n v="345934.26"/>
    <n v="19696.05"/>
    <n v="342711.27"/>
    <n v="330893.64"/>
    <n v="215224.11000000002"/>
    <n v="33304.230000000003"/>
    <n v="179055"/>
    <n v="53716.5"/>
    <n v="29006.91"/>
    <n v="2304437.8500000006"/>
  </r>
  <r>
    <n v="632"/>
    <s v="Product_632"/>
    <x v="4"/>
    <n v="448.13"/>
    <n v="2.4"/>
    <n v="988"/>
    <n v="545"/>
    <n v="519"/>
    <n v="611"/>
    <n v="924"/>
    <n v="719"/>
    <n v="102"/>
    <n v="185"/>
    <n v="926"/>
    <n v="939"/>
    <n v="185"/>
    <n v="239"/>
    <n v="134"/>
    <n v="6028"/>
    <n v="244230.85"/>
    <n v="232579.47"/>
    <n v="273807.43"/>
    <n v="414072.12"/>
    <n v="322205.46999999997"/>
    <n v="45709.26"/>
    <n v="82904.05"/>
    <n v="414968.38"/>
    <n v="420794.07"/>
    <n v="82904.05"/>
    <n v="107103.06999999999"/>
    <n v="60049.42"/>
    <n v="2701327.6399999997"/>
  </r>
  <r>
    <n v="633"/>
    <s v="Product_633"/>
    <x v="4"/>
    <n v="258.27999999999997"/>
    <n v="3.7"/>
    <n v="250"/>
    <n v="498"/>
    <n v="615"/>
    <n v="674"/>
    <n v="122"/>
    <n v="552"/>
    <n v="891"/>
    <n v="69"/>
    <n v="811"/>
    <n v="559"/>
    <n v="478"/>
    <n v="265"/>
    <n v="718"/>
    <n v="6252"/>
    <n v="128623.43999999999"/>
    <n v="158842.19999999998"/>
    <n v="174080.71999999997"/>
    <n v="31510.159999999996"/>
    <n v="142570.56"/>
    <n v="230127.47999999998"/>
    <n v="17821.32"/>
    <n v="209465.08"/>
    <n v="144378.51999999999"/>
    <n v="123457.83999999998"/>
    <n v="68444.2"/>
    <n v="185445.03999999998"/>
    <n v="1614766.5599999998"/>
  </r>
  <r>
    <n v="634"/>
    <s v="Product_634"/>
    <x v="3"/>
    <n v="268.39999999999998"/>
    <n v="4.2"/>
    <n v="453"/>
    <n v="128"/>
    <n v="58"/>
    <n v="927"/>
    <n v="878"/>
    <n v="31"/>
    <n v="853"/>
    <n v="973"/>
    <n v="443"/>
    <n v="751"/>
    <n v="570"/>
    <n v="693"/>
    <n v="855"/>
    <n v="7160"/>
    <n v="34355.199999999997"/>
    <n v="15567.199999999999"/>
    <n v="248806.8"/>
    <n v="235655.19999999998"/>
    <n v="8320.4"/>
    <n v="228945.19999999998"/>
    <n v="261153.19999999998"/>
    <n v="118901.2"/>
    <n v="201568.4"/>
    <n v="152988"/>
    <n v="186001.19999999998"/>
    <n v="229481.99999999997"/>
    <n v="1921743.9999999998"/>
  </r>
  <r>
    <n v="635"/>
    <s v="Product_635"/>
    <x v="4"/>
    <n v="58.05"/>
    <n v="4.7"/>
    <n v="520"/>
    <n v="671"/>
    <n v="824"/>
    <n v="121"/>
    <n v="386"/>
    <n v="526"/>
    <n v="145"/>
    <n v="149"/>
    <n v="331"/>
    <n v="858"/>
    <n v="491"/>
    <n v="104"/>
    <n v="176"/>
    <n v="4782"/>
    <n v="38951.549999999996"/>
    <n v="47833.2"/>
    <n v="7024.0499999999993"/>
    <n v="22407.3"/>
    <n v="30534.3"/>
    <n v="8417.25"/>
    <n v="8649.4499999999989"/>
    <n v="19214.55"/>
    <n v="49806.899999999994"/>
    <n v="28502.55"/>
    <n v="6037.2"/>
    <n v="10216.799999999999"/>
    <n v="277595.09999999998"/>
  </r>
  <r>
    <n v="636"/>
    <s v="Product_636"/>
    <x v="1"/>
    <n v="226.47"/>
    <n v="1.9"/>
    <n v="153"/>
    <n v="600"/>
    <n v="39"/>
    <n v="431"/>
    <n v="338"/>
    <n v="573"/>
    <n v="879"/>
    <n v="245"/>
    <n v="502"/>
    <n v="212"/>
    <n v="512"/>
    <n v="936"/>
    <n v="382"/>
    <n v="5649"/>
    <n v="135882"/>
    <n v="8832.33"/>
    <n v="97608.569999999992"/>
    <n v="76546.86"/>
    <n v="129767.31"/>
    <n v="199067.13"/>
    <n v="55485.15"/>
    <n v="113687.94"/>
    <n v="48011.64"/>
    <n v="115952.64"/>
    <n v="211975.92"/>
    <n v="86511.54"/>
    <n v="1279329.03"/>
  </r>
  <r>
    <n v="637"/>
    <s v="Product_637"/>
    <x v="2"/>
    <n v="268.64999999999998"/>
    <n v="2.6"/>
    <n v="859"/>
    <n v="604"/>
    <n v="236"/>
    <n v="43"/>
    <n v="777"/>
    <n v="666"/>
    <n v="941"/>
    <n v="773"/>
    <n v="912"/>
    <n v="435"/>
    <n v="642"/>
    <n v="432"/>
    <n v="242"/>
    <n v="6703"/>
    <n v="162264.59999999998"/>
    <n v="63401.399999999994"/>
    <n v="11551.949999999999"/>
    <n v="208741.05"/>
    <n v="178920.9"/>
    <n v="252799.64999999997"/>
    <n v="207666.44999999998"/>
    <n v="245008.8"/>
    <n v="116862.74999999999"/>
    <n v="172473.3"/>
    <n v="116056.79999999999"/>
    <n v="65013.299999999996"/>
    <n v="1800760.9500000002"/>
  </r>
  <r>
    <n v="638"/>
    <s v="Product_638"/>
    <x v="5"/>
    <n v="125.02"/>
    <n v="1.6"/>
    <n v="174"/>
    <n v="326"/>
    <n v="954"/>
    <n v="871"/>
    <n v="347"/>
    <n v="283"/>
    <n v="927"/>
    <n v="537"/>
    <n v="78"/>
    <n v="851"/>
    <n v="66"/>
    <n v="912"/>
    <n v="566"/>
    <n v="6718"/>
    <n v="40756.519999999997"/>
    <n v="119269.08"/>
    <n v="108892.42"/>
    <n v="43381.939999999995"/>
    <n v="35380.659999999996"/>
    <n v="115893.54"/>
    <n v="67135.739999999991"/>
    <n v="9751.56"/>
    <n v="106392.01999999999"/>
    <n v="8251.32"/>
    <n v="114018.23999999999"/>
    <n v="70761.319999999992"/>
    <n v="839884.35999999987"/>
  </r>
  <r>
    <n v="639"/>
    <s v="Product_639"/>
    <x v="4"/>
    <n v="138.28"/>
    <n v="5"/>
    <n v="343"/>
    <n v="752"/>
    <n v="385"/>
    <n v="919"/>
    <n v="28"/>
    <n v="720"/>
    <n v="26"/>
    <n v="934"/>
    <n v="584"/>
    <n v="507"/>
    <n v="804"/>
    <n v="496"/>
    <n v="140"/>
    <n v="6295"/>
    <n v="103986.56"/>
    <n v="53237.8"/>
    <n v="127079.32"/>
    <n v="3871.84"/>
    <n v="99561.600000000006"/>
    <n v="3595.28"/>
    <n v="129153.52"/>
    <n v="80755.520000000004"/>
    <n v="70107.960000000006"/>
    <n v="111177.12"/>
    <n v="68586.880000000005"/>
    <n v="19359.2"/>
    <n v="870472.6"/>
  </r>
  <r>
    <n v="640"/>
    <s v="Product_640"/>
    <x v="6"/>
    <n v="191.76"/>
    <n v="4.7"/>
    <n v="670"/>
    <n v="834"/>
    <n v="605"/>
    <n v="316"/>
    <n v="974"/>
    <n v="831"/>
    <n v="731"/>
    <n v="651"/>
    <n v="934"/>
    <n v="835"/>
    <n v="466"/>
    <n v="439"/>
    <n v="456"/>
    <n v="8072"/>
    <n v="159927.84"/>
    <n v="116014.79999999999"/>
    <n v="60596.159999999996"/>
    <n v="186774.24"/>
    <n v="159352.56"/>
    <n v="140176.56"/>
    <n v="124835.76"/>
    <n v="179103.84"/>
    <n v="160119.6"/>
    <n v="89360.159999999989"/>
    <n v="84182.64"/>
    <n v="87442.559999999998"/>
    <n v="1547886.72"/>
  </r>
  <r>
    <n v="641"/>
    <s v="Product_641"/>
    <x v="6"/>
    <n v="14.94"/>
    <n v="3.2"/>
    <n v="431"/>
    <n v="979"/>
    <n v="733"/>
    <n v="380"/>
    <n v="34"/>
    <n v="493"/>
    <n v="529"/>
    <n v="98"/>
    <n v="937"/>
    <n v="650"/>
    <n v="284"/>
    <n v="747"/>
    <n v="439"/>
    <n v="6303"/>
    <n v="14626.26"/>
    <n v="10951.02"/>
    <n v="5677.2"/>
    <n v="507.96"/>
    <n v="7365.42"/>
    <n v="7903.2599999999993"/>
    <n v="1464.12"/>
    <n v="13998.779999999999"/>
    <n v="9711"/>
    <n v="4242.96"/>
    <n v="11160.18"/>
    <n v="6558.66"/>
    <n v="94166.82"/>
  </r>
  <r>
    <n v="642"/>
    <s v="Product_642"/>
    <x v="4"/>
    <n v="164.43"/>
    <n v="4.4000000000000004"/>
    <n v="727"/>
    <n v="403"/>
    <n v="715"/>
    <n v="144"/>
    <n v="517"/>
    <n v="186"/>
    <n v="678"/>
    <n v="909"/>
    <n v="687"/>
    <n v="204"/>
    <n v="600"/>
    <n v="684"/>
    <n v="55"/>
    <n v="5782"/>
    <n v="66265.290000000008"/>
    <n v="117567.45000000001"/>
    <n v="23677.920000000002"/>
    <n v="85010.31"/>
    <n v="30583.98"/>
    <n v="111483.54000000001"/>
    <n v="149466.87"/>
    <n v="112963.41"/>
    <n v="33543.72"/>
    <n v="98658"/>
    <n v="112470.12000000001"/>
    <n v="9043.65"/>
    <n v="950734.26"/>
  </r>
  <r>
    <n v="643"/>
    <s v="Product_643"/>
    <x v="4"/>
    <n v="109.67"/>
    <n v="3.1"/>
    <n v="689"/>
    <n v="628"/>
    <n v="649"/>
    <n v="326"/>
    <n v="395"/>
    <n v="497"/>
    <n v="944"/>
    <n v="277"/>
    <n v="395"/>
    <n v="380"/>
    <n v="416"/>
    <n v="157"/>
    <n v="526"/>
    <n v="5590"/>
    <n v="68872.759999999995"/>
    <n v="71175.83"/>
    <n v="35752.42"/>
    <n v="43319.65"/>
    <n v="54505.99"/>
    <n v="103528.48"/>
    <n v="30378.59"/>
    <n v="43319.65"/>
    <n v="41674.6"/>
    <n v="45622.720000000001"/>
    <n v="17218.189999999999"/>
    <n v="57686.42"/>
    <n v="613055.30000000005"/>
  </r>
  <r>
    <n v="644"/>
    <s v="Product_644"/>
    <x v="1"/>
    <n v="167.11"/>
    <n v="3.5"/>
    <n v="687"/>
    <n v="605"/>
    <n v="299"/>
    <n v="362"/>
    <n v="622"/>
    <n v="441"/>
    <n v="988"/>
    <n v="562"/>
    <n v="607"/>
    <n v="72"/>
    <n v="99"/>
    <n v="171"/>
    <n v="696"/>
    <n v="5524"/>
    <n v="101101.55"/>
    <n v="49965.890000000007"/>
    <n v="60493.820000000007"/>
    <n v="103942.42000000001"/>
    <n v="73695.510000000009"/>
    <n v="165104.68000000002"/>
    <n v="93915.82"/>
    <n v="101435.77"/>
    <n v="12031.920000000002"/>
    <n v="16543.890000000003"/>
    <n v="28575.81"/>
    <n v="116308.56000000001"/>
    <n v="923115.64000000036"/>
  </r>
  <r>
    <n v="645"/>
    <s v="Product_645"/>
    <x v="4"/>
    <n v="64.28"/>
    <n v="1.4"/>
    <n v="852"/>
    <n v="674"/>
    <n v="394"/>
    <n v="49"/>
    <n v="293"/>
    <n v="129"/>
    <n v="81"/>
    <n v="662"/>
    <n v="856"/>
    <n v="515"/>
    <n v="188"/>
    <n v="493"/>
    <n v="825"/>
    <n v="5159"/>
    <n v="43324.72"/>
    <n v="25326.32"/>
    <n v="3149.7200000000003"/>
    <n v="18834.04"/>
    <n v="8292.1200000000008"/>
    <n v="5206.68"/>
    <n v="42553.36"/>
    <n v="55023.68"/>
    <n v="33104.199999999997"/>
    <n v="12084.64"/>
    <n v="31690.04"/>
    <n v="53031"/>
    <n v="331620.52"/>
  </r>
  <r>
    <n v="646"/>
    <s v="Product_646"/>
    <x v="4"/>
    <n v="445.81"/>
    <n v="4"/>
    <n v="850"/>
    <n v="610"/>
    <n v="206"/>
    <n v="64"/>
    <n v="588"/>
    <n v="638"/>
    <n v="427"/>
    <n v="943"/>
    <n v="102"/>
    <n v="75"/>
    <n v="988"/>
    <n v="969"/>
    <n v="418"/>
    <n v="6028"/>
    <n v="271944.09999999998"/>
    <n v="91836.86"/>
    <n v="28531.84"/>
    <n v="262136.28"/>
    <n v="284426.78000000003"/>
    <n v="190360.87"/>
    <n v="420398.83"/>
    <n v="45472.62"/>
    <n v="33435.75"/>
    <n v="440460.28"/>
    <n v="431989.89"/>
    <n v="186348.58"/>
    <n v="2687342.68"/>
  </r>
  <r>
    <n v="647"/>
    <s v="Product_647"/>
    <x v="2"/>
    <n v="298.83"/>
    <n v="1.5"/>
    <n v="658"/>
    <n v="624"/>
    <n v="335"/>
    <n v="354"/>
    <n v="348"/>
    <n v="291"/>
    <n v="583"/>
    <n v="454"/>
    <n v="401"/>
    <n v="840"/>
    <n v="889"/>
    <n v="310"/>
    <n v="87"/>
    <n v="5516"/>
    <n v="186469.91999999998"/>
    <n v="100108.04999999999"/>
    <n v="105785.81999999999"/>
    <n v="103992.84"/>
    <n v="86959.53"/>
    <n v="174217.88999999998"/>
    <n v="135668.82"/>
    <n v="119830.82999999999"/>
    <n v="251017.19999999998"/>
    <n v="265659.87"/>
    <n v="92637.299999999988"/>
    <n v="25998.21"/>
    <n v="1648346.28"/>
  </r>
  <r>
    <n v="648"/>
    <s v="Product_648"/>
    <x v="6"/>
    <n v="341.16"/>
    <n v="4.3"/>
    <n v="962"/>
    <n v="358"/>
    <n v="592"/>
    <n v="799"/>
    <n v="146"/>
    <n v="113"/>
    <n v="821"/>
    <n v="103"/>
    <n v="974"/>
    <n v="76"/>
    <n v="857"/>
    <n v="402"/>
    <n v="608"/>
    <n v="5849"/>
    <n v="122135.28000000001"/>
    <n v="201966.72"/>
    <n v="272586.84000000003"/>
    <n v="49809.36"/>
    <n v="38551.08"/>
    <n v="280092.36000000004"/>
    <n v="35139.480000000003"/>
    <n v="332289.84000000003"/>
    <n v="25928.160000000003"/>
    <n v="292374.12"/>
    <n v="137146.32"/>
    <n v="207425.28000000003"/>
    <n v="1995444.8400000003"/>
  </r>
  <r>
    <n v="649"/>
    <s v="Product_649"/>
    <x v="1"/>
    <n v="395.64"/>
    <n v="4.0999999999999996"/>
    <n v="324"/>
    <n v="602"/>
    <n v="729"/>
    <n v="163"/>
    <n v="66"/>
    <n v="198"/>
    <n v="478"/>
    <n v="945"/>
    <n v="223"/>
    <n v="815"/>
    <n v="387"/>
    <n v="668"/>
    <n v="655"/>
    <n v="5929"/>
    <n v="238175.28"/>
    <n v="288421.56"/>
    <n v="64489.32"/>
    <n v="26112.239999999998"/>
    <n v="78336.72"/>
    <n v="189115.91999999998"/>
    <n v="373879.8"/>
    <n v="88227.72"/>
    <n v="322446.59999999998"/>
    <n v="153112.68"/>
    <n v="264287.52"/>
    <n v="259144.19999999998"/>
    <n v="2345749.5599999996"/>
  </r>
  <r>
    <n v="650"/>
    <s v="Product_650"/>
    <x v="6"/>
    <n v="251.73"/>
    <n v="3.8"/>
    <n v="990"/>
    <n v="857"/>
    <n v="513"/>
    <n v="140"/>
    <n v="903"/>
    <n v="12"/>
    <n v="765"/>
    <n v="600"/>
    <n v="517"/>
    <n v="767"/>
    <n v="240"/>
    <n v="769"/>
    <n v="7"/>
    <n v="6090"/>
    <n v="215732.61"/>
    <n v="129137.48999999999"/>
    <n v="35242.199999999997"/>
    <n v="227312.19"/>
    <n v="3020.7599999999998"/>
    <n v="192573.44999999998"/>
    <n v="151038"/>
    <n v="130144.40999999999"/>
    <n v="193076.91"/>
    <n v="60415.199999999997"/>
    <n v="193580.37"/>
    <n v="1762.11"/>
    <n v="1533035.7"/>
  </r>
  <r>
    <n v="651"/>
    <s v="Product_651"/>
    <x v="1"/>
    <n v="48.03"/>
    <n v="1.1000000000000001"/>
    <n v="673"/>
    <n v="717"/>
    <n v="177"/>
    <n v="965"/>
    <n v="519"/>
    <n v="270"/>
    <n v="161"/>
    <n v="652"/>
    <n v="633"/>
    <n v="409"/>
    <n v="781"/>
    <n v="675"/>
    <n v="476"/>
    <n v="6435"/>
    <n v="34437.51"/>
    <n v="8501.31"/>
    <n v="46348.950000000004"/>
    <n v="24927.57"/>
    <n v="12968.1"/>
    <n v="7732.83"/>
    <n v="31315.56"/>
    <n v="30402.99"/>
    <n v="19644.27"/>
    <n v="37511.43"/>
    <n v="32420.25"/>
    <n v="22862.28"/>
    <n v="309073.04999999993"/>
  </r>
  <r>
    <n v="652"/>
    <s v="Product_652"/>
    <x v="6"/>
    <n v="270.87"/>
    <n v="2.2000000000000002"/>
    <n v="639"/>
    <n v="16"/>
    <n v="395"/>
    <n v="825"/>
    <n v="121"/>
    <n v="600"/>
    <n v="838"/>
    <n v="724"/>
    <n v="235"/>
    <n v="613"/>
    <n v="730"/>
    <n v="658"/>
    <n v="214"/>
    <n v="5969"/>
    <n v="4333.92"/>
    <n v="106993.65000000001"/>
    <n v="223467.75"/>
    <n v="32775.270000000004"/>
    <n v="162522"/>
    <n v="226989.06"/>
    <n v="196109.88"/>
    <n v="63654.450000000004"/>
    <n v="166043.31"/>
    <n v="197735.1"/>
    <n v="178232.46"/>
    <n v="57966.18"/>
    <n v="1616823.03"/>
  </r>
  <r>
    <n v="653"/>
    <s v="Product_653"/>
    <x v="4"/>
    <n v="295.49"/>
    <n v="2.1"/>
    <n v="420"/>
    <n v="273"/>
    <n v="370"/>
    <n v="127"/>
    <n v="339"/>
    <n v="214"/>
    <n v="931"/>
    <n v="232"/>
    <n v="426"/>
    <n v="105"/>
    <n v="416"/>
    <n v="902"/>
    <n v="684"/>
    <n v="5019"/>
    <n v="80668.77"/>
    <n v="109331.3"/>
    <n v="37527.230000000003"/>
    <n v="100171.11"/>
    <n v="63234.86"/>
    <n v="275101.19"/>
    <n v="68553.680000000008"/>
    <n v="125878.74"/>
    <n v="31026.45"/>
    <n v="122923.84"/>
    <n v="266531.98"/>
    <n v="202115.16"/>
    <n v="1483064.3099999998"/>
  </r>
  <r>
    <n v="654"/>
    <s v="Product_654"/>
    <x v="6"/>
    <n v="373.99"/>
    <n v="2.4"/>
    <n v="594"/>
    <n v="684"/>
    <n v="857"/>
    <n v="397"/>
    <n v="174"/>
    <n v="443"/>
    <n v="401"/>
    <n v="393"/>
    <n v="115"/>
    <n v="844"/>
    <n v="917"/>
    <n v="665"/>
    <n v="734"/>
    <n v="6624"/>
    <n v="255809.16"/>
    <n v="320509.43"/>
    <n v="148474.03"/>
    <n v="65074.26"/>
    <n v="165677.57"/>
    <n v="149969.99"/>
    <n v="146978.07"/>
    <n v="43008.85"/>
    <n v="315647.56"/>
    <n v="342948.83"/>
    <n v="248703.35"/>
    <n v="274508.66000000003"/>
    <n v="2477309.7600000002"/>
  </r>
  <r>
    <n v="655"/>
    <s v="Product_655"/>
    <x v="6"/>
    <n v="218.67"/>
    <n v="1.4"/>
    <n v="485"/>
    <n v="115"/>
    <n v="790"/>
    <n v="932"/>
    <n v="899"/>
    <n v="789"/>
    <n v="507"/>
    <n v="500"/>
    <n v="162"/>
    <n v="550"/>
    <n v="175"/>
    <n v="462"/>
    <n v="551"/>
    <n v="6432"/>
    <n v="25147.05"/>
    <n v="172749.3"/>
    <n v="203800.44"/>
    <n v="196584.33"/>
    <n v="172530.63"/>
    <n v="110865.68999999999"/>
    <n v="109335"/>
    <n v="35424.54"/>
    <n v="120268.5"/>
    <n v="38267.25"/>
    <n v="101025.54"/>
    <n v="120487.17"/>
    <n v="1406485.44"/>
  </r>
  <r>
    <n v="656"/>
    <s v="Product_656"/>
    <x v="1"/>
    <n v="68.150000000000006"/>
    <n v="4.7"/>
    <n v="659"/>
    <n v="860"/>
    <n v="657"/>
    <n v="879"/>
    <n v="690"/>
    <n v="511"/>
    <n v="37"/>
    <n v="694"/>
    <n v="225"/>
    <n v="475"/>
    <n v="386"/>
    <n v="366"/>
    <n v="496"/>
    <n v="6276"/>
    <n v="58609.000000000007"/>
    <n v="44774.55"/>
    <n v="59903.850000000006"/>
    <n v="47023.500000000007"/>
    <n v="34824.65"/>
    <n v="2521.5500000000002"/>
    <n v="47296.100000000006"/>
    <n v="15333.750000000002"/>
    <n v="32371.250000000004"/>
    <n v="26305.9"/>
    <n v="24942.9"/>
    <n v="33802.400000000001"/>
    <n v="427709.40000000008"/>
  </r>
  <r>
    <n v="657"/>
    <s v="Product_657"/>
    <x v="5"/>
    <n v="145.47"/>
    <n v="3.2"/>
    <n v="751"/>
    <n v="979"/>
    <n v="317"/>
    <n v="462"/>
    <n v="596"/>
    <n v="446"/>
    <n v="954"/>
    <n v="250"/>
    <n v="229"/>
    <n v="825"/>
    <n v="470"/>
    <n v="549"/>
    <n v="693"/>
    <n v="6770"/>
    <n v="142415.13"/>
    <n v="46113.99"/>
    <n v="67207.14"/>
    <n v="86700.12"/>
    <n v="64879.62"/>
    <n v="138778.38"/>
    <n v="36367.5"/>
    <n v="33312.629999999997"/>
    <n v="120012.75"/>
    <n v="68370.899999999994"/>
    <n v="79863.03"/>
    <n v="100810.71"/>
    <n v="984831.9"/>
  </r>
  <r>
    <n v="658"/>
    <s v="Product_658"/>
    <x v="0"/>
    <n v="184.73"/>
    <n v="2.2000000000000002"/>
    <n v="412"/>
    <n v="692"/>
    <n v="735"/>
    <n v="750"/>
    <n v="450"/>
    <n v="985"/>
    <n v="510"/>
    <n v="520"/>
    <n v="181"/>
    <n v="274"/>
    <n v="852"/>
    <n v="642"/>
    <n v="502"/>
    <n v="7093"/>
    <n v="127833.15999999999"/>
    <n v="135776.54999999999"/>
    <n v="138547.5"/>
    <n v="83128.5"/>
    <n v="181959.05"/>
    <n v="94212.299999999988"/>
    <n v="96059.599999999991"/>
    <n v="33436.129999999997"/>
    <n v="50616.02"/>
    <n v="157389.96"/>
    <n v="118596.65999999999"/>
    <n v="92734.459999999992"/>
    <n v="1310289.8899999999"/>
  </r>
  <r>
    <n v="659"/>
    <s v="Product_659"/>
    <x v="1"/>
    <n v="324.73"/>
    <n v="2.6"/>
    <n v="936"/>
    <n v="90"/>
    <n v="368"/>
    <n v="835"/>
    <n v="556"/>
    <n v="992"/>
    <n v="392"/>
    <n v="78"/>
    <n v="248"/>
    <n v="87"/>
    <n v="232"/>
    <n v="869"/>
    <n v="781"/>
    <n v="5528"/>
    <n v="29225.7"/>
    <n v="119500.64000000001"/>
    <n v="271149.55"/>
    <n v="180549.88"/>
    <n v="322132.16000000003"/>
    <n v="127294.16"/>
    <n v="25328.940000000002"/>
    <n v="80533.040000000008"/>
    <n v="28251.510000000002"/>
    <n v="75337.36"/>
    <n v="282190.37"/>
    <n v="253614.13"/>
    <n v="1795107.44"/>
  </r>
  <r>
    <n v="660"/>
    <s v="Product_660"/>
    <x v="1"/>
    <n v="287.54000000000002"/>
    <n v="2.8"/>
    <n v="84"/>
    <n v="81"/>
    <n v="383"/>
    <n v="807"/>
    <n v="135"/>
    <n v="714"/>
    <n v="712"/>
    <n v="51"/>
    <n v="317"/>
    <n v="722"/>
    <n v="662"/>
    <n v="254"/>
    <n v="698"/>
    <n v="5536"/>
    <n v="23290.74"/>
    <n v="110127.82"/>
    <n v="232044.78000000003"/>
    <n v="38817.9"/>
    <n v="205303.56000000003"/>
    <n v="204728.48"/>
    <n v="14664.54"/>
    <n v="91150.180000000008"/>
    <n v="207603.88"/>
    <n v="190351.48"/>
    <n v="73035.16"/>
    <n v="200702.92"/>
    <n v="1591821.44"/>
  </r>
  <r>
    <n v="661"/>
    <s v="Product_661"/>
    <x v="1"/>
    <n v="181.27"/>
    <n v="3.4"/>
    <n v="113"/>
    <n v="323"/>
    <n v="61"/>
    <n v="186"/>
    <n v="854"/>
    <n v="73"/>
    <n v="493"/>
    <n v="897"/>
    <n v="964"/>
    <n v="880"/>
    <n v="451"/>
    <n v="207"/>
    <n v="244"/>
    <n v="5633"/>
    <n v="58550.210000000006"/>
    <n v="11057.470000000001"/>
    <n v="33716.22"/>
    <n v="154804.58000000002"/>
    <n v="13232.710000000001"/>
    <n v="89366.11"/>
    <n v="162599.19"/>
    <n v="174744.28"/>
    <n v="159517.6"/>
    <n v="81752.77"/>
    <n v="37522.89"/>
    <n v="44229.880000000005"/>
    <n v="1021093.91"/>
  </r>
  <r>
    <n v="662"/>
    <s v="Product_662"/>
    <x v="3"/>
    <n v="493.33"/>
    <n v="3.1"/>
    <n v="737"/>
    <n v="960"/>
    <n v="805"/>
    <n v="719"/>
    <n v="15"/>
    <n v="536"/>
    <n v="199"/>
    <n v="920"/>
    <n v="209"/>
    <n v="76"/>
    <n v="276"/>
    <n v="449"/>
    <n v="477"/>
    <n v="5641"/>
    <n v="473596.8"/>
    <n v="397130.64999999997"/>
    <n v="354704.26999999996"/>
    <n v="7399.95"/>
    <n v="264424.88"/>
    <n v="98172.67"/>
    <n v="453863.6"/>
    <n v="103105.97"/>
    <n v="37493.08"/>
    <n v="136159.07999999999"/>
    <n v="221505.16999999998"/>
    <n v="235318.41"/>
    <n v="2782874.5300000003"/>
  </r>
  <r>
    <n v="663"/>
    <s v="Product_663"/>
    <x v="5"/>
    <n v="304.86"/>
    <n v="4.7"/>
    <n v="332"/>
    <n v="113"/>
    <n v="504"/>
    <n v="731"/>
    <n v="332"/>
    <n v="100"/>
    <n v="254"/>
    <n v="780"/>
    <n v="655"/>
    <n v="76"/>
    <n v="228"/>
    <n v="94"/>
    <n v="308"/>
    <n v="4175"/>
    <n v="34449.18"/>
    <n v="153649.44"/>
    <n v="222852.66"/>
    <n v="101213.52"/>
    <n v="30486"/>
    <n v="77434.44"/>
    <n v="237790.80000000002"/>
    <n v="199683.30000000002"/>
    <n v="23169.360000000001"/>
    <n v="69508.08"/>
    <n v="28656.84"/>
    <n v="93896.88"/>
    <n v="1272790.5000000005"/>
  </r>
  <r>
    <n v="664"/>
    <s v="Product_664"/>
    <x v="3"/>
    <n v="122.43"/>
    <n v="3"/>
    <n v="378"/>
    <n v="768"/>
    <n v="238"/>
    <n v="911"/>
    <n v="194"/>
    <n v="175"/>
    <n v="178"/>
    <n v="225"/>
    <n v="391"/>
    <n v="441"/>
    <n v="170"/>
    <n v="859"/>
    <n v="230"/>
    <n v="4780"/>
    <n v="94026.240000000005"/>
    <n v="29138.34"/>
    <n v="111533.73000000001"/>
    <n v="23751.420000000002"/>
    <n v="21425.25"/>
    <n v="21792.54"/>
    <n v="27546.75"/>
    <n v="47870.130000000005"/>
    <n v="53991.630000000005"/>
    <n v="20813.100000000002"/>
    <n v="105167.37000000001"/>
    <n v="28158.9"/>
    <n v="585215.4"/>
  </r>
  <r>
    <n v="665"/>
    <s v="Product_665"/>
    <x v="3"/>
    <n v="55.38"/>
    <n v="5"/>
    <n v="755"/>
    <n v="57"/>
    <n v="194"/>
    <n v="189"/>
    <n v="495"/>
    <n v="426"/>
    <n v="546"/>
    <n v="50"/>
    <n v="856"/>
    <n v="539"/>
    <n v="734"/>
    <n v="838"/>
    <n v="382"/>
    <n v="5306"/>
    <n v="3156.6600000000003"/>
    <n v="10743.720000000001"/>
    <n v="10466.82"/>
    <n v="27413.100000000002"/>
    <n v="23591.88"/>
    <n v="30237.480000000003"/>
    <n v="2769"/>
    <n v="47405.279999999999"/>
    <n v="29849.82"/>
    <n v="40648.92"/>
    <n v="46408.44"/>
    <n v="21155.16"/>
    <n v="293846.27999999997"/>
  </r>
  <r>
    <n v="666"/>
    <s v="Product_666"/>
    <x v="1"/>
    <n v="80.67"/>
    <n v="4.4000000000000004"/>
    <n v="655"/>
    <n v="153"/>
    <n v="677"/>
    <n v="387"/>
    <n v="8"/>
    <n v="116"/>
    <n v="593"/>
    <n v="185"/>
    <n v="95"/>
    <n v="244"/>
    <n v="212"/>
    <n v="477"/>
    <n v="154"/>
    <n v="3301"/>
    <n v="12342.51"/>
    <n v="54613.590000000004"/>
    <n v="31219.29"/>
    <n v="645.36"/>
    <n v="9357.7199999999993"/>
    <n v="47837.31"/>
    <n v="14923.95"/>
    <n v="7663.6500000000005"/>
    <n v="19683.48"/>
    <n v="17102.04"/>
    <n v="38479.590000000004"/>
    <n v="12423.18"/>
    <n v="266291.67000000004"/>
  </r>
  <r>
    <n v="667"/>
    <s v="Product_667"/>
    <x v="0"/>
    <n v="126.75"/>
    <n v="1.8"/>
    <n v="41"/>
    <n v="876"/>
    <n v="962"/>
    <n v="428"/>
    <n v="827"/>
    <n v="165"/>
    <n v="388"/>
    <n v="33"/>
    <n v="893"/>
    <n v="577"/>
    <n v="281"/>
    <n v="682"/>
    <n v="174"/>
    <n v="6286"/>
    <n v="111033"/>
    <n v="121933.5"/>
    <n v="54249"/>
    <n v="104822.25"/>
    <n v="20913.75"/>
    <n v="49179"/>
    <n v="4182.75"/>
    <n v="113187.75"/>
    <n v="73134.75"/>
    <n v="35616.75"/>
    <n v="86443.5"/>
    <n v="22054.5"/>
    <n v="796750.5"/>
  </r>
  <r>
    <n v="668"/>
    <s v="Product_668"/>
    <x v="1"/>
    <n v="84.54"/>
    <n v="4.7"/>
    <n v="935"/>
    <n v="403"/>
    <n v="221"/>
    <n v="857"/>
    <n v="333"/>
    <n v="40"/>
    <n v="397"/>
    <n v="802"/>
    <n v="857"/>
    <n v="777"/>
    <n v="40"/>
    <n v="761"/>
    <n v="847"/>
    <n v="6335"/>
    <n v="34069.620000000003"/>
    <n v="18683.34"/>
    <n v="72450.78"/>
    <n v="28151.820000000003"/>
    <n v="3381.6000000000004"/>
    <n v="33562.380000000005"/>
    <n v="67801.08"/>
    <n v="72450.78"/>
    <n v="65687.58"/>
    <n v="3381.6000000000004"/>
    <n v="64334.94"/>
    <n v="71605.38"/>
    <n v="535560.9"/>
  </r>
  <r>
    <n v="669"/>
    <s v="Product_669"/>
    <x v="4"/>
    <n v="97.35"/>
    <n v="1.5"/>
    <n v="770"/>
    <n v="627"/>
    <n v="60"/>
    <n v="283"/>
    <n v="332"/>
    <n v="428"/>
    <n v="731"/>
    <n v="741"/>
    <n v="755"/>
    <n v="381"/>
    <n v="121"/>
    <n v="189"/>
    <n v="114"/>
    <n v="4762"/>
    <n v="61038.45"/>
    <n v="5841"/>
    <n v="27550.05"/>
    <n v="32320.199999999997"/>
    <n v="41665.799999999996"/>
    <n v="71162.849999999991"/>
    <n v="72136.349999999991"/>
    <n v="73499.25"/>
    <n v="37090.35"/>
    <n v="11779.349999999999"/>
    <n v="18399.149999999998"/>
    <n v="11097.9"/>
    <n v="463580.69999999995"/>
  </r>
  <r>
    <n v="670"/>
    <s v="Product_670"/>
    <x v="0"/>
    <n v="146.12"/>
    <n v="4.3"/>
    <n v="959"/>
    <n v="854"/>
    <n v="128"/>
    <n v="863"/>
    <n v="326"/>
    <n v="343"/>
    <n v="157"/>
    <n v="130"/>
    <n v="85"/>
    <n v="981"/>
    <n v="226"/>
    <n v="710"/>
    <n v="389"/>
    <n v="5192"/>
    <n v="124786.48000000001"/>
    <n v="18703.36"/>
    <n v="126101.56"/>
    <n v="47635.12"/>
    <n v="50119.16"/>
    <n v="22940.84"/>
    <n v="18995.600000000002"/>
    <n v="12420.2"/>
    <n v="143343.72"/>
    <n v="33023.120000000003"/>
    <n v="103745.2"/>
    <n v="56840.68"/>
    <n v="758655.04"/>
  </r>
  <r>
    <n v="671"/>
    <s v="Product_671"/>
    <x v="3"/>
    <n v="90.82"/>
    <n v="2.5"/>
    <n v="797"/>
    <n v="265"/>
    <n v="989"/>
    <n v="236"/>
    <n v="14"/>
    <n v="423"/>
    <n v="3"/>
    <n v="631"/>
    <n v="414"/>
    <n v="716"/>
    <n v="293"/>
    <n v="483"/>
    <n v="310"/>
    <n v="4777"/>
    <n v="24067.3"/>
    <n v="89820.98"/>
    <n v="21433.519999999997"/>
    <n v="1271.48"/>
    <n v="38416.86"/>
    <n v="272.45999999999998"/>
    <n v="57307.42"/>
    <n v="37599.479999999996"/>
    <n v="65027.119999999995"/>
    <n v="26610.26"/>
    <n v="43866.06"/>
    <n v="28154.199999999997"/>
    <n v="433847.14"/>
  </r>
  <r>
    <n v="672"/>
    <s v="Product_672"/>
    <x v="6"/>
    <n v="448.9"/>
    <n v="4.5"/>
    <n v="105"/>
    <n v="314"/>
    <n v="684"/>
    <n v="193"/>
    <n v="838"/>
    <n v="365"/>
    <n v="166"/>
    <n v="442"/>
    <n v="393"/>
    <n v="569"/>
    <n v="599"/>
    <n v="732"/>
    <n v="992"/>
    <n v="6287"/>
    <n v="140954.6"/>
    <n v="307047.59999999998"/>
    <n v="86637.7"/>
    <n v="376178.19999999995"/>
    <n v="163848.5"/>
    <n v="74517.399999999994"/>
    <n v="198413.8"/>
    <n v="176417.69999999998"/>
    <n v="255424.09999999998"/>
    <n v="268891.09999999998"/>
    <n v="328594.8"/>
    <n v="445308.8"/>
    <n v="2822234.2999999993"/>
  </r>
  <r>
    <n v="673"/>
    <s v="Product_673"/>
    <x v="6"/>
    <n v="44.72"/>
    <n v="4.5"/>
    <n v="202"/>
    <n v="714"/>
    <n v="991"/>
    <n v="286"/>
    <n v="613"/>
    <n v="119"/>
    <n v="467"/>
    <n v="837"/>
    <n v="695"/>
    <n v="712"/>
    <n v="266"/>
    <n v="535"/>
    <n v="299"/>
    <n v="6534"/>
    <n v="31930.079999999998"/>
    <n v="44317.52"/>
    <n v="12789.92"/>
    <n v="27413.360000000001"/>
    <n v="5321.68"/>
    <n v="20884.239999999998"/>
    <n v="37430.639999999999"/>
    <n v="31080.399999999998"/>
    <n v="31840.639999999999"/>
    <n v="11895.52"/>
    <n v="23925.200000000001"/>
    <n v="13371.279999999999"/>
    <n v="292200.48"/>
  </r>
  <r>
    <n v="674"/>
    <s v="Product_674"/>
    <x v="5"/>
    <n v="264.63"/>
    <n v="4.2"/>
    <n v="450"/>
    <n v="40"/>
    <n v="155"/>
    <n v="770"/>
    <n v="225"/>
    <n v="608"/>
    <n v="959"/>
    <n v="758"/>
    <n v="632"/>
    <n v="736"/>
    <n v="1000"/>
    <n v="755"/>
    <n v="17"/>
    <n v="6655"/>
    <n v="10585.2"/>
    <n v="41017.65"/>
    <n v="203765.1"/>
    <n v="59541.75"/>
    <n v="160895.04000000001"/>
    <n v="253780.16999999998"/>
    <n v="200589.54"/>
    <n v="167246.16"/>
    <n v="194767.68"/>
    <n v="264630"/>
    <n v="199795.65"/>
    <n v="4498.71"/>
    <n v="1761112.6499999997"/>
  </r>
  <r>
    <n v="675"/>
    <s v="Product_675"/>
    <x v="2"/>
    <n v="208.15"/>
    <n v="4.2"/>
    <n v="819"/>
    <n v="104"/>
    <n v="916"/>
    <n v="757"/>
    <n v="424"/>
    <n v="656"/>
    <n v="408"/>
    <n v="431"/>
    <n v="843"/>
    <n v="141"/>
    <n v="540"/>
    <n v="422"/>
    <n v="783"/>
    <n v="6425"/>
    <n v="21647.600000000002"/>
    <n v="190665.4"/>
    <n v="157569.55000000002"/>
    <n v="88255.6"/>
    <n v="136546.4"/>
    <n v="84925.2"/>
    <n v="89712.650000000009"/>
    <n v="175470.45"/>
    <n v="29349.15"/>
    <n v="112401"/>
    <n v="87839.3"/>
    <n v="162981.45000000001"/>
    <n v="1337363.75"/>
  </r>
  <r>
    <n v="676"/>
    <s v="Product_676"/>
    <x v="5"/>
    <n v="491.28"/>
    <n v="2.2000000000000002"/>
    <n v="843"/>
    <n v="900"/>
    <n v="377"/>
    <n v="135"/>
    <n v="789"/>
    <n v="727"/>
    <n v="411"/>
    <n v="703"/>
    <n v="500"/>
    <n v="892"/>
    <n v="758"/>
    <n v="835"/>
    <n v="11"/>
    <n v="7038"/>
    <n v="442152"/>
    <n v="185212.56"/>
    <n v="66322.8"/>
    <n v="387619.92"/>
    <n v="357160.56"/>
    <n v="201916.08"/>
    <n v="345369.83999999997"/>
    <n v="245640"/>
    <n v="438221.75999999995"/>
    <n v="372390.24"/>
    <n v="410218.8"/>
    <n v="5404.08"/>
    <n v="3457628.6399999997"/>
  </r>
  <r>
    <n v="677"/>
    <s v="Product_677"/>
    <x v="0"/>
    <n v="60.46"/>
    <n v="1.3"/>
    <n v="973"/>
    <n v="889"/>
    <n v="621"/>
    <n v="791"/>
    <n v="407"/>
    <n v="228"/>
    <n v="203"/>
    <n v="496"/>
    <n v="603"/>
    <n v="367"/>
    <n v="827"/>
    <n v="639"/>
    <n v="403"/>
    <n v="6474"/>
    <n v="53748.94"/>
    <n v="37545.660000000003"/>
    <n v="47823.86"/>
    <n v="24607.22"/>
    <n v="13784.880000000001"/>
    <n v="12273.380000000001"/>
    <n v="29988.16"/>
    <n v="36457.379999999997"/>
    <n v="22188.82"/>
    <n v="50000.42"/>
    <n v="38633.94"/>
    <n v="24365.38"/>
    <n v="391418.04000000004"/>
  </r>
  <r>
    <n v="678"/>
    <s v="Product_678"/>
    <x v="3"/>
    <n v="201.94"/>
    <n v="2.6"/>
    <n v="266"/>
    <n v="192"/>
    <n v="780"/>
    <n v="782"/>
    <n v="112"/>
    <n v="824"/>
    <n v="193"/>
    <n v="402"/>
    <n v="581"/>
    <n v="83"/>
    <n v="450"/>
    <n v="604"/>
    <n v="812"/>
    <n v="5815"/>
    <n v="38772.479999999996"/>
    <n v="157513.20000000001"/>
    <n v="157917.07999999999"/>
    <n v="22617.279999999999"/>
    <n v="166398.56"/>
    <n v="38974.42"/>
    <n v="81179.88"/>
    <n v="117327.14"/>
    <n v="16761.02"/>
    <n v="90873"/>
    <n v="121971.76"/>
    <n v="163975.28"/>
    <n v="1174281.1000000001"/>
  </r>
  <r>
    <n v="679"/>
    <s v="Product_679"/>
    <x v="0"/>
    <n v="484.89"/>
    <n v="1.7"/>
    <n v="910"/>
    <n v="400"/>
    <n v="922"/>
    <n v="170"/>
    <n v="996"/>
    <n v="129"/>
    <n v="234"/>
    <n v="322"/>
    <n v="915"/>
    <n v="142"/>
    <n v="448"/>
    <n v="811"/>
    <n v="703"/>
    <n v="6192"/>
    <n v="193956"/>
    <n v="447068.58"/>
    <n v="82431.3"/>
    <n v="482950.44"/>
    <n v="62550.81"/>
    <n v="113464.26"/>
    <n v="156134.57999999999"/>
    <n v="443674.35"/>
    <n v="68854.38"/>
    <n v="217230.72"/>
    <n v="393245.79"/>
    <n v="340877.67"/>
    <n v="3002438.8800000004"/>
  </r>
  <r>
    <n v="680"/>
    <s v="Product_680"/>
    <x v="0"/>
    <n v="433.43"/>
    <n v="3.8"/>
    <n v="210"/>
    <n v="277"/>
    <n v="867"/>
    <n v="158"/>
    <n v="427"/>
    <n v="351"/>
    <n v="717"/>
    <n v="209"/>
    <n v="132"/>
    <n v="351"/>
    <n v="755"/>
    <n v="132"/>
    <n v="231"/>
    <n v="4607"/>
    <n v="120060.11"/>
    <n v="375783.81"/>
    <n v="68481.94"/>
    <n v="185074.61000000002"/>
    <n v="152133.93"/>
    <n v="310769.31"/>
    <n v="90586.87"/>
    <n v="57212.76"/>
    <n v="152133.93"/>
    <n v="327239.65000000002"/>
    <n v="57212.76"/>
    <n v="100122.33"/>
    <n v="1996812.01"/>
  </r>
  <r>
    <n v="681"/>
    <s v="Product_681"/>
    <x v="6"/>
    <n v="409.45"/>
    <n v="2.4"/>
    <n v="563"/>
    <n v="353"/>
    <n v="902"/>
    <n v="200"/>
    <n v="0"/>
    <n v="888"/>
    <n v="149"/>
    <n v="614"/>
    <n v="790"/>
    <n v="544"/>
    <n v="60"/>
    <n v="54"/>
    <n v="954"/>
    <n v="5508"/>
    <n v="144535.85"/>
    <n v="369323.89999999997"/>
    <n v="81890"/>
    <n v="0"/>
    <n v="363591.6"/>
    <n v="61008.049999999996"/>
    <n v="251402.3"/>
    <n v="323465.5"/>
    <n v="222740.8"/>
    <n v="24567"/>
    <n v="22110.3"/>
    <n v="390615.3"/>
    <n v="2255250.6"/>
  </r>
  <r>
    <n v="682"/>
    <s v="Product_682"/>
    <x v="1"/>
    <n v="132.66"/>
    <n v="4.9000000000000004"/>
    <n v="118"/>
    <n v="748"/>
    <n v="789"/>
    <n v="486"/>
    <n v="265"/>
    <n v="317"/>
    <n v="158"/>
    <n v="328"/>
    <n v="648"/>
    <n v="912"/>
    <n v="501"/>
    <n v="988"/>
    <n v="604"/>
    <n v="6744"/>
    <n v="99229.68"/>
    <n v="104668.73999999999"/>
    <n v="64472.759999999995"/>
    <n v="35154.9"/>
    <n v="42053.22"/>
    <n v="20960.28"/>
    <n v="43512.479999999996"/>
    <n v="85963.68"/>
    <n v="120985.92"/>
    <n v="66462.66"/>
    <n v="131068.08"/>
    <n v="80126.64"/>
    <n v="894659.04"/>
  </r>
  <r>
    <n v="683"/>
    <s v="Product_683"/>
    <x v="4"/>
    <n v="89.59"/>
    <n v="3.6"/>
    <n v="713"/>
    <n v="936"/>
    <n v="585"/>
    <n v="556"/>
    <n v="490"/>
    <n v="983"/>
    <n v="278"/>
    <n v="371"/>
    <n v="313"/>
    <n v="151"/>
    <n v="146"/>
    <n v="509"/>
    <n v="989"/>
    <n v="6307"/>
    <n v="83856.240000000005"/>
    <n v="52410.15"/>
    <n v="49812.04"/>
    <n v="43899.1"/>
    <n v="88066.97"/>
    <n v="24906.02"/>
    <n v="33237.89"/>
    <n v="28041.670000000002"/>
    <n v="13528.09"/>
    <n v="13080.140000000001"/>
    <n v="45601.310000000005"/>
    <n v="88604.510000000009"/>
    <n v="565044.13000000012"/>
  </r>
  <r>
    <n v="684"/>
    <s v="Product_684"/>
    <x v="2"/>
    <n v="335.98"/>
    <n v="4.3"/>
    <n v="377"/>
    <n v="732"/>
    <n v="998"/>
    <n v="961"/>
    <n v="207"/>
    <n v="648"/>
    <n v="815"/>
    <n v="459"/>
    <n v="698"/>
    <n v="157"/>
    <n v="685"/>
    <n v="669"/>
    <n v="729"/>
    <n v="7758"/>
    <n v="245937.36000000002"/>
    <n v="335308.04000000004"/>
    <n v="322876.78000000003"/>
    <n v="69547.86"/>
    <n v="217715.04"/>
    <n v="273823.7"/>
    <n v="154214.82"/>
    <n v="234514.04"/>
    <n v="52748.86"/>
    <n v="230146.30000000002"/>
    <n v="224770.62000000002"/>
    <n v="244929.42"/>
    <n v="2606532.8400000003"/>
  </r>
  <r>
    <n v="685"/>
    <s v="Product_685"/>
    <x v="3"/>
    <n v="465.04"/>
    <n v="1.5"/>
    <n v="551"/>
    <n v="579"/>
    <n v="436"/>
    <n v="775"/>
    <n v="621"/>
    <n v="835"/>
    <n v="403"/>
    <n v="132"/>
    <n v="220"/>
    <n v="445"/>
    <n v="944"/>
    <n v="540"/>
    <n v="277"/>
    <n v="6207"/>
    <n v="269258.16000000003"/>
    <n v="202757.44"/>
    <n v="360406"/>
    <n v="288789.84000000003"/>
    <n v="388308.4"/>
    <n v="187411.12"/>
    <n v="61385.280000000006"/>
    <n v="102308.8"/>
    <n v="206942.80000000002"/>
    <n v="438997.76000000001"/>
    <n v="251121.6"/>
    <n v="128816.08"/>
    <n v="2886503.2800000007"/>
  </r>
  <r>
    <n v="686"/>
    <s v="Product_686"/>
    <x v="0"/>
    <n v="280.60000000000002"/>
    <n v="4.4000000000000004"/>
    <n v="540"/>
    <n v="708"/>
    <n v="974"/>
    <n v="582"/>
    <n v="711"/>
    <n v="336"/>
    <n v="892"/>
    <n v="834"/>
    <n v="975"/>
    <n v="652"/>
    <n v="789"/>
    <n v="409"/>
    <n v="352"/>
    <n v="8214"/>
    <n v="198664.80000000002"/>
    <n v="273304.40000000002"/>
    <n v="163309.20000000001"/>
    <n v="199506.6"/>
    <n v="94281.600000000006"/>
    <n v="250295.2"/>
    <n v="234020.40000000002"/>
    <n v="273585"/>
    <n v="182951.2"/>
    <n v="221393.40000000002"/>
    <n v="114765.40000000001"/>
    <n v="98771.200000000012"/>
    <n v="2304848.4000000004"/>
  </r>
  <r>
    <n v="687"/>
    <s v="Product_687"/>
    <x v="2"/>
    <n v="287.95"/>
    <n v="4.7"/>
    <n v="771"/>
    <n v="255"/>
    <n v="206"/>
    <n v="503"/>
    <n v="951"/>
    <n v="272"/>
    <n v="677"/>
    <n v="650"/>
    <n v="437"/>
    <n v="957"/>
    <n v="333"/>
    <n v="210"/>
    <n v="998"/>
    <n v="6449"/>
    <n v="73427.25"/>
    <n v="59317.7"/>
    <n v="144838.85"/>
    <n v="273840.45"/>
    <n v="78322.399999999994"/>
    <n v="194942.15"/>
    <n v="187167.5"/>
    <n v="125834.15"/>
    <n v="275568.14999999997"/>
    <n v="95887.349999999991"/>
    <n v="60469.5"/>
    <n v="287374.09999999998"/>
    <n v="1856989.5499999998"/>
  </r>
  <r>
    <n v="688"/>
    <s v="Product_688"/>
    <x v="0"/>
    <n v="143.59"/>
    <n v="2.9"/>
    <n v="84"/>
    <n v="650"/>
    <n v="387"/>
    <n v="875"/>
    <n v="368"/>
    <n v="116"/>
    <n v="310"/>
    <n v="120"/>
    <n v="45"/>
    <n v="762"/>
    <n v="880"/>
    <n v="665"/>
    <n v="302"/>
    <n v="5480"/>
    <n v="93333.5"/>
    <n v="55569.33"/>
    <n v="125641.25"/>
    <n v="52841.120000000003"/>
    <n v="16656.439999999999"/>
    <n v="44512.9"/>
    <n v="17230.8"/>
    <n v="6461.55"/>
    <n v="109415.58"/>
    <n v="126359.2"/>
    <n v="95487.35"/>
    <n v="43364.18"/>
    <n v="786873.20000000007"/>
  </r>
  <r>
    <n v="689"/>
    <s v="Product_689"/>
    <x v="6"/>
    <n v="385.9"/>
    <n v="3.4"/>
    <n v="454"/>
    <n v="823"/>
    <n v="479"/>
    <n v="370"/>
    <n v="984"/>
    <n v="817"/>
    <n v="67"/>
    <n v="605"/>
    <n v="789"/>
    <n v="302"/>
    <n v="952"/>
    <n v="292"/>
    <n v="540"/>
    <n v="7020"/>
    <n v="317595.69999999995"/>
    <n v="184846.09999999998"/>
    <n v="142783"/>
    <n v="379725.6"/>
    <n v="315280.3"/>
    <n v="25855.3"/>
    <n v="233469.5"/>
    <n v="304475.09999999998"/>
    <n v="116541.79999999999"/>
    <n v="367376.8"/>
    <n v="112682.79999999999"/>
    <n v="208386"/>
    <n v="2709018"/>
  </r>
  <r>
    <n v="690"/>
    <s v="Product_690"/>
    <x v="4"/>
    <n v="97.59"/>
    <n v="4.0999999999999996"/>
    <n v="667"/>
    <n v="946"/>
    <n v="790"/>
    <n v="102"/>
    <n v="305"/>
    <n v="367"/>
    <n v="462"/>
    <n v="451"/>
    <n v="191"/>
    <n v="623"/>
    <n v="890"/>
    <n v="986"/>
    <n v="469"/>
    <n v="6582"/>
    <n v="92320.14"/>
    <n v="77096.100000000006"/>
    <n v="9954.18"/>
    <n v="29764.95"/>
    <n v="35815.53"/>
    <n v="45086.58"/>
    <n v="44013.090000000004"/>
    <n v="18639.690000000002"/>
    <n v="60798.57"/>
    <n v="86855.1"/>
    <n v="96223.74"/>
    <n v="45769.71"/>
    <n v="642337.38"/>
  </r>
  <r>
    <n v="691"/>
    <s v="Product_691"/>
    <x v="6"/>
    <n v="165.22"/>
    <n v="1.7"/>
    <n v="629"/>
    <n v="660"/>
    <n v="886"/>
    <n v="124"/>
    <n v="11"/>
    <n v="93"/>
    <n v="87"/>
    <n v="964"/>
    <n v="519"/>
    <n v="655"/>
    <n v="141"/>
    <n v="733"/>
    <n v="812"/>
    <n v="5685"/>
    <n v="109045.2"/>
    <n v="146384.92000000001"/>
    <n v="20487.28"/>
    <n v="1817.42"/>
    <n v="15365.46"/>
    <n v="14374.14"/>
    <n v="159272.07999999999"/>
    <n v="85749.18"/>
    <n v="108219.1"/>
    <n v="23296.02"/>
    <n v="121106.26"/>
    <n v="134158.63999999998"/>
    <n v="939275.7"/>
  </r>
  <r>
    <n v="692"/>
    <s v="Product_692"/>
    <x v="2"/>
    <n v="215.59"/>
    <n v="3"/>
    <n v="514"/>
    <n v="98"/>
    <n v="837"/>
    <n v="312"/>
    <n v="344"/>
    <n v="167"/>
    <n v="216"/>
    <n v="128"/>
    <n v="378"/>
    <n v="449"/>
    <n v="43"/>
    <n v="114"/>
    <n v="76"/>
    <n v="3162"/>
    <n v="21127.82"/>
    <n v="180448.83000000002"/>
    <n v="67264.08"/>
    <n v="74162.960000000006"/>
    <n v="36003.53"/>
    <n v="46567.44"/>
    <n v="27595.52"/>
    <n v="81493.02"/>
    <n v="96799.91"/>
    <n v="9270.3700000000008"/>
    <n v="24577.260000000002"/>
    <n v="16384.84"/>
    <n v="681695.58000000007"/>
  </r>
  <r>
    <n v="693"/>
    <s v="Product_693"/>
    <x v="3"/>
    <n v="256.27"/>
    <n v="2.6"/>
    <n v="605"/>
    <n v="587"/>
    <n v="983"/>
    <n v="975"/>
    <n v="464"/>
    <n v="953"/>
    <n v="0"/>
    <n v="90"/>
    <n v="787"/>
    <n v="720"/>
    <n v="143"/>
    <n v="948"/>
    <n v="520"/>
    <n v="7170"/>
    <n v="150430.49"/>
    <n v="251913.40999999997"/>
    <n v="249863.24999999997"/>
    <n v="118909.28"/>
    <n v="244225.30999999997"/>
    <n v="0"/>
    <n v="23064.3"/>
    <n v="201684.49"/>
    <n v="184514.4"/>
    <n v="36646.61"/>
    <n v="242943.96"/>
    <n v="133260.4"/>
    <n v="1837455.8999999997"/>
  </r>
  <r>
    <n v="694"/>
    <s v="Product_694"/>
    <x v="0"/>
    <n v="124.99"/>
    <n v="1.6"/>
    <n v="678"/>
    <n v="281"/>
    <n v="339"/>
    <n v="994"/>
    <n v="699"/>
    <n v="714"/>
    <n v="134"/>
    <n v="603"/>
    <n v="690"/>
    <n v="223"/>
    <n v="864"/>
    <n v="669"/>
    <n v="23"/>
    <n v="6233"/>
    <n v="35122.189999999995"/>
    <n v="42371.61"/>
    <n v="124240.06"/>
    <n v="87368.01"/>
    <n v="89242.86"/>
    <n v="16748.66"/>
    <n v="75368.97"/>
    <n v="86243.099999999991"/>
    <n v="27872.77"/>
    <n v="107991.36"/>
    <n v="83618.31"/>
    <n v="2874.77"/>
    <n v="779062.66999999993"/>
  </r>
  <r>
    <n v="695"/>
    <s v="Product_695"/>
    <x v="4"/>
    <n v="61.84"/>
    <n v="2.5"/>
    <n v="387"/>
    <n v="882"/>
    <n v="868"/>
    <n v="797"/>
    <n v="665"/>
    <n v="340"/>
    <n v="696"/>
    <n v="574"/>
    <n v="333"/>
    <n v="42"/>
    <n v="332"/>
    <n v="258"/>
    <n v="14"/>
    <n v="5801"/>
    <n v="54542.880000000005"/>
    <n v="53677.120000000003"/>
    <n v="49286.48"/>
    <n v="41123.600000000006"/>
    <n v="21025.600000000002"/>
    <n v="43040.639999999999"/>
    <n v="35496.160000000003"/>
    <n v="20592.72"/>
    <n v="2597.2800000000002"/>
    <n v="20530.88"/>
    <n v="15954.720000000001"/>
    <n v="865.76"/>
    <n v="358733.83999999997"/>
  </r>
  <r>
    <n v="696"/>
    <s v="Product_696"/>
    <x v="6"/>
    <n v="307.26"/>
    <n v="1.3"/>
    <n v="912"/>
    <n v="402"/>
    <n v="339"/>
    <n v="457"/>
    <n v="493"/>
    <n v="660"/>
    <n v="350"/>
    <n v="28"/>
    <n v="38"/>
    <n v="263"/>
    <n v="997"/>
    <n v="762"/>
    <n v="675"/>
    <n v="5464"/>
    <n v="123518.51999999999"/>
    <n v="104161.14"/>
    <n v="140417.82"/>
    <n v="151479.18"/>
    <n v="202791.6"/>
    <n v="107541"/>
    <n v="8603.2799999999988"/>
    <n v="11675.88"/>
    <n v="80809.38"/>
    <n v="306338.21999999997"/>
    <n v="234132.12"/>
    <n v="207400.5"/>
    <n v="1678868.6400000001"/>
  </r>
  <r>
    <n v="697"/>
    <s v="Product_697"/>
    <x v="2"/>
    <n v="147.87"/>
    <n v="1.1000000000000001"/>
    <n v="350"/>
    <n v="108"/>
    <n v="203"/>
    <n v="229"/>
    <n v="367"/>
    <n v="913"/>
    <n v="139"/>
    <n v="721"/>
    <n v="292"/>
    <n v="755"/>
    <n v="496"/>
    <n v="121"/>
    <n v="524"/>
    <n v="4868"/>
    <n v="15969.960000000001"/>
    <n v="30017.61"/>
    <n v="33862.230000000003"/>
    <n v="54268.29"/>
    <n v="135005.31"/>
    <n v="20553.93"/>
    <n v="106614.27"/>
    <n v="43178.04"/>
    <n v="111641.85"/>
    <n v="73343.520000000004"/>
    <n v="17892.27"/>
    <n v="77483.88"/>
    <n v="719831.16"/>
  </r>
  <r>
    <n v="698"/>
    <s v="Product_698"/>
    <x v="6"/>
    <n v="292.70999999999998"/>
    <n v="1.5"/>
    <n v="296"/>
    <n v="699"/>
    <n v="160"/>
    <n v="657"/>
    <n v="845"/>
    <n v="694"/>
    <n v="617"/>
    <n v="523"/>
    <n v="689"/>
    <n v="2"/>
    <n v="395"/>
    <n v="298"/>
    <n v="346"/>
    <n v="5925"/>
    <n v="204604.28999999998"/>
    <n v="46833.599999999999"/>
    <n v="192310.46999999997"/>
    <n v="247339.94999999998"/>
    <n v="203140.74"/>
    <n v="180602.06999999998"/>
    <n v="153087.32999999999"/>
    <n v="201677.18999999997"/>
    <n v="585.41999999999996"/>
    <n v="115620.45"/>
    <n v="87227.579999999987"/>
    <n v="101277.65999999999"/>
    <n v="1734306.7499999998"/>
  </r>
  <r>
    <n v="699"/>
    <s v="Product_699"/>
    <x v="0"/>
    <n v="81.41"/>
    <n v="4.9000000000000004"/>
    <n v="258"/>
    <n v="198"/>
    <n v="539"/>
    <n v="881"/>
    <n v="936"/>
    <n v="924"/>
    <n v="132"/>
    <n v="332"/>
    <n v="161"/>
    <n v="636"/>
    <n v="54"/>
    <n v="774"/>
    <n v="171"/>
    <n v="5738"/>
    <n v="16119.179999999998"/>
    <n v="43879.99"/>
    <n v="71722.209999999992"/>
    <n v="76199.759999999995"/>
    <n v="75222.84"/>
    <n v="10746.119999999999"/>
    <n v="27028.12"/>
    <n v="13107.01"/>
    <n v="51776.759999999995"/>
    <n v="4396.1399999999994"/>
    <n v="63011.34"/>
    <n v="13921.109999999999"/>
    <n v="467130.57999999996"/>
  </r>
  <r>
    <n v="700"/>
    <s v="Product_700"/>
    <x v="0"/>
    <n v="243.16"/>
    <n v="3.2"/>
    <n v="81"/>
    <n v="302"/>
    <n v="391"/>
    <n v="196"/>
    <n v="419"/>
    <n v="151"/>
    <n v="619"/>
    <n v="296"/>
    <n v="330"/>
    <n v="267"/>
    <n v="306"/>
    <n v="380"/>
    <n v="868"/>
    <n v="4525"/>
    <n v="73434.319999999992"/>
    <n v="95075.56"/>
    <n v="47659.360000000001"/>
    <n v="101884.04"/>
    <n v="36717.159999999996"/>
    <n v="150516.04"/>
    <n v="71975.360000000001"/>
    <n v="80242.8"/>
    <n v="64923.72"/>
    <n v="74406.959999999992"/>
    <n v="92400.8"/>
    <n v="211062.88"/>
    <n v="1100299"/>
  </r>
  <r>
    <n v="701"/>
    <s v="Product_701"/>
    <x v="3"/>
    <n v="268.63"/>
    <n v="4.9000000000000004"/>
    <n v="937"/>
    <n v="326"/>
    <n v="768"/>
    <n v="884"/>
    <n v="888"/>
    <n v="585"/>
    <n v="177"/>
    <n v="129"/>
    <n v="885"/>
    <n v="595"/>
    <n v="869"/>
    <n v="560"/>
    <n v="326"/>
    <n v="6992"/>
    <n v="87573.38"/>
    <n v="206307.84"/>
    <n v="237468.91999999998"/>
    <n v="238543.44"/>
    <n v="157148.54999999999"/>
    <n v="47547.51"/>
    <n v="34653.269999999997"/>
    <n v="237737.55"/>
    <n v="159834.85"/>
    <n v="233439.47"/>
    <n v="150432.79999999999"/>
    <n v="87573.38"/>
    <n v="1878260.96"/>
  </r>
  <r>
    <n v="702"/>
    <s v="Product_702"/>
    <x v="4"/>
    <n v="30.65"/>
    <n v="2.7"/>
    <n v="268"/>
    <n v="153"/>
    <n v="676"/>
    <n v="732"/>
    <n v="790"/>
    <n v="876"/>
    <n v="809"/>
    <n v="292"/>
    <n v="103"/>
    <n v="15"/>
    <n v="422"/>
    <n v="888"/>
    <n v="711"/>
    <n v="6467"/>
    <n v="4689.45"/>
    <n v="20719.399999999998"/>
    <n v="22435.8"/>
    <n v="24213.5"/>
    <n v="26849.399999999998"/>
    <n v="24795.85"/>
    <n v="8949.7999999999993"/>
    <n v="3156.95"/>
    <n v="459.75"/>
    <n v="12934.3"/>
    <n v="27217.199999999997"/>
    <n v="21792.149999999998"/>
    <n v="198213.54999999996"/>
  </r>
  <r>
    <n v="703"/>
    <s v="Product_703"/>
    <x v="1"/>
    <n v="171.62"/>
    <n v="2.2000000000000002"/>
    <n v="419"/>
    <n v="551"/>
    <n v="574"/>
    <n v="422"/>
    <n v="170"/>
    <n v="912"/>
    <n v="357"/>
    <n v="172"/>
    <n v="160"/>
    <n v="333"/>
    <n v="416"/>
    <n v="840"/>
    <n v="484"/>
    <n v="5391"/>
    <n v="94562.62"/>
    <n v="98509.88"/>
    <n v="72423.64"/>
    <n v="29175.4"/>
    <n v="156517.44"/>
    <n v="61268.340000000004"/>
    <n v="29518.639999999999"/>
    <n v="27459.200000000001"/>
    <n v="57149.46"/>
    <n v="71393.919999999998"/>
    <n v="144160.80000000002"/>
    <n v="83064.08"/>
    <n v="925203.42"/>
  </r>
  <r>
    <n v="704"/>
    <s v="Product_704"/>
    <x v="6"/>
    <n v="71.540000000000006"/>
    <n v="3"/>
    <n v="235"/>
    <n v="644"/>
    <n v="533"/>
    <n v="571"/>
    <n v="133"/>
    <n v="273"/>
    <n v="379"/>
    <n v="719"/>
    <n v="798"/>
    <n v="463"/>
    <n v="672"/>
    <n v="500"/>
    <n v="488"/>
    <n v="6173"/>
    <n v="46071.76"/>
    <n v="38130.82"/>
    <n v="40849.340000000004"/>
    <n v="9514.8200000000015"/>
    <n v="19530.420000000002"/>
    <n v="27113.660000000003"/>
    <n v="51437.26"/>
    <n v="57088.920000000006"/>
    <n v="33123.020000000004"/>
    <n v="48074.880000000005"/>
    <n v="35770"/>
    <n v="34911.520000000004"/>
    <n v="441616.4200000001"/>
  </r>
  <r>
    <n v="705"/>
    <s v="Product_705"/>
    <x v="0"/>
    <n v="36.369999999999997"/>
    <n v="2.8"/>
    <n v="833"/>
    <n v="404"/>
    <n v="69"/>
    <n v="609"/>
    <n v="964"/>
    <n v="553"/>
    <n v="907"/>
    <n v="943"/>
    <n v="634"/>
    <n v="58"/>
    <n v="796"/>
    <n v="296"/>
    <n v="461"/>
    <n v="6694"/>
    <n v="14693.48"/>
    <n v="2509.5299999999997"/>
    <n v="22149.329999999998"/>
    <n v="35060.68"/>
    <n v="20112.609999999997"/>
    <n v="32987.589999999997"/>
    <n v="34296.909999999996"/>
    <n v="23058.579999999998"/>
    <n v="2109.46"/>
    <n v="28950.519999999997"/>
    <n v="10765.519999999999"/>
    <n v="16766.57"/>
    <n v="243460.77999999994"/>
  </r>
  <r>
    <n v="706"/>
    <s v="Product_706"/>
    <x v="2"/>
    <n v="495.03"/>
    <n v="1.4"/>
    <n v="311"/>
    <n v="461"/>
    <n v="892"/>
    <n v="170"/>
    <n v="426"/>
    <n v="495"/>
    <n v="870"/>
    <n v="23"/>
    <n v="53"/>
    <n v="176"/>
    <n v="324"/>
    <n v="361"/>
    <n v="377"/>
    <n v="4628"/>
    <n v="228208.83"/>
    <n v="441566.75999999995"/>
    <n v="84155.099999999991"/>
    <n v="210882.78"/>
    <n v="245039.84999999998"/>
    <n v="430676.1"/>
    <n v="11385.689999999999"/>
    <n v="26236.59"/>
    <n v="87125.28"/>
    <n v="160389.72"/>
    <n v="178705.83"/>
    <n v="186626.31"/>
    <n v="2290998.84"/>
  </r>
  <r>
    <n v="707"/>
    <s v="Product_707"/>
    <x v="6"/>
    <n v="164.57"/>
    <n v="3.6"/>
    <n v="813"/>
    <n v="131"/>
    <n v="404"/>
    <n v="381"/>
    <n v="24"/>
    <n v="723"/>
    <n v="657"/>
    <n v="98"/>
    <n v="939"/>
    <n v="62"/>
    <n v="709"/>
    <n v="588"/>
    <n v="587"/>
    <n v="5303"/>
    <n v="21558.67"/>
    <n v="66486.28"/>
    <n v="62701.17"/>
    <n v="3949.68"/>
    <n v="118984.11"/>
    <n v="108122.48999999999"/>
    <n v="16127.859999999999"/>
    <n v="154531.22999999998"/>
    <n v="10203.34"/>
    <n v="116680.12999999999"/>
    <n v="96767.159999999989"/>
    <n v="96602.59"/>
    <n v="872714.71"/>
  </r>
  <r>
    <n v="708"/>
    <s v="Product_708"/>
    <x v="3"/>
    <n v="405.89"/>
    <n v="1.9"/>
    <n v="975"/>
    <n v="790"/>
    <n v="607"/>
    <n v="172"/>
    <n v="529"/>
    <n v="100"/>
    <n v="449"/>
    <n v="405"/>
    <n v="33"/>
    <n v="957"/>
    <n v="670"/>
    <n v="462"/>
    <n v="163"/>
    <n v="5337"/>
    <n v="320653.09999999998"/>
    <n v="246375.22999999998"/>
    <n v="69813.08"/>
    <n v="214715.81"/>
    <n v="40589"/>
    <n v="182244.61"/>
    <n v="164385.44999999998"/>
    <n v="13394.369999999999"/>
    <n v="388436.73"/>
    <n v="271946.3"/>
    <n v="187521.18"/>
    <n v="66160.069999999992"/>
    <n v="2166234.9300000002"/>
  </r>
  <r>
    <n v="709"/>
    <s v="Product_709"/>
    <x v="3"/>
    <n v="131.05000000000001"/>
    <n v="3.5"/>
    <n v="986"/>
    <n v="873"/>
    <n v="674"/>
    <n v="662"/>
    <n v="189"/>
    <n v="556"/>
    <n v="585"/>
    <n v="355"/>
    <n v="241"/>
    <n v="560"/>
    <n v="79"/>
    <n v="437"/>
    <n v="371"/>
    <n v="5582"/>
    <n v="114406.65000000001"/>
    <n v="88327.700000000012"/>
    <n v="86755.1"/>
    <n v="24768.45"/>
    <n v="72863.8"/>
    <n v="76664.25"/>
    <n v="46522.750000000007"/>
    <n v="31583.050000000003"/>
    <n v="73388"/>
    <n v="10352.950000000001"/>
    <n v="57268.850000000006"/>
    <n v="48619.55"/>
    <n v="731521.10000000009"/>
  </r>
  <r>
    <n v="710"/>
    <s v="Product_710"/>
    <x v="0"/>
    <n v="342.34"/>
    <n v="3.6"/>
    <n v="357"/>
    <n v="83"/>
    <n v="590"/>
    <n v="452"/>
    <n v="140"/>
    <n v="81"/>
    <n v="462"/>
    <n v="138"/>
    <n v="966"/>
    <n v="306"/>
    <n v="30"/>
    <n v="126"/>
    <n v="572"/>
    <n v="3946"/>
    <n v="28414.219999999998"/>
    <n v="201980.59999999998"/>
    <n v="154737.68"/>
    <n v="47927.6"/>
    <n v="27729.539999999997"/>
    <n v="158161.07999999999"/>
    <n v="47242.92"/>
    <n v="330700.44"/>
    <n v="104756.04"/>
    <n v="10270.199999999999"/>
    <n v="43134.84"/>
    <n v="195818.47999999998"/>
    <n v="1350873.6400000001"/>
  </r>
  <r>
    <n v="711"/>
    <s v="Product_711"/>
    <x v="0"/>
    <n v="381.31"/>
    <n v="1.6"/>
    <n v="213"/>
    <n v="398"/>
    <n v="516"/>
    <n v="349"/>
    <n v="554"/>
    <n v="528"/>
    <n v="989"/>
    <n v="502"/>
    <n v="889"/>
    <n v="245"/>
    <n v="984"/>
    <n v="196"/>
    <n v="999"/>
    <n v="7149"/>
    <n v="151761.38"/>
    <n v="196755.96"/>
    <n v="133077.19"/>
    <n v="211245.74"/>
    <n v="201331.68"/>
    <n v="377115.59"/>
    <n v="191417.62"/>
    <n v="338984.59"/>
    <n v="93420.95"/>
    <n v="375209.04"/>
    <n v="74736.759999999995"/>
    <n v="380928.69"/>
    <n v="2725985.19"/>
  </r>
  <r>
    <n v="712"/>
    <s v="Product_712"/>
    <x v="0"/>
    <n v="299.83999999999997"/>
    <n v="1.2"/>
    <n v="574"/>
    <n v="753"/>
    <n v="827"/>
    <n v="901"/>
    <n v="845"/>
    <n v="72"/>
    <n v="107"/>
    <n v="825"/>
    <n v="112"/>
    <n v="288"/>
    <n v="111"/>
    <n v="220"/>
    <n v="976"/>
    <n v="6037"/>
    <n v="225779.52"/>
    <n v="247967.68"/>
    <n v="270155.83999999997"/>
    <n v="253364.8"/>
    <n v="21588.48"/>
    <n v="32082.879999999997"/>
    <n v="247367.99999999997"/>
    <n v="33582.079999999994"/>
    <n v="86353.919999999998"/>
    <n v="33282.239999999998"/>
    <n v="65964.799999999988"/>
    <n v="292643.83999999997"/>
    <n v="1810134.0799999996"/>
  </r>
  <r>
    <n v="713"/>
    <s v="Product_713"/>
    <x v="5"/>
    <n v="238.43"/>
    <n v="4.0999999999999996"/>
    <n v="49"/>
    <n v="627"/>
    <n v="119"/>
    <n v="951"/>
    <n v="795"/>
    <n v="13"/>
    <n v="121"/>
    <n v="173"/>
    <n v="317"/>
    <n v="797"/>
    <n v="557"/>
    <n v="994"/>
    <n v="423"/>
    <n v="5887"/>
    <n v="149495.61000000002"/>
    <n v="28373.170000000002"/>
    <n v="226746.93"/>
    <n v="189551.85"/>
    <n v="3099.59"/>
    <n v="28850.030000000002"/>
    <n v="41248.39"/>
    <n v="75582.31"/>
    <n v="190028.71"/>
    <n v="132805.51"/>
    <n v="236999.42"/>
    <n v="100855.89"/>
    <n v="1403637.41"/>
  </r>
  <r>
    <n v="714"/>
    <s v="Product_714"/>
    <x v="1"/>
    <n v="208.86"/>
    <n v="2.8"/>
    <n v="127"/>
    <n v="108"/>
    <n v="813"/>
    <n v="633"/>
    <n v="657"/>
    <n v="432"/>
    <n v="16"/>
    <n v="28"/>
    <n v="22"/>
    <n v="954"/>
    <n v="864"/>
    <n v="90"/>
    <n v="756"/>
    <n v="5373"/>
    <n v="22556.880000000001"/>
    <n v="169803.18000000002"/>
    <n v="132208.38"/>
    <n v="137221.02000000002"/>
    <n v="90227.520000000004"/>
    <n v="3341.76"/>
    <n v="5848.08"/>
    <n v="4594.92"/>
    <n v="199252.44"/>
    <n v="180455.04000000001"/>
    <n v="18797.400000000001"/>
    <n v="157898.16"/>
    <n v="1122204.7800000003"/>
  </r>
  <r>
    <n v="715"/>
    <s v="Product_715"/>
    <x v="0"/>
    <n v="177.69"/>
    <n v="1.2"/>
    <n v="223"/>
    <n v="220"/>
    <n v="689"/>
    <n v="493"/>
    <n v="314"/>
    <n v="156"/>
    <n v="195"/>
    <n v="930"/>
    <n v="557"/>
    <n v="331"/>
    <n v="716"/>
    <n v="410"/>
    <n v="476"/>
    <n v="5487"/>
    <n v="39091.800000000003"/>
    <n v="122428.41"/>
    <n v="87601.17"/>
    <n v="55794.659999999996"/>
    <n v="27719.64"/>
    <n v="34649.550000000003"/>
    <n v="165251.70000000001"/>
    <n v="98973.33"/>
    <n v="58815.39"/>
    <n v="127226.04"/>
    <n v="72852.899999999994"/>
    <n v="84580.44"/>
    <n v="974985.03"/>
  </r>
  <r>
    <n v="716"/>
    <s v="Product_716"/>
    <x v="6"/>
    <n v="465.12"/>
    <n v="5"/>
    <n v="921"/>
    <n v="903"/>
    <n v="687"/>
    <n v="619"/>
    <n v="443"/>
    <n v="734"/>
    <n v="326"/>
    <n v="495"/>
    <n v="823"/>
    <n v="526"/>
    <n v="563"/>
    <n v="7"/>
    <n v="381"/>
    <n v="6507"/>
    <n v="420003.36"/>
    <n v="319537.44"/>
    <n v="287909.28000000003"/>
    <n v="206048.16"/>
    <n v="341398.08"/>
    <n v="151629.12"/>
    <n v="230234.4"/>
    <n v="382793.76"/>
    <n v="244653.12"/>
    <n v="261862.56"/>
    <n v="3255.84"/>
    <n v="177210.72"/>
    <n v="3026535.84"/>
  </r>
  <r>
    <n v="717"/>
    <s v="Product_717"/>
    <x v="6"/>
    <n v="416.16"/>
    <n v="1.2"/>
    <n v="279"/>
    <n v="552"/>
    <n v="901"/>
    <n v="3"/>
    <n v="318"/>
    <n v="131"/>
    <n v="317"/>
    <n v="654"/>
    <n v="646"/>
    <n v="849"/>
    <n v="649"/>
    <n v="543"/>
    <n v="154"/>
    <n v="5717"/>
    <n v="229720.32000000001"/>
    <n v="374960.16000000003"/>
    <n v="1248.48"/>
    <n v="132338.88"/>
    <n v="54516.960000000006"/>
    <n v="131922.72"/>
    <n v="272168.64"/>
    <n v="268839.36000000004"/>
    <n v="353319.84"/>
    <n v="270087.84000000003"/>
    <n v="225974.88"/>
    <n v="64088.640000000007"/>
    <n v="2379186.7200000002"/>
  </r>
  <r>
    <n v="718"/>
    <s v="Product_718"/>
    <x v="5"/>
    <n v="482.69"/>
    <n v="3.8"/>
    <n v="408"/>
    <n v="367"/>
    <n v="216"/>
    <n v="92"/>
    <n v="440"/>
    <n v="337"/>
    <n v="808"/>
    <n v="827"/>
    <n v="117"/>
    <n v="254"/>
    <n v="471"/>
    <n v="467"/>
    <n v="256"/>
    <n v="4652"/>
    <n v="177147.23"/>
    <n v="104261.04"/>
    <n v="44407.48"/>
    <n v="212383.6"/>
    <n v="162666.53"/>
    <n v="390013.52"/>
    <n v="399184.63"/>
    <n v="56474.73"/>
    <n v="122603.26"/>
    <n v="227346.99"/>
    <n v="225416.23"/>
    <n v="123568.64"/>
    <n v="2245473.88"/>
  </r>
  <r>
    <n v="719"/>
    <s v="Product_719"/>
    <x v="5"/>
    <n v="66.53"/>
    <n v="4.9000000000000004"/>
    <n v="505"/>
    <n v="146"/>
    <n v="55"/>
    <n v="918"/>
    <n v="91"/>
    <n v="403"/>
    <n v="478"/>
    <n v="350"/>
    <n v="984"/>
    <n v="603"/>
    <n v="73"/>
    <n v="319"/>
    <n v="755"/>
    <n v="5175"/>
    <n v="9713.380000000001"/>
    <n v="3659.15"/>
    <n v="61074.54"/>
    <n v="6054.2300000000005"/>
    <n v="26811.59"/>
    <n v="31801.34"/>
    <n v="23285.5"/>
    <n v="65465.520000000004"/>
    <n v="40117.590000000004"/>
    <n v="4856.6900000000005"/>
    <n v="21223.07"/>
    <n v="50230.15"/>
    <n v="344292.75000000006"/>
  </r>
  <r>
    <n v="720"/>
    <s v="Product_720"/>
    <x v="4"/>
    <n v="366.78"/>
    <n v="2"/>
    <n v="294"/>
    <n v="111"/>
    <n v="365"/>
    <n v="5"/>
    <n v="178"/>
    <n v="375"/>
    <n v="251"/>
    <n v="553"/>
    <n v="700"/>
    <n v="509"/>
    <n v="552"/>
    <n v="393"/>
    <n v="673"/>
    <n v="4665"/>
    <n v="40712.579999999994"/>
    <n v="133874.69999999998"/>
    <n v="1833.8999999999999"/>
    <n v="65286.84"/>
    <n v="137542.5"/>
    <n v="92061.78"/>
    <n v="202829.34"/>
    <n v="256745.99999999997"/>
    <n v="186691.02"/>
    <n v="202462.56"/>
    <n v="144144.53999999998"/>
    <n v="246842.93999999997"/>
    <n v="1711028.7"/>
  </r>
  <r>
    <n v="721"/>
    <s v="Product_721"/>
    <x v="2"/>
    <n v="469.48"/>
    <n v="1.6"/>
    <n v="796"/>
    <n v="614"/>
    <n v="698"/>
    <n v="287"/>
    <n v="55"/>
    <n v="887"/>
    <n v="502"/>
    <n v="1000"/>
    <n v="642"/>
    <n v="790"/>
    <n v="478"/>
    <n v="268"/>
    <n v="67"/>
    <n v="6288"/>
    <n v="288260.72000000003"/>
    <n v="327697.04000000004"/>
    <n v="134740.76"/>
    <n v="25821.4"/>
    <n v="416428.76"/>
    <n v="235678.96000000002"/>
    <n v="469480"/>
    <n v="301406.16000000003"/>
    <n v="370889.2"/>
    <n v="224411.44"/>
    <n v="125820.64"/>
    <n v="31455.16"/>
    <n v="2952090.2400000007"/>
  </r>
  <r>
    <n v="722"/>
    <s v="Product_722"/>
    <x v="0"/>
    <n v="94.71"/>
    <n v="1.5"/>
    <n v="277"/>
    <n v="557"/>
    <n v="503"/>
    <n v="617"/>
    <n v="154"/>
    <n v="558"/>
    <n v="998"/>
    <n v="298"/>
    <n v="933"/>
    <n v="717"/>
    <n v="588"/>
    <n v="190"/>
    <n v="343"/>
    <n v="6456"/>
    <n v="52753.469999999994"/>
    <n v="47639.13"/>
    <n v="58436.07"/>
    <n v="14585.339999999998"/>
    <n v="52848.179999999993"/>
    <n v="94520.579999999987"/>
    <n v="28223.579999999998"/>
    <n v="88364.43"/>
    <n v="67907.069999999992"/>
    <n v="55689.479999999996"/>
    <n v="17994.899999999998"/>
    <n v="32485.53"/>
    <n v="611447.76"/>
  </r>
  <r>
    <n v="723"/>
    <s v="Product_723"/>
    <x v="6"/>
    <n v="37.92"/>
    <n v="2.2000000000000002"/>
    <n v="438"/>
    <n v="923"/>
    <n v="743"/>
    <n v="145"/>
    <n v="671"/>
    <n v="106"/>
    <n v="118"/>
    <n v="719"/>
    <n v="211"/>
    <n v="605"/>
    <n v="386"/>
    <n v="860"/>
    <n v="276"/>
    <n v="5763"/>
    <n v="35000.160000000003"/>
    <n v="28174.560000000001"/>
    <n v="5498.4000000000005"/>
    <n v="25444.32"/>
    <n v="4019.52"/>
    <n v="4474.5600000000004"/>
    <n v="27264.48"/>
    <n v="8001.1200000000008"/>
    <n v="22941.600000000002"/>
    <n v="14637.12"/>
    <n v="32611.200000000001"/>
    <n v="10465.92"/>
    <n v="218532.96000000002"/>
  </r>
  <r>
    <n v="724"/>
    <s v="Product_724"/>
    <x v="5"/>
    <n v="371.85"/>
    <n v="1.4"/>
    <n v="107"/>
    <n v="493"/>
    <n v="766"/>
    <n v="782"/>
    <n v="110"/>
    <n v="619"/>
    <n v="673"/>
    <n v="841"/>
    <n v="417"/>
    <n v="736"/>
    <n v="698"/>
    <n v="674"/>
    <n v="672"/>
    <n v="7481"/>
    <n v="183322.05000000002"/>
    <n v="284837.10000000003"/>
    <n v="290786.7"/>
    <n v="40903.5"/>
    <n v="230175.15000000002"/>
    <n v="250255.05000000002"/>
    <n v="312725.85000000003"/>
    <n v="155061.45000000001"/>
    <n v="273681.60000000003"/>
    <n v="259551.30000000002"/>
    <n v="250626.90000000002"/>
    <n v="249883.2"/>
    <n v="2781809.85"/>
  </r>
  <r>
    <n v="725"/>
    <s v="Product_725"/>
    <x v="6"/>
    <n v="289.36"/>
    <n v="3.8"/>
    <n v="658"/>
    <n v="504"/>
    <n v="924"/>
    <n v="423"/>
    <n v="136"/>
    <n v="264"/>
    <n v="709"/>
    <n v="944"/>
    <n v="112"/>
    <n v="812"/>
    <n v="881"/>
    <n v="60"/>
    <n v="390"/>
    <n v="6159"/>
    <n v="145837.44"/>
    <n v="267368.64"/>
    <n v="122399.28"/>
    <n v="39352.959999999999"/>
    <n v="76391.040000000008"/>
    <n v="205156.24000000002"/>
    <n v="273155.84000000003"/>
    <n v="32408.32"/>
    <n v="234960.32"/>
    <n v="254926.16"/>
    <n v="17361.600000000002"/>
    <n v="112850.40000000001"/>
    <n v="1782168.24"/>
  </r>
  <r>
    <n v="726"/>
    <s v="Product_726"/>
    <x v="6"/>
    <n v="421.71"/>
    <n v="1.2"/>
    <n v="420"/>
    <n v="474"/>
    <n v="454"/>
    <n v="889"/>
    <n v="231"/>
    <n v="204"/>
    <n v="497"/>
    <n v="191"/>
    <n v="43"/>
    <n v="829"/>
    <n v="563"/>
    <n v="437"/>
    <n v="448"/>
    <n v="5260"/>
    <n v="199890.53999999998"/>
    <n v="191456.34"/>
    <n v="374900.19"/>
    <n v="97415.01"/>
    <n v="86028.84"/>
    <n v="209589.87"/>
    <n v="80546.61"/>
    <n v="18133.53"/>
    <n v="349597.58999999997"/>
    <n v="237422.72999999998"/>
    <n v="184287.27"/>
    <n v="188926.07999999999"/>
    <n v="2218194.6"/>
  </r>
  <r>
    <n v="727"/>
    <s v="Product_727"/>
    <x v="5"/>
    <n v="74.19"/>
    <n v="3"/>
    <n v="611"/>
    <n v="835"/>
    <n v="103"/>
    <n v="607"/>
    <n v="991"/>
    <n v="78"/>
    <n v="485"/>
    <n v="671"/>
    <n v="127"/>
    <n v="462"/>
    <n v="929"/>
    <n v="263"/>
    <n v="1000"/>
    <n v="6551"/>
    <n v="61948.65"/>
    <n v="7641.57"/>
    <n v="45033.33"/>
    <n v="73522.289999999994"/>
    <n v="5786.82"/>
    <n v="35982.15"/>
    <n v="49781.49"/>
    <n v="9422.1299999999992"/>
    <n v="34275.78"/>
    <n v="68922.509999999995"/>
    <n v="19511.97"/>
    <n v="74190"/>
    <n v="486018.68999999994"/>
  </r>
  <r>
    <n v="728"/>
    <s v="Product_728"/>
    <x v="1"/>
    <n v="398.66"/>
    <n v="5"/>
    <n v="429"/>
    <n v="889"/>
    <n v="76"/>
    <n v="456"/>
    <n v="467"/>
    <n v="154"/>
    <n v="44"/>
    <n v="63"/>
    <n v="875"/>
    <n v="198"/>
    <n v="432"/>
    <n v="796"/>
    <n v="258"/>
    <n v="4708"/>
    <n v="354408.74000000005"/>
    <n v="30298.160000000003"/>
    <n v="181788.96000000002"/>
    <n v="186174.22"/>
    <n v="61393.640000000007"/>
    <n v="17541.04"/>
    <n v="25115.58"/>
    <n v="348827.5"/>
    <n v="78934.680000000008"/>
    <n v="172221.12000000002"/>
    <n v="317333.36000000004"/>
    <n v="102854.28000000001"/>
    <n v="1876891.2800000003"/>
  </r>
  <r>
    <n v="729"/>
    <s v="Product_729"/>
    <x v="5"/>
    <n v="104.81"/>
    <n v="4.3"/>
    <n v="375"/>
    <n v="270"/>
    <n v="229"/>
    <n v="740"/>
    <n v="731"/>
    <n v="782"/>
    <n v="313"/>
    <n v="754"/>
    <n v="157"/>
    <n v="270"/>
    <n v="411"/>
    <n v="94"/>
    <n v="306"/>
    <n v="5057"/>
    <n v="28298.7"/>
    <n v="24001.49"/>
    <n v="77559.400000000009"/>
    <n v="76616.11"/>
    <n v="81961.42"/>
    <n v="32805.53"/>
    <n v="79026.740000000005"/>
    <n v="16455.170000000002"/>
    <n v="28298.7"/>
    <n v="43076.91"/>
    <n v="9852.14"/>
    <n v="32071.86"/>
    <n v="530024.17000000004"/>
  </r>
  <r>
    <n v="730"/>
    <s v="Product_730"/>
    <x v="5"/>
    <n v="86.01"/>
    <n v="3.5"/>
    <n v="73"/>
    <n v="994"/>
    <n v="913"/>
    <n v="201"/>
    <n v="480"/>
    <n v="987"/>
    <n v="178"/>
    <n v="769"/>
    <n v="784"/>
    <n v="745"/>
    <n v="466"/>
    <n v="552"/>
    <n v="846"/>
    <n v="7915"/>
    <n v="85493.94"/>
    <n v="78527.13"/>
    <n v="17288.010000000002"/>
    <n v="41284.800000000003"/>
    <n v="84891.87000000001"/>
    <n v="15309.78"/>
    <n v="66141.69"/>
    <n v="67431.840000000011"/>
    <n v="64077.450000000004"/>
    <n v="40080.660000000003"/>
    <n v="47477.520000000004"/>
    <n v="72764.460000000006"/>
    <n v="680769.15"/>
  </r>
  <r>
    <n v="731"/>
    <s v="Product_731"/>
    <x v="2"/>
    <n v="86.31"/>
    <n v="2.2000000000000002"/>
    <n v="949"/>
    <n v="420"/>
    <n v="257"/>
    <n v="211"/>
    <n v="67"/>
    <n v="996"/>
    <n v="893"/>
    <n v="663"/>
    <n v="826"/>
    <n v="557"/>
    <n v="598"/>
    <n v="925"/>
    <n v="94"/>
    <n v="6507"/>
    <n v="36250.200000000004"/>
    <n v="22181.670000000002"/>
    <n v="18211.41"/>
    <n v="5782.77"/>
    <n v="85964.760000000009"/>
    <n v="77074.83"/>
    <n v="57223.53"/>
    <n v="71292.06"/>
    <n v="48074.67"/>
    <n v="51613.380000000005"/>
    <n v="79836.75"/>
    <n v="8113.14"/>
    <n v="561619.17000000004"/>
  </r>
  <r>
    <n v="732"/>
    <s v="Product_732"/>
    <x v="5"/>
    <n v="408.21"/>
    <n v="3.5"/>
    <n v="998"/>
    <n v="896"/>
    <n v="263"/>
    <n v="5"/>
    <n v="813"/>
    <n v="246"/>
    <n v="417"/>
    <n v="214"/>
    <n v="393"/>
    <n v="63"/>
    <n v="620"/>
    <n v="469"/>
    <n v="949"/>
    <n v="5348"/>
    <n v="365756.15999999997"/>
    <n v="107359.23"/>
    <n v="2041.05"/>
    <n v="331874.73"/>
    <n v="100419.65999999999"/>
    <n v="170223.56999999998"/>
    <n v="87356.94"/>
    <n v="160426.53"/>
    <n v="25717.23"/>
    <n v="253090.19999999998"/>
    <n v="191450.49"/>
    <n v="387391.29"/>
    <n v="2183107.0799999996"/>
  </r>
  <r>
    <n v="733"/>
    <s v="Product_733"/>
    <x v="3"/>
    <n v="334.27"/>
    <n v="3.1"/>
    <n v="634"/>
    <n v="706"/>
    <n v="330"/>
    <n v="623"/>
    <n v="248"/>
    <n v="530"/>
    <n v="555"/>
    <n v="833"/>
    <n v="866"/>
    <n v="229"/>
    <n v="991"/>
    <n v="660"/>
    <n v="463"/>
    <n v="7034"/>
    <n v="235994.62"/>
    <n v="110309.09999999999"/>
    <n v="208250.21"/>
    <n v="82898.959999999992"/>
    <n v="177163.09999999998"/>
    <n v="185519.84999999998"/>
    <n v="278446.90999999997"/>
    <n v="289477.82"/>
    <n v="76547.83"/>
    <n v="331261.57"/>
    <n v="220618.19999999998"/>
    <n v="154767.00999999998"/>
    <n v="2351255.1799999997"/>
  </r>
  <r>
    <n v="734"/>
    <s v="Product_734"/>
    <x v="5"/>
    <n v="263.92"/>
    <n v="2.7"/>
    <n v="30"/>
    <n v="366"/>
    <n v="992"/>
    <n v="375"/>
    <n v="993"/>
    <n v="857"/>
    <n v="782"/>
    <n v="165"/>
    <n v="851"/>
    <n v="941"/>
    <n v="908"/>
    <n v="715"/>
    <n v="969"/>
    <n v="8914"/>
    <n v="96594.72"/>
    <n v="261808.64000000001"/>
    <n v="98970"/>
    <n v="262072.56000000003"/>
    <n v="226179.44"/>
    <n v="206385.44"/>
    <n v="43546.8"/>
    <n v="224595.92"/>
    <n v="248348.72"/>
    <n v="239639.36000000002"/>
    <n v="188702.80000000002"/>
    <n v="255738.48"/>
    <n v="2352582.8800000004"/>
  </r>
  <r>
    <n v="735"/>
    <s v="Product_735"/>
    <x v="6"/>
    <n v="182.62"/>
    <n v="1.5"/>
    <n v="188"/>
    <n v="279"/>
    <n v="181"/>
    <n v="890"/>
    <n v="322"/>
    <n v="947"/>
    <n v="77"/>
    <n v="542"/>
    <n v="511"/>
    <n v="951"/>
    <n v="736"/>
    <n v="778"/>
    <n v="245"/>
    <n v="6459"/>
    <n v="50950.98"/>
    <n v="33054.22"/>
    <n v="162531.80000000002"/>
    <n v="58803.64"/>
    <n v="172941.14"/>
    <n v="14061.74"/>
    <n v="98980.040000000008"/>
    <n v="93318.82"/>
    <n v="173671.62"/>
    <n v="134408.32000000001"/>
    <n v="142078.36000000002"/>
    <n v="44741.9"/>
    <n v="1179542.58"/>
  </r>
  <r>
    <n v="736"/>
    <s v="Product_736"/>
    <x v="0"/>
    <n v="439.21"/>
    <n v="4.5"/>
    <n v="364"/>
    <n v="282"/>
    <n v="892"/>
    <n v="446"/>
    <n v="921"/>
    <n v="537"/>
    <n v="325"/>
    <n v="882"/>
    <n v="913"/>
    <n v="248"/>
    <n v="993"/>
    <n v="513"/>
    <n v="732"/>
    <n v="7684"/>
    <n v="123857.22"/>
    <n v="391775.32"/>
    <n v="195887.66"/>
    <n v="404512.41"/>
    <n v="235855.77"/>
    <n v="142743.25"/>
    <n v="387383.22"/>
    <n v="400998.73"/>
    <n v="108924.08"/>
    <n v="436135.52999999997"/>
    <n v="225314.72999999998"/>
    <n v="321501.71999999997"/>
    <n v="3374889.6399999997"/>
  </r>
  <r>
    <n v="737"/>
    <s v="Product_737"/>
    <x v="6"/>
    <n v="199.26"/>
    <n v="2.8"/>
    <n v="866"/>
    <n v="39"/>
    <n v="767"/>
    <n v="834"/>
    <n v="903"/>
    <n v="728"/>
    <n v="689"/>
    <n v="231"/>
    <n v="44"/>
    <n v="245"/>
    <n v="992"/>
    <n v="689"/>
    <n v="634"/>
    <n v="6795"/>
    <n v="7771.1399999999994"/>
    <n v="152832.41999999998"/>
    <n v="166182.84"/>
    <n v="179931.78"/>
    <n v="145061.28"/>
    <n v="137290.13999999998"/>
    <n v="46029.06"/>
    <n v="8767.4399999999987"/>
    <n v="48818.7"/>
    <n v="197665.91999999998"/>
    <n v="137290.13999999998"/>
    <n v="126330.84"/>
    <n v="1353971.7"/>
  </r>
  <r>
    <n v="738"/>
    <s v="Product_738"/>
    <x v="2"/>
    <n v="409.22"/>
    <n v="1.8"/>
    <n v="800"/>
    <n v="958"/>
    <n v="549"/>
    <n v="105"/>
    <n v="517"/>
    <n v="153"/>
    <n v="356"/>
    <n v="793"/>
    <n v="107"/>
    <n v="939"/>
    <n v="247"/>
    <n v="936"/>
    <n v="186"/>
    <n v="5846"/>
    <n v="392032.76"/>
    <n v="224661.78000000003"/>
    <n v="42968.100000000006"/>
    <n v="211566.74000000002"/>
    <n v="62610.66"/>
    <n v="145682.32"/>
    <n v="324511.46000000002"/>
    <n v="43786.54"/>
    <n v="384257.58"/>
    <n v="101077.34000000001"/>
    <n v="383029.92000000004"/>
    <n v="76114.92"/>
    <n v="2392300.12"/>
  </r>
  <r>
    <n v="739"/>
    <s v="Product_739"/>
    <x v="3"/>
    <n v="222.37"/>
    <n v="2.5"/>
    <n v="451"/>
    <n v="188"/>
    <n v="687"/>
    <n v="650"/>
    <n v="975"/>
    <n v="153"/>
    <n v="415"/>
    <n v="540"/>
    <n v="218"/>
    <n v="586"/>
    <n v="580"/>
    <n v="193"/>
    <n v="773"/>
    <n v="5958"/>
    <n v="41805.56"/>
    <n v="152768.19"/>
    <n v="144540.5"/>
    <n v="216810.75"/>
    <n v="34022.61"/>
    <n v="92283.55"/>
    <n v="120079.8"/>
    <n v="48476.66"/>
    <n v="130308.82"/>
    <n v="128974.6"/>
    <n v="42917.41"/>
    <n v="171892.01"/>
    <n v="1324880.4600000002"/>
  </r>
  <r>
    <n v="740"/>
    <s v="Product_740"/>
    <x v="5"/>
    <n v="191.59"/>
    <n v="2.7"/>
    <n v="195"/>
    <n v="163"/>
    <n v="26"/>
    <n v="810"/>
    <n v="791"/>
    <n v="685"/>
    <n v="962"/>
    <n v="194"/>
    <n v="442"/>
    <n v="156"/>
    <n v="119"/>
    <n v="481"/>
    <n v="924"/>
    <n v="5753"/>
    <n v="31229.170000000002"/>
    <n v="4981.34"/>
    <n v="155187.9"/>
    <n v="151547.69"/>
    <n v="131239.15"/>
    <n v="184309.58000000002"/>
    <n v="37168.46"/>
    <n v="84682.78"/>
    <n v="29888.04"/>
    <n v="22799.21"/>
    <n v="92154.790000000008"/>
    <n v="177029.16"/>
    <n v="1102217.27"/>
  </r>
  <r>
    <n v="741"/>
    <s v="Product_741"/>
    <x v="1"/>
    <n v="234.03"/>
    <n v="4.3"/>
    <n v="156"/>
    <n v="993"/>
    <n v="275"/>
    <n v="400"/>
    <n v="431"/>
    <n v="91"/>
    <n v="514"/>
    <n v="505"/>
    <n v="829"/>
    <n v="734"/>
    <n v="66"/>
    <n v="898"/>
    <n v="784"/>
    <n v="6520"/>
    <n v="232391.79"/>
    <n v="64358.25"/>
    <n v="93612"/>
    <n v="100866.93000000001"/>
    <n v="21296.73"/>
    <n v="120291.42"/>
    <n v="118185.15"/>
    <n v="194010.87"/>
    <n v="171778.02"/>
    <n v="15445.98"/>
    <n v="210158.94"/>
    <n v="183479.52"/>
    <n v="1525875.5999999999"/>
  </r>
  <r>
    <n v="742"/>
    <s v="Product_742"/>
    <x v="4"/>
    <n v="154.18"/>
    <n v="3.9"/>
    <n v="172"/>
    <n v="988"/>
    <n v="651"/>
    <n v="95"/>
    <n v="486"/>
    <n v="432"/>
    <n v="213"/>
    <n v="333"/>
    <n v="314"/>
    <n v="701"/>
    <n v="572"/>
    <n v="335"/>
    <n v="372"/>
    <n v="5492"/>
    <n v="152329.84"/>
    <n v="100371.18000000001"/>
    <n v="14647.1"/>
    <n v="74931.48000000001"/>
    <n v="66605.760000000009"/>
    <n v="32840.340000000004"/>
    <n v="51341.94"/>
    <n v="48412.520000000004"/>
    <n v="108080.18000000001"/>
    <n v="88190.96"/>
    <n v="51650.3"/>
    <n v="57354.96"/>
    <n v="846756.56"/>
  </r>
  <r>
    <n v="743"/>
    <s v="Product_743"/>
    <x v="5"/>
    <n v="375.07"/>
    <n v="4.0999999999999996"/>
    <n v="847"/>
    <n v="535"/>
    <n v="298"/>
    <n v="387"/>
    <n v="605"/>
    <n v="337"/>
    <n v="853"/>
    <n v="767"/>
    <n v="176"/>
    <n v="984"/>
    <n v="955"/>
    <n v="434"/>
    <n v="571"/>
    <n v="6902"/>
    <n v="200662.44999999998"/>
    <n v="111770.86"/>
    <n v="145152.09"/>
    <n v="226917.35"/>
    <n v="126398.59"/>
    <n v="319934.71000000002"/>
    <n v="287678.69"/>
    <n v="66012.319999999992"/>
    <n v="369068.88"/>
    <n v="358191.85"/>
    <n v="162780.38"/>
    <n v="214164.97"/>
    <n v="2588733.14"/>
  </r>
  <r>
    <n v="744"/>
    <s v="Product_744"/>
    <x v="0"/>
    <n v="253.85"/>
    <n v="1"/>
    <n v="41"/>
    <n v="535"/>
    <n v="956"/>
    <n v="958"/>
    <n v="428"/>
    <n v="479"/>
    <n v="73"/>
    <n v="792"/>
    <n v="227"/>
    <n v="563"/>
    <n v="326"/>
    <n v="195"/>
    <n v="405"/>
    <n v="5937"/>
    <n v="135809.75"/>
    <n v="242680.6"/>
    <n v="243188.3"/>
    <n v="108647.8"/>
    <n v="121594.15"/>
    <n v="18531.05"/>
    <n v="201049.19999999998"/>
    <n v="57623.95"/>
    <n v="142917.54999999999"/>
    <n v="82755.099999999991"/>
    <n v="49500.75"/>
    <n v="102809.25"/>
    <n v="1507107.4500000002"/>
  </r>
  <r>
    <n v="745"/>
    <s v="Product_745"/>
    <x v="4"/>
    <n v="119.95"/>
    <n v="2.7"/>
    <n v="63"/>
    <n v="3"/>
    <n v="798"/>
    <n v="451"/>
    <n v="268"/>
    <n v="692"/>
    <n v="562"/>
    <n v="303"/>
    <n v="702"/>
    <n v="949"/>
    <n v="919"/>
    <n v="854"/>
    <n v="407"/>
    <n v="6908"/>
    <n v="359.85"/>
    <n v="95720.1"/>
    <n v="54097.450000000004"/>
    <n v="32146.600000000002"/>
    <n v="83005.400000000009"/>
    <n v="67411.900000000009"/>
    <n v="36344.85"/>
    <n v="84204.900000000009"/>
    <n v="113832.55"/>
    <n v="110234.05"/>
    <n v="102437.3"/>
    <n v="48819.65"/>
    <n v="828614.60000000021"/>
  </r>
  <r>
    <n v="746"/>
    <s v="Product_746"/>
    <x v="1"/>
    <n v="450.29"/>
    <n v="2.9"/>
    <n v="23"/>
    <n v="834"/>
    <n v="90"/>
    <n v="848"/>
    <n v="708"/>
    <n v="130"/>
    <n v="578"/>
    <n v="832"/>
    <n v="982"/>
    <n v="87"/>
    <n v="702"/>
    <n v="248"/>
    <n v="124"/>
    <n v="6163"/>
    <n v="375541.86000000004"/>
    <n v="40526.1"/>
    <n v="381845.92000000004"/>
    <n v="318805.32"/>
    <n v="58537.700000000004"/>
    <n v="260267.62000000002"/>
    <n v="374641.28"/>
    <n v="442184.78"/>
    <n v="39175.230000000003"/>
    <n v="316103.58"/>
    <n v="111671.92"/>
    <n v="55835.96"/>
    <n v="2775137.27"/>
  </r>
  <r>
    <n v="747"/>
    <s v="Product_747"/>
    <x v="2"/>
    <n v="195.03"/>
    <n v="1.1000000000000001"/>
    <n v="360"/>
    <n v="289"/>
    <n v="479"/>
    <n v="808"/>
    <n v="536"/>
    <n v="449"/>
    <n v="508"/>
    <n v="436"/>
    <n v="671"/>
    <n v="312"/>
    <n v="469"/>
    <n v="497"/>
    <n v="336"/>
    <n v="5790"/>
    <n v="56363.67"/>
    <n v="93419.37"/>
    <n v="157584.24"/>
    <n v="104536.08"/>
    <n v="87568.47"/>
    <n v="99075.24"/>
    <n v="85033.08"/>
    <n v="130865.13"/>
    <n v="60849.36"/>
    <n v="91469.07"/>
    <n v="96929.91"/>
    <n v="65530.080000000002"/>
    <n v="1129223.7"/>
  </r>
  <r>
    <n v="748"/>
    <s v="Product_748"/>
    <x v="2"/>
    <n v="274.06"/>
    <n v="2"/>
    <n v="75"/>
    <n v="952"/>
    <n v="572"/>
    <n v="978"/>
    <n v="147"/>
    <n v="992"/>
    <n v="331"/>
    <n v="322"/>
    <n v="905"/>
    <n v="850"/>
    <n v="492"/>
    <n v="211"/>
    <n v="340"/>
    <n v="7092"/>
    <n v="260905.12"/>
    <n v="156762.32"/>
    <n v="268030.68"/>
    <n v="40286.82"/>
    <n v="271867.52000000002"/>
    <n v="90713.86"/>
    <n v="88247.32"/>
    <n v="248024.3"/>
    <n v="232951"/>
    <n v="134837.51999999999"/>
    <n v="57826.66"/>
    <n v="93180.4"/>
    <n v="1943633.52"/>
  </r>
  <r>
    <n v="749"/>
    <s v="Product_749"/>
    <x v="1"/>
    <n v="453.7"/>
    <n v="4"/>
    <n v="560"/>
    <n v="432"/>
    <n v="457"/>
    <n v="900"/>
    <n v="117"/>
    <n v="809"/>
    <n v="92"/>
    <n v="501"/>
    <n v="266"/>
    <n v="65"/>
    <n v="700"/>
    <n v="664"/>
    <n v="562"/>
    <n v="5565"/>
    <n v="195998.4"/>
    <n v="207340.9"/>
    <n v="408330"/>
    <n v="53082.9"/>
    <n v="367043.3"/>
    <n v="41740.400000000001"/>
    <n v="227303.69999999998"/>
    <n v="120684.2"/>
    <n v="29490.5"/>
    <n v="317590"/>
    <n v="301256.8"/>
    <n v="254979.4"/>
    <n v="2524840.4999999995"/>
  </r>
  <r>
    <n v="750"/>
    <s v="Product_750"/>
    <x v="6"/>
    <n v="314"/>
    <n v="1.5"/>
    <n v="672"/>
    <n v="470"/>
    <n v="450"/>
    <n v="415"/>
    <n v="849"/>
    <n v="786"/>
    <n v="687"/>
    <n v="857"/>
    <n v="869"/>
    <n v="661"/>
    <n v="662"/>
    <n v="669"/>
    <n v="177"/>
    <n v="7552"/>
    <n v="147580"/>
    <n v="141300"/>
    <n v="130310"/>
    <n v="266586"/>
    <n v="246804"/>
    <n v="215718"/>
    <n v="269098"/>
    <n v="272866"/>
    <n v="207554"/>
    <n v="207868"/>
    <n v="210066"/>
    <n v="55578"/>
    <n v="2371328"/>
  </r>
  <r>
    <n v="751"/>
    <s v="Product_751"/>
    <x v="1"/>
    <n v="62.86"/>
    <n v="3.1"/>
    <n v="825"/>
    <n v="180"/>
    <n v="364"/>
    <n v="725"/>
    <n v="366"/>
    <n v="272"/>
    <n v="656"/>
    <n v="913"/>
    <n v="837"/>
    <n v="19"/>
    <n v="285"/>
    <n v="465"/>
    <n v="650"/>
    <n v="5732"/>
    <n v="11314.8"/>
    <n v="22881.040000000001"/>
    <n v="45573.5"/>
    <n v="23006.76"/>
    <n v="17097.919999999998"/>
    <n v="41236.159999999996"/>
    <n v="57391.18"/>
    <n v="52613.82"/>
    <n v="1194.3399999999999"/>
    <n v="17915.099999999999"/>
    <n v="29229.9"/>
    <n v="40859"/>
    <n v="360313.52"/>
  </r>
  <r>
    <n v="752"/>
    <s v="Product_752"/>
    <x v="5"/>
    <n v="470.22"/>
    <n v="1.9"/>
    <n v="118"/>
    <n v="247"/>
    <n v="858"/>
    <n v="503"/>
    <n v="849"/>
    <n v="928"/>
    <n v="518"/>
    <n v="392"/>
    <n v="378"/>
    <n v="32"/>
    <n v="955"/>
    <n v="873"/>
    <n v="951"/>
    <n v="7484"/>
    <n v="116144.34000000001"/>
    <n v="403448.76"/>
    <n v="236520.66"/>
    <n v="399216.78"/>
    <n v="436364.16000000003"/>
    <n v="243573.96000000002"/>
    <n v="184326.24000000002"/>
    <n v="177743.16"/>
    <n v="15047.04"/>
    <n v="449060.10000000003"/>
    <n v="410502.06"/>
    <n v="447179.22000000003"/>
    <n v="3519126.4800000004"/>
  </r>
  <r>
    <n v="753"/>
    <s v="Product_753"/>
    <x v="0"/>
    <n v="315.72000000000003"/>
    <n v="1"/>
    <n v="612"/>
    <n v="627"/>
    <n v="674"/>
    <n v="453"/>
    <n v="65"/>
    <n v="587"/>
    <n v="268"/>
    <n v="805"/>
    <n v="488"/>
    <n v="839"/>
    <n v="913"/>
    <n v="650"/>
    <n v="838"/>
    <n v="7207"/>
    <n v="197956.44000000003"/>
    <n v="212795.28000000003"/>
    <n v="143021.16"/>
    <n v="20521.800000000003"/>
    <n v="185327.64"/>
    <n v="84612.96"/>
    <n v="254154.60000000003"/>
    <n v="154071.36000000002"/>
    <n v="264889.08"/>
    <n v="288252.36000000004"/>
    <n v="205218.00000000003"/>
    <n v="264573.36000000004"/>
    <n v="2275394.0400000005"/>
  </r>
  <r>
    <n v="754"/>
    <s v="Product_754"/>
    <x v="3"/>
    <n v="170.78"/>
    <n v="2"/>
    <n v="380"/>
    <n v="278"/>
    <n v="350"/>
    <n v="290"/>
    <n v="969"/>
    <n v="176"/>
    <n v="375"/>
    <n v="598"/>
    <n v="701"/>
    <n v="792"/>
    <n v="607"/>
    <n v="220"/>
    <n v="169"/>
    <n v="5525"/>
    <n v="47476.840000000004"/>
    <n v="59773"/>
    <n v="49526.2"/>
    <n v="165485.82"/>
    <n v="30057.279999999999"/>
    <n v="64042.5"/>
    <n v="102126.44"/>
    <n v="119716.78"/>
    <n v="135257.76"/>
    <n v="103663.46"/>
    <n v="37571.599999999999"/>
    <n v="28861.82"/>
    <n v="943559.49999999988"/>
  </r>
  <r>
    <n v="755"/>
    <s v="Product_755"/>
    <x v="5"/>
    <n v="73.94"/>
    <n v="4.9000000000000004"/>
    <n v="929"/>
    <n v="876"/>
    <n v="654"/>
    <n v="533"/>
    <n v="812"/>
    <n v="695"/>
    <n v="833"/>
    <n v="148"/>
    <n v="686"/>
    <n v="557"/>
    <n v="311"/>
    <n v="272"/>
    <n v="38"/>
    <n v="6415"/>
    <n v="64771.439999999995"/>
    <n v="48356.76"/>
    <n v="39410.019999999997"/>
    <n v="60039.28"/>
    <n v="51388.299999999996"/>
    <n v="61592.02"/>
    <n v="10943.119999999999"/>
    <n v="50722.84"/>
    <n v="41184.58"/>
    <n v="22995.34"/>
    <n v="20111.68"/>
    <n v="2809.72"/>
    <n v="474325.10000000003"/>
  </r>
  <r>
    <n v="756"/>
    <s v="Product_756"/>
    <x v="5"/>
    <n v="398.04"/>
    <n v="4.2"/>
    <n v="920"/>
    <n v="580"/>
    <n v="399"/>
    <n v="192"/>
    <n v="369"/>
    <n v="830"/>
    <n v="3"/>
    <n v="760"/>
    <n v="289"/>
    <n v="72"/>
    <n v="308"/>
    <n v="153"/>
    <n v="68"/>
    <n v="4023"/>
    <n v="230863.2"/>
    <n v="158817.96000000002"/>
    <n v="76423.680000000008"/>
    <n v="146876.76"/>
    <n v="330373.2"/>
    <n v="1194.1200000000001"/>
    <n v="302510.40000000002"/>
    <n v="115033.56000000001"/>
    <n v="28658.880000000001"/>
    <n v="122596.32"/>
    <n v="60900.12"/>
    <n v="27066.720000000001"/>
    <n v="1601314.9200000002"/>
  </r>
  <r>
    <n v="757"/>
    <s v="Product_757"/>
    <x v="5"/>
    <n v="311.94"/>
    <n v="4.8"/>
    <n v="679"/>
    <n v="862"/>
    <n v="252"/>
    <n v="979"/>
    <n v="174"/>
    <n v="642"/>
    <n v="137"/>
    <n v="832"/>
    <n v="995"/>
    <n v="865"/>
    <n v="774"/>
    <n v="248"/>
    <n v="235"/>
    <n v="6995"/>
    <n v="268892.27999999997"/>
    <n v="78608.88"/>
    <n v="305389.26"/>
    <n v="54277.56"/>
    <n v="200265.48"/>
    <n v="42735.78"/>
    <n v="259534.07999999999"/>
    <n v="310380.3"/>
    <n v="269828.09999999998"/>
    <n v="241441.56"/>
    <n v="77361.119999999995"/>
    <n v="73305.899999999994"/>
    <n v="2182020.3000000003"/>
  </r>
  <r>
    <n v="758"/>
    <s v="Product_758"/>
    <x v="4"/>
    <n v="269.06"/>
    <n v="3"/>
    <n v="290"/>
    <n v="253"/>
    <n v="780"/>
    <n v="149"/>
    <n v="830"/>
    <n v="874"/>
    <n v="230"/>
    <n v="404"/>
    <n v="356"/>
    <n v="824"/>
    <n v="96"/>
    <n v="278"/>
    <n v="559"/>
    <n v="5633"/>
    <n v="68072.180000000008"/>
    <n v="209866.8"/>
    <n v="40089.94"/>
    <n v="223319.8"/>
    <n v="235158.44"/>
    <n v="61883.8"/>
    <n v="108700.24"/>
    <n v="95785.36"/>
    <n v="221705.44"/>
    <n v="25829.760000000002"/>
    <n v="74798.680000000008"/>
    <n v="150404.54"/>
    <n v="1515614.98"/>
  </r>
  <r>
    <n v="759"/>
    <s v="Product_759"/>
    <x v="4"/>
    <n v="447.48"/>
    <n v="1.4"/>
    <n v="440"/>
    <n v="180"/>
    <n v="880"/>
    <n v="879"/>
    <n v="587"/>
    <n v="48"/>
    <n v="599"/>
    <n v="282"/>
    <n v="656"/>
    <n v="342"/>
    <n v="964"/>
    <n v="439"/>
    <n v="380"/>
    <n v="6236"/>
    <n v="80546.400000000009"/>
    <n v="393782.4"/>
    <n v="393334.92000000004"/>
    <n v="262670.76"/>
    <n v="21479.040000000001"/>
    <n v="268040.52"/>
    <n v="126189.36"/>
    <n v="293546.88"/>
    <n v="153038.16"/>
    <n v="431370.72000000003"/>
    <n v="196443.72"/>
    <n v="170042.4"/>
    <n v="2790485.2800000003"/>
  </r>
  <r>
    <n v="760"/>
    <s v="Product_760"/>
    <x v="2"/>
    <n v="395.36"/>
    <n v="3.2"/>
    <n v="668"/>
    <n v="829"/>
    <n v="802"/>
    <n v="758"/>
    <n v="494"/>
    <n v="566"/>
    <n v="528"/>
    <n v="361"/>
    <n v="743"/>
    <n v="132"/>
    <n v="112"/>
    <n v="947"/>
    <n v="56"/>
    <n v="6328"/>
    <n v="327753.44"/>
    <n v="317078.72000000003"/>
    <n v="299682.88"/>
    <n v="195307.84"/>
    <n v="223773.76"/>
    <n v="208750.08000000002"/>
    <n v="142724.96"/>
    <n v="293752.48"/>
    <n v="52187.520000000004"/>
    <n v="44280.32"/>
    <n v="374405.92000000004"/>
    <n v="22140.16"/>
    <n v="2501838.08"/>
  </r>
  <r>
    <n v="761"/>
    <s v="Product_761"/>
    <x v="5"/>
    <n v="80.08"/>
    <n v="2.8"/>
    <n v="933"/>
    <n v="680"/>
    <n v="458"/>
    <n v="778"/>
    <n v="972"/>
    <n v="665"/>
    <n v="51"/>
    <n v="378"/>
    <n v="871"/>
    <n v="54"/>
    <n v="987"/>
    <n v="815"/>
    <n v="276"/>
    <n v="6985"/>
    <n v="54454.400000000001"/>
    <n v="36676.639999999999"/>
    <n v="62302.239999999998"/>
    <n v="77837.759999999995"/>
    <n v="53253.2"/>
    <n v="4084.08"/>
    <n v="30270.239999999998"/>
    <n v="69749.679999999993"/>
    <n v="4324.32"/>
    <n v="79038.959999999992"/>
    <n v="65265.2"/>
    <n v="22102.079999999998"/>
    <n v="559358.79999999993"/>
  </r>
  <r>
    <n v="762"/>
    <s v="Product_762"/>
    <x v="6"/>
    <n v="159.30000000000001"/>
    <n v="4.4000000000000004"/>
    <n v="7"/>
    <n v="824"/>
    <n v="698"/>
    <n v="972"/>
    <n v="113"/>
    <n v="354"/>
    <n v="645"/>
    <n v="197"/>
    <n v="949"/>
    <n v="60"/>
    <n v="636"/>
    <n v="275"/>
    <n v="849"/>
    <n v="6572"/>
    <n v="131263.20000000001"/>
    <n v="111191.40000000001"/>
    <n v="154839.6"/>
    <n v="18000.900000000001"/>
    <n v="56392.200000000004"/>
    <n v="102748.50000000001"/>
    <n v="31382.100000000002"/>
    <n v="151175.70000000001"/>
    <n v="9558"/>
    <n v="101314.8"/>
    <n v="43807.5"/>
    <n v="135245.70000000001"/>
    <n v="1046919.6000000001"/>
  </r>
  <r>
    <n v="763"/>
    <s v="Product_763"/>
    <x v="2"/>
    <n v="128"/>
    <n v="1.4"/>
    <n v="196"/>
    <n v="508"/>
    <n v="916"/>
    <n v="762"/>
    <n v="110"/>
    <n v="711"/>
    <n v="722"/>
    <n v="555"/>
    <n v="203"/>
    <n v="856"/>
    <n v="455"/>
    <n v="513"/>
    <n v="98"/>
    <n v="6409"/>
    <n v="65024"/>
    <n v="117248"/>
    <n v="97536"/>
    <n v="14080"/>
    <n v="91008"/>
    <n v="92416"/>
    <n v="71040"/>
    <n v="25984"/>
    <n v="109568"/>
    <n v="58240"/>
    <n v="65664"/>
    <n v="12544"/>
    <n v="820352"/>
  </r>
  <r>
    <n v="764"/>
    <s v="Product_764"/>
    <x v="0"/>
    <n v="373.25"/>
    <n v="3"/>
    <n v="421"/>
    <n v="760"/>
    <n v="498"/>
    <n v="514"/>
    <n v="760"/>
    <n v="307"/>
    <n v="324"/>
    <n v="355"/>
    <n v="212"/>
    <n v="519"/>
    <n v="462"/>
    <n v="87"/>
    <n v="915"/>
    <n v="5713"/>
    <n v="283670"/>
    <n v="185878.5"/>
    <n v="191850.5"/>
    <n v="283670"/>
    <n v="114587.75"/>
    <n v="120933"/>
    <n v="132503.75"/>
    <n v="79129"/>
    <n v="193716.75"/>
    <n v="172441.5"/>
    <n v="32472.75"/>
    <n v="341523.75"/>
    <n v="2132377.25"/>
  </r>
  <r>
    <n v="765"/>
    <s v="Product_765"/>
    <x v="1"/>
    <n v="21.6"/>
    <n v="1.6"/>
    <n v="568"/>
    <n v="699"/>
    <n v="949"/>
    <n v="392"/>
    <n v="438"/>
    <n v="867"/>
    <n v="991"/>
    <n v="539"/>
    <n v="551"/>
    <n v="271"/>
    <n v="947"/>
    <n v="798"/>
    <n v="526"/>
    <n v="7968"/>
    <n v="15098.400000000001"/>
    <n v="20498.400000000001"/>
    <n v="8467.2000000000007"/>
    <n v="9460.8000000000011"/>
    <n v="18727.2"/>
    <n v="21405.600000000002"/>
    <n v="11642.400000000001"/>
    <n v="11901.6"/>
    <n v="5853.6"/>
    <n v="20455.2"/>
    <n v="17236.800000000003"/>
    <n v="11361.6"/>
    <n v="172108.80000000002"/>
  </r>
  <r>
    <n v="766"/>
    <s v="Product_766"/>
    <x v="4"/>
    <n v="287.10000000000002"/>
    <n v="2.2999999999999998"/>
    <n v="833"/>
    <n v="565"/>
    <n v="970"/>
    <n v="315"/>
    <n v="714"/>
    <n v="884"/>
    <n v="969"/>
    <n v="428"/>
    <n v="786"/>
    <n v="245"/>
    <n v="131"/>
    <n v="922"/>
    <n v="324"/>
    <n v="7253"/>
    <n v="162211.5"/>
    <n v="278487"/>
    <n v="90436.5"/>
    <n v="204989.40000000002"/>
    <n v="253796.40000000002"/>
    <n v="278199.90000000002"/>
    <n v="122878.8"/>
    <n v="225660.6"/>
    <n v="70339.5"/>
    <n v="37610.100000000006"/>
    <n v="264706.2"/>
    <n v="93020.400000000009"/>
    <n v="2082336.3000000003"/>
  </r>
  <r>
    <n v="767"/>
    <s v="Product_767"/>
    <x v="5"/>
    <n v="382.42"/>
    <n v="3.9"/>
    <n v="193"/>
    <n v="325"/>
    <n v="925"/>
    <n v="75"/>
    <n v="146"/>
    <n v="629"/>
    <n v="904"/>
    <n v="16"/>
    <n v="322"/>
    <n v="175"/>
    <n v="929"/>
    <n v="641"/>
    <n v="460"/>
    <n v="5547"/>
    <n v="124286.5"/>
    <n v="353738.5"/>
    <n v="28681.5"/>
    <n v="55833.32"/>
    <n v="240542.18000000002"/>
    <n v="345707.68"/>
    <n v="6118.72"/>
    <n v="123139.24"/>
    <n v="66923.5"/>
    <n v="355268.18"/>
    <n v="245131.22"/>
    <n v="175913.2"/>
    <n v="2121283.7399999998"/>
  </r>
  <r>
    <n v="768"/>
    <s v="Product_768"/>
    <x v="0"/>
    <n v="439"/>
    <n v="2.9"/>
    <n v="559"/>
    <n v="356"/>
    <n v="507"/>
    <n v="598"/>
    <n v="34"/>
    <n v="774"/>
    <n v="730"/>
    <n v="638"/>
    <n v="593"/>
    <n v="627"/>
    <n v="964"/>
    <n v="504"/>
    <n v="178"/>
    <n v="6503"/>
    <n v="156284"/>
    <n v="222573"/>
    <n v="262522"/>
    <n v="14926"/>
    <n v="339786"/>
    <n v="320470"/>
    <n v="280082"/>
    <n v="260327"/>
    <n v="275253"/>
    <n v="423196"/>
    <n v="221256"/>
    <n v="78142"/>
    <n v="2854817"/>
  </r>
  <r>
    <n v="769"/>
    <s v="Product_769"/>
    <x v="2"/>
    <n v="174.33"/>
    <n v="2.5"/>
    <n v="148"/>
    <n v="824"/>
    <n v="303"/>
    <n v="269"/>
    <n v="998"/>
    <n v="45"/>
    <n v="716"/>
    <n v="378"/>
    <n v="180"/>
    <n v="316"/>
    <n v="928"/>
    <n v="589"/>
    <n v="843"/>
    <n v="6389"/>
    <n v="143647.92000000001"/>
    <n v="52821.990000000005"/>
    <n v="46894.770000000004"/>
    <n v="173981.34000000003"/>
    <n v="7844.85"/>
    <n v="124820.28000000001"/>
    <n v="65896.740000000005"/>
    <n v="31379.4"/>
    <n v="55088.280000000006"/>
    <n v="161778.24000000002"/>
    <n v="102680.37000000001"/>
    <n v="146960.19"/>
    <n v="1113794.3700000001"/>
  </r>
  <r>
    <n v="770"/>
    <s v="Product_770"/>
    <x v="2"/>
    <n v="411.52"/>
    <n v="2.6"/>
    <n v="787"/>
    <n v="649"/>
    <n v="500"/>
    <n v="224"/>
    <n v="308"/>
    <n v="301"/>
    <n v="722"/>
    <n v="679"/>
    <n v="498"/>
    <n v="782"/>
    <n v="120"/>
    <n v="771"/>
    <n v="573"/>
    <n v="6127"/>
    <n v="267076.47999999998"/>
    <n v="205760"/>
    <n v="92180.479999999996"/>
    <n v="126748.15999999999"/>
    <n v="123867.51999999999"/>
    <n v="297117.44"/>
    <n v="279422.08000000002"/>
    <n v="204936.95999999999"/>
    <n v="321808.64000000001"/>
    <n v="49382.399999999994"/>
    <n v="317281.91999999998"/>
    <n v="235800.95999999999"/>
    <n v="2521383.04"/>
  </r>
  <r>
    <n v="771"/>
    <s v="Product_771"/>
    <x v="4"/>
    <n v="59.76"/>
    <n v="2.8"/>
    <n v="669"/>
    <n v="679"/>
    <n v="802"/>
    <n v="529"/>
    <n v="537"/>
    <n v="867"/>
    <n v="276"/>
    <n v="505"/>
    <n v="319"/>
    <n v="704"/>
    <n v="196"/>
    <n v="240"/>
    <n v="118"/>
    <n v="5772"/>
    <n v="40577.040000000001"/>
    <n v="47927.519999999997"/>
    <n v="31613.039999999997"/>
    <n v="32091.119999999999"/>
    <n v="51811.92"/>
    <n v="16493.759999999998"/>
    <n v="30178.799999999999"/>
    <n v="19063.439999999999"/>
    <n v="42071.040000000001"/>
    <n v="11712.96"/>
    <n v="14342.4"/>
    <n v="7051.6799999999994"/>
    <n v="344934.72000000003"/>
  </r>
  <r>
    <n v="772"/>
    <s v="Product_772"/>
    <x v="2"/>
    <n v="423.99"/>
    <n v="4.0999999999999996"/>
    <n v="202"/>
    <n v="390"/>
    <n v="597"/>
    <n v="112"/>
    <n v="749"/>
    <n v="911"/>
    <n v="535"/>
    <n v="755"/>
    <n v="82"/>
    <n v="661"/>
    <n v="805"/>
    <n v="652"/>
    <n v="468"/>
    <n v="6717"/>
    <n v="165356.1"/>
    <n v="253122.03"/>
    <n v="47486.880000000005"/>
    <n v="317568.51"/>
    <n v="386254.89"/>
    <n v="226834.65"/>
    <n v="320112.45"/>
    <n v="34767.18"/>
    <n v="280257.39"/>
    <n v="341311.95"/>
    <n v="276441.48"/>
    <n v="198427.32"/>
    <n v="2847940.83"/>
  </r>
  <r>
    <n v="773"/>
    <s v="Product_773"/>
    <x v="6"/>
    <n v="68.11"/>
    <n v="4.5999999999999996"/>
    <n v="444"/>
    <n v="614"/>
    <n v="165"/>
    <n v="250"/>
    <n v="13"/>
    <n v="407"/>
    <n v="485"/>
    <n v="898"/>
    <n v="302"/>
    <n v="130"/>
    <n v="481"/>
    <n v="739"/>
    <n v="548"/>
    <n v="5032"/>
    <n v="41819.54"/>
    <n v="11238.15"/>
    <n v="17027.5"/>
    <n v="885.43"/>
    <n v="27720.77"/>
    <n v="33033.35"/>
    <n v="61162.78"/>
    <n v="20569.22"/>
    <n v="8854.2999999999993"/>
    <n v="32760.91"/>
    <n v="50333.29"/>
    <n v="37324.28"/>
    <n v="342729.52"/>
  </r>
  <r>
    <n v="774"/>
    <s v="Product_774"/>
    <x v="2"/>
    <n v="201.66"/>
    <n v="4.8"/>
    <n v="914"/>
    <n v="933"/>
    <n v="414"/>
    <n v="232"/>
    <n v="373"/>
    <n v="188"/>
    <n v="515"/>
    <n v="75"/>
    <n v="261"/>
    <n v="101"/>
    <n v="633"/>
    <n v="674"/>
    <n v="645"/>
    <n v="5044"/>
    <n v="188148.78"/>
    <n v="83487.240000000005"/>
    <n v="46785.120000000003"/>
    <n v="75219.179999999993"/>
    <n v="37912.080000000002"/>
    <n v="103854.9"/>
    <n v="15124.5"/>
    <n v="52633.26"/>
    <n v="20367.66"/>
    <n v="127650.78"/>
    <n v="135918.84"/>
    <n v="130070.7"/>
    <n v="1017173.04"/>
  </r>
  <r>
    <n v="775"/>
    <s v="Product_775"/>
    <x v="3"/>
    <n v="399.66"/>
    <n v="4.0999999999999996"/>
    <n v="988"/>
    <n v="84"/>
    <n v="461"/>
    <n v="840"/>
    <n v="556"/>
    <n v="821"/>
    <n v="151"/>
    <n v="230"/>
    <n v="783"/>
    <n v="309"/>
    <n v="793"/>
    <n v="235"/>
    <n v="454"/>
    <n v="5717"/>
    <n v="33571.440000000002"/>
    <n v="184243.26"/>
    <n v="335714.4"/>
    <n v="222210.96000000002"/>
    <n v="328120.86000000004"/>
    <n v="60348.66"/>
    <n v="91921.8"/>
    <n v="312933.78000000003"/>
    <n v="123494.94"/>
    <n v="316930.38"/>
    <n v="93920.1"/>
    <n v="181445.64"/>
    <n v="2284856.2200000002"/>
  </r>
  <r>
    <n v="776"/>
    <s v="Product_776"/>
    <x v="1"/>
    <n v="79.209999999999994"/>
    <n v="2.2999999999999998"/>
    <n v="419"/>
    <n v="316"/>
    <n v="919"/>
    <n v="790"/>
    <n v="427"/>
    <n v="829"/>
    <n v="954"/>
    <n v="715"/>
    <n v="199"/>
    <n v="781"/>
    <n v="896"/>
    <n v="127"/>
    <n v="25"/>
    <n v="6978"/>
    <n v="25030.359999999997"/>
    <n v="72793.989999999991"/>
    <n v="62575.899999999994"/>
    <n v="33822.67"/>
    <n v="65665.09"/>
    <n v="75566.34"/>
    <n v="56635.149999999994"/>
    <n v="15762.789999999999"/>
    <n v="61863.009999999995"/>
    <n v="70972.159999999989"/>
    <n v="10059.67"/>
    <n v="1980.2499999999998"/>
    <n v="552727.38"/>
  </r>
  <r>
    <n v="777"/>
    <s v="Product_777"/>
    <x v="2"/>
    <n v="118.48"/>
    <n v="3.8"/>
    <n v="427"/>
    <n v="211"/>
    <n v="113"/>
    <n v="713"/>
    <n v="727"/>
    <n v="128"/>
    <n v="482"/>
    <n v="961"/>
    <n v="239"/>
    <n v="291"/>
    <n v="771"/>
    <n v="502"/>
    <n v="489"/>
    <n v="5627"/>
    <n v="24999.280000000002"/>
    <n v="13388.24"/>
    <n v="84476.24"/>
    <n v="86134.96"/>
    <n v="15165.44"/>
    <n v="57107.360000000001"/>
    <n v="113859.28"/>
    <n v="28316.720000000001"/>
    <n v="34477.68"/>
    <n v="91348.08"/>
    <n v="59476.959999999999"/>
    <n v="57936.72"/>
    <n v="666686.96"/>
  </r>
  <r>
    <n v="778"/>
    <s v="Product_778"/>
    <x v="3"/>
    <n v="362.52"/>
    <n v="2.8"/>
    <n v="479"/>
    <n v="514"/>
    <n v="432"/>
    <n v="82"/>
    <n v="232"/>
    <n v="560"/>
    <n v="258"/>
    <n v="247"/>
    <n v="913"/>
    <n v="721"/>
    <n v="38"/>
    <n v="199"/>
    <n v="7"/>
    <n v="4203"/>
    <n v="186335.28"/>
    <n v="156608.63999999998"/>
    <n v="29726.639999999999"/>
    <n v="84104.639999999999"/>
    <n v="203011.19999999998"/>
    <n v="93530.159999999989"/>
    <n v="89542.44"/>
    <n v="330980.76"/>
    <n v="261376.91999999998"/>
    <n v="13775.759999999998"/>
    <n v="72141.48"/>
    <n v="2537.64"/>
    <n v="1523671.5599999998"/>
  </r>
  <r>
    <n v="779"/>
    <s v="Product_779"/>
    <x v="0"/>
    <n v="361.42"/>
    <n v="2"/>
    <n v="475"/>
    <n v="383"/>
    <n v="991"/>
    <n v="124"/>
    <n v="704"/>
    <n v="536"/>
    <n v="323"/>
    <n v="301"/>
    <n v="691"/>
    <n v="494"/>
    <n v="565"/>
    <n v="961"/>
    <n v="968"/>
    <n v="7041"/>
    <n v="138423.86000000002"/>
    <n v="358167.22000000003"/>
    <n v="44816.08"/>
    <n v="254439.68000000002"/>
    <n v="193721.12"/>
    <n v="116738.66"/>
    <n v="108787.42"/>
    <n v="249741.22"/>
    <n v="178541.48"/>
    <n v="204202.30000000002"/>
    <n v="347324.62"/>
    <n v="349854.56"/>
    <n v="2544758.2200000002"/>
  </r>
  <r>
    <n v="780"/>
    <s v="Product_780"/>
    <x v="2"/>
    <n v="322.37"/>
    <n v="4.4000000000000004"/>
    <n v="126"/>
    <n v="690"/>
    <n v="355"/>
    <n v="174"/>
    <n v="562"/>
    <n v="265"/>
    <n v="868"/>
    <n v="725"/>
    <n v="943"/>
    <n v="360"/>
    <n v="511"/>
    <n v="901"/>
    <n v="986"/>
    <n v="7340"/>
    <n v="222435.30000000002"/>
    <n v="114441.35"/>
    <n v="56092.38"/>
    <n v="181171.94"/>
    <n v="85428.05"/>
    <n v="279817.16000000003"/>
    <n v="233718.25"/>
    <n v="303994.91000000003"/>
    <n v="116053.2"/>
    <n v="164731.07"/>
    <n v="290455.37"/>
    <n v="317856.82"/>
    <n v="2366195.8000000003"/>
  </r>
  <r>
    <n v="781"/>
    <s v="Product_781"/>
    <x v="6"/>
    <n v="348.5"/>
    <n v="1.2"/>
    <n v="395"/>
    <n v="341"/>
    <n v="927"/>
    <n v="68"/>
    <n v="938"/>
    <n v="117"/>
    <n v="167"/>
    <n v="214"/>
    <n v="682"/>
    <n v="337"/>
    <n v="473"/>
    <n v="542"/>
    <n v="515"/>
    <n v="5321"/>
    <n v="118838.5"/>
    <n v="323059.5"/>
    <n v="23698"/>
    <n v="326893"/>
    <n v="40774.5"/>
    <n v="58199.5"/>
    <n v="74579"/>
    <n v="237677"/>
    <n v="117444.5"/>
    <n v="164840.5"/>
    <n v="188887"/>
    <n v="179477.5"/>
    <n v="1854368.5"/>
  </r>
  <r>
    <n v="782"/>
    <s v="Product_782"/>
    <x v="0"/>
    <n v="273.64999999999998"/>
    <n v="4.5999999999999996"/>
    <n v="817"/>
    <n v="814"/>
    <n v="694"/>
    <n v="46"/>
    <n v="886"/>
    <n v="463"/>
    <n v="687"/>
    <n v="157"/>
    <n v="294"/>
    <n v="578"/>
    <n v="160"/>
    <n v="501"/>
    <n v="532"/>
    <n v="5812"/>
    <n v="222751.09999999998"/>
    <n v="189913.09999999998"/>
    <n v="12587.9"/>
    <n v="242453.9"/>
    <n v="126699.94999999998"/>
    <n v="187997.55"/>
    <n v="42963.049999999996"/>
    <n v="80453.099999999991"/>
    <n v="158169.69999999998"/>
    <n v="43784"/>
    <n v="137098.65"/>
    <n v="145581.79999999999"/>
    <n v="1590453.8"/>
  </r>
  <r>
    <n v="783"/>
    <s v="Product_783"/>
    <x v="5"/>
    <n v="129.63999999999999"/>
    <n v="2.8"/>
    <n v="881"/>
    <n v="963"/>
    <n v="206"/>
    <n v="883"/>
    <n v="725"/>
    <n v="143"/>
    <n v="309"/>
    <n v="68"/>
    <n v="511"/>
    <n v="9"/>
    <n v="288"/>
    <n v="649"/>
    <n v="926"/>
    <n v="5680"/>
    <n v="124843.31999999999"/>
    <n v="26705.839999999997"/>
    <n v="114472.11999999998"/>
    <n v="93988.999999999985"/>
    <n v="18538.519999999997"/>
    <n v="40058.759999999995"/>
    <n v="8815.5199999999986"/>
    <n v="66246.039999999994"/>
    <n v="1166.7599999999998"/>
    <n v="37336.319999999992"/>
    <n v="84136.359999999986"/>
    <n v="120046.63999999998"/>
    <n v="736355.2"/>
  </r>
  <r>
    <n v="784"/>
    <s v="Product_784"/>
    <x v="2"/>
    <n v="176.12"/>
    <n v="3.5"/>
    <n v="806"/>
    <n v="987"/>
    <n v="767"/>
    <n v="255"/>
    <n v="662"/>
    <n v="441"/>
    <n v="802"/>
    <n v="392"/>
    <n v="688"/>
    <n v="48"/>
    <n v="199"/>
    <n v="491"/>
    <n v="148"/>
    <n v="5880"/>
    <n v="173830.44"/>
    <n v="135084.04"/>
    <n v="44910.6"/>
    <n v="116591.44"/>
    <n v="77668.92"/>
    <n v="141248.24"/>
    <n v="69039.040000000008"/>
    <n v="121170.56"/>
    <n v="8453.76"/>
    <n v="35047.879999999997"/>
    <n v="86474.92"/>
    <n v="26065.760000000002"/>
    <n v="1035585.6000000001"/>
  </r>
  <r>
    <n v="785"/>
    <s v="Product_785"/>
    <x v="4"/>
    <n v="94.89"/>
    <n v="3.6"/>
    <n v="576"/>
    <n v="843"/>
    <n v="234"/>
    <n v="726"/>
    <n v="439"/>
    <n v="199"/>
    <n v="478"/>
    <n v="84"/>
    <n v="880"/>
    <n v="486"/>
    <n v="787"/>
    <n v="20"/>
    <n v="487"/>
    <n v="5663"/>
    <n v="79992.27"/>
    <n v="22204.26"/>
    <n v="68890.14"/>
    <n v="41656.71"/>
    <n v="18883.11"/>
    <n v="45357.42"/>
    <n v="7970.76"/>
    <n v="83503.199999999997"/>
    <n v="46116.54"/>
    <n v="74678.430000000008"/>
    <n v="1897.8"/>
    <n v="46211.43"/>
    <n v="537362.06999999995"/>
  </r>
  <r>
    <n v="786"/>
    <s v="Product_786"/>
    <x v="3"/>
    <n v="454.68"/>
    <n v="4.5999999999999996"/>
    <n v="325"/>
    <n v="37"/>
    <n v="441"/>
    <n v="29"/>
    <n v="501"/>
    <n v="156"/>
    <n v="55"/>
    <n v="266"/>
    <n v="395"/>
    <n v="622"/>
    <n v="527"/>
    <n v="233"/>
    <n v="24"/>
    <n v="3286"/>
    <n v="16823.16"/>
    <n v="200513.88"/>
    <n v="13185.72"/>
    <n v="227794.68"/>
    <n v="70930.080000000002"/>
    <n v="25007.4"/>
    <n v="120944.88"/>
    <n v="179598.6"/>
    <n v="282810.96000000002"/>
    <n v="239616.36000000002"/>
    <n v="105940.44"/>
    <n v="10912.32"/>
    <n v="1494078.4800000002"/>
  </r>
  <r>
    <n v="787"/>
    <s v="Product_787"/>
    <x v="3"/>
    <n v="293.77999999999997"/>
    <n v="3.5"/>
    <n v="392"/>
    <n v="510"/>
    <n v="354"/>
    <n v="280"/>
    <n v="274"/>
    <n v="486"/>
    <n v="619"/>
    <n v="68"/>
    <n v="748"/>
    <n v="320"/>
    <n v="916"/>
    <n v="713"/>
    <n v="998"/>
    <n v="6286"/>
    <n v="149827.79999999999"/>
    <n v="103998.12"/>
    <n v="82258.399999999994"/>
    <n v="80495.719999999987"/>
    <n v="142777.07999999999"/>
    <n v="181849.81999999998"/>
    <n v="19977.039999999997"/>
    <n v="219747.43999999997"/>
    <n v="94009.599999999991"/>
    <n v="269102.48"/>
    <n v="209465.13999999998"/>
    <n v="293192.43999999994"/>
    <n v="1846701.0799999996"/>
  </r>
  <r>
    <n v="788"/>
    <s v="Product_788"/>
    <x v="4"/>
    <n v="203.42"/>
    <n v="3.5"/>
    <n v="930"/>
    <n v="419"/>
    <n v="514"/>
    <n v="923"/>
    <n v="849"/>
    <n v="859"/>
    <n v="472"/>
    <n v="610"/>
    <n v="137"/>
    <n v="730"/>
    <n v="684"/>
    <n v="790"/>
    <n v="654"/>
    <n v="7641"/>
    <n v="85232.98"/>
    <n v="104557.87999999999"/>
    <n v="187756.65999999997"/>
    <n v="172703.58"/>
    <n v="174737.78"/>
    <n v="96014.239999999991"/>
    <n v="124086.2"/>
    <n v="27868.539999999997"/>
    <n v="148496.59999999998"/>
    <n v="139139.28"/>
    <n v="160701.79999999999"/>
    <n v="133036.68"/>
    <n v="1554332.22"/>
  </r>
  <r>
    <n v="789"/>
    <s v="Product_789"/>
    <x v="1"/>
    <n v="233.69"/>
    <n v="1.3"/>
    <n v="688"/>
    <n v="750"/>
    <n v="207"/>
    <n v="993"/>
    <n v="75"/>
    <n v="133"/>
    <n v="295"/>
    <n v="346"/>
    <n v="838"/>
    <n v="568"/>
    <n v="502"/>
    <n v="642"/>
    <n v="756"/>
    <n v="6105"/>
    <n v="175267.5"/>
    <n v="48373.83"/>
    <n v="232054.16999999998"/>
    <n v="17526.75"/>
    <n v="31080.77"/>
    <n v="68938.55"/>
    <n v="80856.740000000005"/>
    <n v="195832.22"/>
    <n v="132735.92000000001"/>
    <n v="117312.38"/>
    <n v="150028.98000000001"/>
    <n v="176669.63999999998"/>
    <n v="1426677.45"/>
  </r>
  <r>
    <n v="790"/>
    <s v="Product_790"/>
    <x v="5"/>
    <n v="473.91"/>
    <n v="3.1"/>
    <n v="628"/>
    <n v="168"/>
    <n v="708"/>
    <n v="236"/>
    <n v="438"/>
    <n v="911"/>
    <n v="460"/>
    <n v="961"/>
    <n v="877"/>
    <n v="794"/>
    <n v="247"/>
    <n v="415"/>
    <n v="930"/>
    <n v="7145"/>
    <n v="79616.88"/>
    <n v="335528.28000000003"/>
    <n v="111842.76000000001"/>
    <n v="207572.58000000002"/>
    <n v="431732.01"/>
    <n v="217998.6"/>
    <n v="455427.51"/>
    <n v="415619.07"/>
    <n v="376284.54000000004"/>
    <n v="117055.77"/>
    <n v="196672.65000000002"/>
    <n v="440736.30000000005"/>
    <n v="3386086.95"/>
  </r>
  <r>
    <n v="791"/>
    <s v="Product_791"/>
    <x v="6"/>
    <n v="80.91"/>
    <n v="1.6"/>
    <n v="440"/>
    <n v="964"/>
    <n v="852"/>
    <n v="247"/>
    <n v="731"/>
    <n v="147"/>
    <n v="323"/>
    <n v="727"/>
    <n v="822"/>
    <n v="970"/>
    <n v="382"/>
    <n v="147"/>
    <n v="944"/>
    <n v="7256"/>
    <n v="77997.239999999991"/>
    <n v="68935.319999999992"/>
    <n v="19984.77"/>
    <n v="59145.21"/>
    <n v="11893.769999999999"/>
    <n v="26133.93"/>
    <n v="58821.57"/>
    <n v="66508.02"/>
    <n v="78482.7"/>
    <n v="30907.62"/>
    <n v="11893.769999999999"/>
    <n v="76379.039999999994"/>
    <n v="587082.96000000008"/>
  </r>
  <r>
    <n v="792"/>
    <s v="Product_792"/>
    <x v="3"/>
    <n v="295.18"/>
    <n v="3.9"/>
    <n v="204"/>
    <n v="908"/>
    <n v="124"/>
    <n v="367"/>
    <n v="859"/>
    <n v="335"/>
    <n v="813"/>
    <n v="926"/>
    <n v="128"/>
    <n v="624"/>
    <n v="217"/>
    <n v="969"/>
    <n v="554"/>
    <n v="6824"/>
    <n v="268023.44"/>
    <n v="36602.32"/>
    <n v="108331.06"/>
    <n v="253559.62"/>
    <n v="98885.3"/>
    <n v="239981.34"/>
    <n v="273336.68"/>
    <n v="37783.040000000001"/>
    <n v="184192.32"/>
    <n v="64054.060000000005"/>
    <n v="286029.42"/>
    <n v="163529.72"/>
    <n v="2014308.32"/>
  </r>
  <r>
    <n v="793"/>
    <s v="Product_793"/>
    <x v="0"/>
    <n v="255.41"/>
    <n v="3"/>
    <n v="486"/>
    <n v="342"/>
    <n v="137"/>
    <n v="494"/>
    <n v="955"/>
    <n v="70"/>
    <n v="845"/>
    <n v="672"/>
    <n v="48"/>
    <n v="132"/>
    <n v="86"/>
    <n v="28"/>
    <n v="424"/>
    <n v="4233"/>
    <n v="87350.22"/>
    <n v="34991.17"/>
    <n v="126172.54"/>
    <n v="243916.55"/>
    <n v="17878.7"/>
    <n v="215821.45"/>
    <n v="171635.52"/>
    <n v="12259.68"/>
    <n v="33714.120000000003"/>
    <n v="21965.26"/>
    <n v="7151.48"/>
    <n v="108293.84"/>
    <n v="1081150.53"/>
  </r>
  <r>
    <n v="794"/>
    <s v="Product_794"/>
    <x v="6"/>
    <n v="307.67"/>
    <n v="3.7"/>
    <n v="833"/>
    <n v="825"/>
    <n v="338"/>
    <n v="24"/>
    <n v="698"/>
    <n v="232"/>
    <n v="140"/>
    <n v="422"/>
    <n v="675"/>
    <n v="582"/>
    <n v="81"/>
    <n v="360"/>
    <n v="292"/>
    <n v="4669"/>
    <n v="253827.75"/>
    <n v="103992.46"/>
    <n v="7384.08"/>
    <n v="214753.66"/>
    <n v="71379.44"/>
    <n v="43073.8"/>
    <n v="129836.74"/>
    <n v="207677.25"/>
    <n v="179063.94"/>
    <n v="24921.27"/>
    <n v="110761.20000000001"/>
    <n v="89839.64"/>
    <n v="1436511.23"/>
  </r>
  <r>
    <n v="795"/>
    <s v="Product_795"/>
    <x v="3"/>
    <n v="13.96"/>
    <n v="1.2"/>
    <n v="31"/>
    <n v="305"/>
    <n v="536"/>
    <n v="585"/>
    <n v="288"/>
    <n v="333"/>
    <n v="666"/>
    <n v="605"/>
    <n v="788"/>
    <n v="82"/>
    <n v="61"/>
    <n v="307"/>
    <n v="184"/>
    <n v="4740"/>
    <n v="4257.8"/>
    <n v="7482.56"/>
    <n v="8166.6"/>
    <n v="4020.4800000000005"/>
    <n v="4648.68"/>
    <n v="9297.36"/>
    <n v="8445.8000000000011"/>
    <n v="11000.480000000001"/>
    <n v="1144.72"/>
    <n v="851.56000000000006"/>
    <n v="4285.72"/>
    <n v="2568.6400000000003"/>
    <n v="66170.400000000009"/>
  </r>
  <r>
    <n v="796"/>
    <s v="Product_796"/>
    <x v="5"/>
    <n v="436.7"/>
    <n v="1.3"/>
    <n v="388"/>
    <n v="541"/>
    <n v="67"/>
    <n v="717"/>
    <n v="914"/>
    <n v="810"/>
    <n v="261"/>
    <n v="173"/>
    <n v="292"/>
    <n v="56"/>
    <n v="798"/>
    <n v="882"/>
    <n v="553"/>
    <n v="6064"/>
    <n v="236254.69999999998"/>
    <n v="29258.899999999998"/>
    <n v="313113.89999999997"/>
    <n v="399143.8"/>
    <n v="353727"/>
    <n v="113978.7"/>
    <n v="75549.099999999991"/>
    <n v="127516.4"/>
    <n v="24455.200000000001"/>
    <n v="348486.6"/>
    <n v="385169.39999999997"/>
    <n v="241495.1"/>
    <n v="2648148.7999999998"/>
  </r>
  <r>
    <n v="797"/>
    <s v="Product_797"/>
    <x v="1"/>
    <n v="466.4"/>
    <n v="3.9"/>
    <n v="625"/>
    <n v="701"/>
    <n v="572"/>
    <n v="489"/>
    <n v="539"/>
    <n v="665"/>
    <n v="784"/>
    <n v="676"/>
    <n v="627"/>
    <n v="375"/>
    <n v="499"/>
    <n v="941"/>
    <n v="430"/>
    <n v="7298"/>
    <n v="326946.39999999997"/>
    <n v="266780.79999999999"/>
    <n v="228069.59999999998"/>
    <n v="251389.59999999998"/>
    <n v="310156"/>
    <n v="365657.59999999998"/>
    <n v="315286.39999999997"/>
    <n v="292432.8"/>
    <n v="174900"/>
    <n v="232733.59999999998"/>
    <n v="438882.39999999997"/>
    <n v="200552"/>
    <n v="3403787.1999999997"/>
  </r>
  <r>
    <n v="798"/>
    <s v="Product_798"/>
    <x v="5"/>
    <n v="284.74"/>
    <n v="1.3"/>
    <n v="877"/>
    <n v="868"/>
    <n v="540"/>
    <n v="493"/>
    <n v="890"/>
    <n v="89"/>
    <n v="419"/>
    <n v="114"/>
    <n v="535"/>
    <n v="348"/>
    <n v="41"/>
    <n v="161"/>
    <n v="603"/>
    <n v="5101"/>
    <n v="247154.32"/>
    <n v="153759.6"/>
    <n v="140376.82"/>
    <n v="253418.6"/>
    <n v="25341.86"/>
    <n v="119306.06"/>
    <n v="32460.36"/>
    <n v="152335.9"/>
    <n v="99089.52"/>
    <n v="11674.34"/>
    <n v="45843.14"/>
    <n v="171698.22"/>
    <n v="1452458.74"/>
  </r>
  <r>
    <n v="799"/>
    <s v="Product_799"/>
    <x v="0"/>
    <n v="349.84"/>
    <n v="1.3"/>
    <n v="434"/>
    <n v="536"/>
    <n v="382"/>
    <n v="313"/>
    <n v="691"/>
    <n v="333"/>
    <n v="743"/>
    <n v="219"/>
    <n v="310"/>
    <n v="270"/>
    <n v="11"/>
    <n v="868"/>
    <n v="316"/>
    <n v="4992"/>
    <n v="187514.23999999999"/>
    <n v="133638.88"/>
    <n v="109499.92"/>
    <n v="241739.43999999997"/>
    <n v="116496.71999999999"/>
    <n v="259931.12"/>
    <n v="76614.959999999992"/>
    <n v="108450.4"/>
    <n v="94456.799999999988"/>
    <n v="3848.24"/>
    <n v="303661.12"/>
    <n v="110549.43999999999"/>
    <n v="1746401.2799999998"/>
  </r>
  <r>
    <n v="800"/>
    <s v="Product_800"/>
    <x v="5"/>
    <n v="461.64"/>
    <n v="1"/>
    <n v="837"/>
    <n v="111"/>
    <n v="18"/>
    <n v="605"/>
    <n v="252"/>
    <n v="198"/>
    <n v="240"/>
    <n v="955"/>
    <n v="536"/>
    <n v="482"/>
    <n v="832"/>
    <n v="851"/>
    <n v="397"/>
    <n v="5477"/>
    <n v="51242.04"/>
    <n v="8309.52"/>
    <n v="279292.2"/>
    <n v="116333.28"/>
    <n v="91404.72"/>
    <n v="110793.59999999999"/>
    <n v="440866.2"/>
    <n v="247439.03999999998"/>
    <n v="222510.47999999998"/>
    <n v="384084.47999999998"/>
    <n v="392855.64"/>
    <n v="183271.08"/>
    <n v="2528402.2800000003"/>
  </r>
  <r>
    <n v="801"/>
    <s v="Product_801"/>
    <x v="6"/>
    <n v="355.08"/>
    <n v="4.8"/>
    <n v="926"/>
    <n v="410"/>
    <n v="682"/>
    <n v="374"/>
    <n v="125"/>
    <n v="160"/>
    <n v="354"/>
    <n v="30"/>
    <n v="902"/>
    <n v="110"/>
    <n v="745"/>
    <n v="60"/>
    <n v="323"/>
    <n v="4275"/>
    <n v="145582.79999999999"/>
    <n v="242164.56"/>
    <n v="132799.91999999998"/>
    <n v="44385"/>
    <n v="56812.799999999996"/>
    <n v="125698.31999999999"/>
    <n v="10652.4"/>
    <n v="320282.15999999997"/>
    <n v="39058.799999999996"/>
    <n v="264534.59999999998"/>
    <n v="21304.799999999999"/>
    <n v="114690.84"/>
    <n v="1517967"/>
  </r>
  <r>
    <n v="802"/>
    <s v="Product_802"/>
    <x v="0"/>
    <n v="80.510000000000005"/>
    <n v="4"/>
    <n v="376"/>
    <n v="946"/>
    <n v="449"/>
    <n v="638"/>
    <n v="176"/>
    <n v="537"/>
    <n v="848"/>
    <n v="522"/>
    <n v="638"/>
    <n v="868"/>
    <n v="840"/>
    <n v="124"/>
    <n v="564"/>
    <n v="7150"/>
    <n v="76162.460000000006"/>
    <n v="36148.990000000005"/>
    <n v="51365.380000000005"/>
    <n v="14169.76"/>
    <n v="43233.87"/>
    <n v="68272.48000000001"/>
    <n v="42026.22"/>
    <n v="51365.380000000005"/>
    <n v="69882.680000000008"/>
    <n v="67628.400000000009"/>
    <n v="9983.24"/>
    <n v="45407.64"/>
    <n v="575646.50000000012"/>
  </r>
  <r>
    <n v="803"/>
    <s v="Product_803"/>
    <x v="4"/>
    <n v="290.26"/>
    <n v="2.4"/>
    <n v="344"/>
    <n v="205"/>
    <n v="73"/>
    <n v="936"/>
    <n v="36"/>
    <n v="120"/>
    <n v="1000"/>
    <n v="342"/>
    <n v="233"/>
    <n v="886"/>
    <n v="642"/>
    <n v="455"/>
    <n v="595"/>
    <n v="5523"/>
    <n v="59503.299999999996"/>
    <n v="21188.98"/>
    <n v="271683.36"/>
    <n v="10449.36"/>
    <n v="34831.199999999997"/>
    <n v="290260"/>
    <n v="99268.92"/>
    <n v="67630.58"/>
    <n v="257170.36"/>
    <n v="186346.91999999998"/>
    <n v="132068.29999999999"/>
    <n v="172704.69999999998"/>
    <n v="1603105.98"/>
  </r>
  <r>
    <n v="804"/>
    <s v="Product_804"/>
    <x v="2"/>
    <n v="305.32"/>
    <n v="2.2000000000000002"/>
    <n v="443"/>
    <n v="184"/>
    <n v="572"/>
    <n v="24"/>
    <n v="409"/>
    <n v="300"/>
    <n v="769"/>
    <n v="376"/>
    <n v="208"/>
    <n v="75"/>
    <n v="114"/>
    <n v="70"/>
    <n v="545"/>
    <n v="3646"/>
    <n v="56178.879999999997"/>
    <n v="174643.04"/>
    <n v="7327.68"/>
    <n v="124875.87999999999"/>
    <n v="91596"/>
    <n v="234791.08"/>
    <n v="114800.31999999999"/>
    <n v="63506.559999999998"/>
    <n v="22899"/>
    <n v="34806.479999999996"/>
    <n v="21372.399999999998"/>
    <n v="166399.4"/>
    <n v="1113196.72"/>
  </r>
  <r>
    <n v="805"/>
    <s v="Product_805"/>
    <x v="4"/>
    <n v="214.94"/>
    <n v="2.4"/>
    <n v="579"/>
    <n v="381"/>
    <n v="938"/>
    <n v="333"/>
    <n v="610"/>
    <n v="723"/>
    <n v="760"/>
    <n v="129"/>
    <n v="604"/>
    <n v="157"/>
    <n v="217"/>
    <n v="837"/>
    <n v="75"/>
    <n v="5764"/>
    <n v="81892.14"/>
    <n v="201613.72"/>
    <n v="71575.02"/>
    <n v="131113.4"/>
    <n v="155401.62"/>
    <n v="163354.4"/>
    <n v="27727.26"/>
    <n v="129823.76"/>
    <n v="33745.58"/>
    <n v="46641.979999999996"/>
    <n v="179904.78"/>
    <n v="16120.5"/>
    <n v="1238914.1599999999"/>
  </r>
  <r>
    <n v="806"/>
    <s v="Product_806"/>
    <x v="6"/>
    <n v="369.54"/>
    <n v="4.0999999999999996"/>
    <n v="75"/>
    <n v="495"/>
    <n v="664"/>
    <n v="354"/>
    <n v="609"/>
    <n v="574"/>
    <n v="588"/>
    <n v="999"/>
    <n v="93"/>
    <n v="531"/>
    <n v="648"/>
    <n v="906"/>
    <n v="864"/>
    <n v="7325"/>
    <n v="182922.30000000002"/>
    <n v="245374.56000000003"/>
    <n v="130817.16"/>
    <n v="225049.86000000002"/>
    <n v="212115.96000000002"/>
    <n v="217289.52000000002"/>
    <n v="369170.46"/>
    <n v="34367.22"/>
    <n v="196225.74000000002"/>
    <n v="239461.92"/>
    <n v="334803.24"/>
    <n v="319282.56"/>
    <n v="2706880.5"/>
  </r>
  <r>
    <n v="807"/>
    <s v="Product_807"/>
    <x v="2"/>
    <n v="467.51"/>
    <n v="3.6"/>
    <n v="557"/>
    <n v="378"/>
    <n v="275"/>
    <n v="115"/>
    <n v="126"/>
    <n v="962"/>
    <n v="179"/>
    <n v="616"/>
    <n v="326"/>
    <n v="932"/>
    <n v="105"/>
    <n v="875"/>
    <n v="919"/>
    <n v="5808"/>
    <n v="176718.78"/>
    <n v="128565.25"/>
    <n v="53763.65"/>
    <n v="58906.26"/>
    <n v="449744.62"/>
    <n v="83684.289999999994"/>
    <n v="287986.15999999997"/>
    <n v="152408.26"/>
    <n v="435719.32"/>
    <n v="49088.549999999996"/>
    <n v="409071.25"/>
    <n v="429641.69"/>
    <n v="2715298.08"/>
  </r>
  <r>
    <n v="808"/>
    <s v="Product_808"/>
    <x v="4"/>
    <n v="463.16"/>
    <n v="1.7"/>
    <n v="772"/>
    <n v="46"/>
    <n v="47"/>
    <n v="47"/>
    <n v="482"/>
    <n v="435"/>
    <n v="65"/>
    <n v="538"/>
    <n v="224"/>
    <n v="642"/>
    <n v="690"/>
    <n v="465"/>
    <n v="915"/>
    <n v="4596"/>
    <n v="21305.360000000001"/>
    <n v="21768.52"/>
    <n v="21768.52"/>
    <n v="223243.12000000002"/>
    <n v="201474.6"/>
    <n v="30105.4"/>
    <n v="249180.08000000002"/>
    <n v="103747.84000000001"/>
    <n v="297348.72000000003"/>
    <n v="319580.40000000002"/>
    <n v="215369.40000000002"/>
    <n v="423791.4"/>
    <n v="2128683.36"/>
  </r>
  <r>
    <n v="809"/>
    <s v="Product_809"/>
    <x v="2"/>
    <n v="228.17"/>
    <n v="1.7"/>
    <n v="666"/>
    <n v="885"/>
    <n v="210"/>
    <n v="737"/>
    <n v="167"/>
    <n v="67"/>
    <n v="819"/>
    <n v="738"/>
    <n v="966"/>
    <n v="328"/>
    <n v="527"/>
    <n v="242"/>
    <n v="708"/>
    <n v="6394"/>
    <n v="201930.44999999998"/>
    <n v="47915.7"/>
    <n v="168161.28999999998"/>
    <n v="38104.39"/>
    <n v="15287.39"/>
    <n v="186871.22999999998"/>
    <n v="168389.46"/>
    <n v="220412.22"/>
    <n v="74839.759999999995"/>
    <n v="120245.59"/>
    <n v="55217.14"/>
    <n v="161544.35999999999"/>
    <n v="1458918.98"/>
  </r>
  <r>
    <n v="810"/>
    <s v="Product_810"/>
    <x v="3"/>
    <n v="61.05"/>
    <n v="1.4"/>
    <n v="155"/>
    <n v="739"/>
    <n v="854"/>
    <n v="777"/>
    <n v="591"/>
    <n v="764"/>
    <n v="347"/>
    <n v="1"/>
    <n v="889"/>
    <n v="121"/>
    <n v="471"/>
    <n v="489"/>
    <n v="485"/>
    <n v="6528"/>
    <n v="45115.95"/>
    <n v="52136.7"/>
    <n v="47435.85"/>
    <n v="36080.549999999996"/>
    <n v="46642.2"/>
    <n v="21184.35"/>
    <n v="61.05"/>
    <n v="54273.45"/>
    <n v="7387.0499999999993"/>
    <n v="28754.55"/>
    <n v="29853.449999999997"/>
    <n v="29609.25"/>
    <n v="398534.39999999997"/>
  </r>
  <r>
    <n v="811"/>
    <s v="Product_811"/>
    <x v="5"/>
    <n v="492.5"/>
    <n v="3.6"/>
    <n v="430"/>
    <n v="550"/>
    <n v="919"/>
    <n v="98"/>
    <n v="293"/>
    <n v="921"/>
    <n v="170"/>
    <n v="870"/>
    <n v="791"/>
    <n v="40"/>
    <n v="753"/>
    <n v="760"/>
    <n v="797"/>
    <n v="6962"/>
    <n v="270875"/>
    <n v="452607.5"/>
    <n v="48265"/>
    <n v="144302.5"/>
    <n v="453592.5"/>
    <n v="83725"/>
    <n v="428475"/>
    <n v="389567.5"/>
    <n v="19700"/>
    <n v="370852.5"/>
    <n v="374300"/>
    <n v="392522.5"/>
    <n v="3428785"/>
  </r>
  <r>
    <n v="812"/>
    <s v="Product_812"/>
    <x v="0"/>
    <n v="420.25"/>
    <n v="4.0999999999999996"/>
    <n v="363"/>
    <n v="527"/>
    <n v="650"/>
    <n v="458"/>
    <n v="844"/>
    <n v="458"/>
    <n v="473"/>
    <n v="100"/>
    <n v="10"/>
    <n v="166"/>
    <n v="845"/>
    <n v="220"/>
    <n v="87"/>
    <n v="4838"/>
    <n v="221471.75"/>
    <n v="273162.5"/>
    <n v="192474.5"/>
    <n v="354691"/>
    <n v="192474.5"/>
    <n v="198778.25"/>
    <n v="42025"/>
    <n v="4202.5"/>
    <n v="69761.5"/>
    <n v="355111.25"/>
    <n v="92455"/>
    <n v="36561.75"/>
    <n v="2033169.5"/>
  </r>
  <r>
    <n v="813"/>
    <s v="Product_813"/>
    <x v="2"/>
    <n v="66.709999999999994"/>
    <n v="2.1"/>
    <n v="448"/>
    <n v="503"/>
    <n v="621"/>
    <n v="522"/>
    <n v="637"/>
    <n v="513"/>
    <n v="533"/>
    <n v="532"/>
    <n v="328"/>
    <n v="921"/>
    <n v="892"/>
    <n v="472"/>
    <n v="746"/>
    <n v="7220"/>
    <n v="33555.129999999997"/>
    <n v="41426.909999999996"/>
    <n v="34822.619999999995"/>
    <n v="42494.27"/>
    <n v="34222.229999999996"/>
    <n v="35556.43"/>
    <n v="35489.719999999994"/>
    <n v="21880.879999999997"/>
    <n v="61439.909999999996"/>
    <n v="59505.319999999992"/>
    <n v="31487.119999999995"/>
    <n v="49765.659999999996"/>
    <n v="481646.1999999999"/>
  </r>
  <r>
    <n v="814"/>
    <s v="Product_814"/>
    <x v="3"/>
    <n v="460.82"/>
    <n v="1.1000000000000001"/>
    <n v="987"/>
    <n v="21"/>
    <n v="993"/>
    <n v="596"/>
    <n v="342"/>
    <n v="397"/>
    <n v="366"/>
    <n v="57"/>
    <n v="11"/>
    <n v="641"/>
    <n v="386"/>
    <n v="958"/>
    <n v="231"/>
    <n v="4999"/>
    <n v="9677.2199999999993"/>
    <n v="457594.26"/>
    <n v="274648.71999999997"/>
    <n v="157600.44"/>
    <n v="182945.54"/>
    <n v="168660.12"/>
    <n v="26266.739999999998"/>
    <n v="5069.0199999999995"/>
    <n v="295385.62"/>
    <n v="177876.52"/>
    <n v="441465.56"/>
    <n v="106449.42"/>
    <n v="2303639.1799999997"/>
  </r>
  <r>
    <n v="815"/>
    <s v="Product_815"/>
    <x v="5"/>
    <n v="435.6"/>
    <n v="1.3"/>
    <n v="234"/>
    <n v="212"/>
    <n v="694"/>
    <n v="404"/>
    <n v="309"/>
    <n v="619"/>
    <n v="106"/>
    <n v="388"/>
    <n v="34"/>
    <n v="22"/>
    <n v="225"/>
    <n v="532"/>
    <n v="6"/>
    <n v="3551"/>
    <n v="92347.200000000012"/>
    <n v="302306.40000000002"/>
    <n v="175982.40000000002"/>
    <n v="134600.4"/>
    <n v="269636.40000000002"/>
    <n v="46173.600000000006"/>
    <n v="169012.80000000002"/>
    <n v="14810.400000000001"/>
    <n v="9583.2000000000007"/>
    <n v="98010"/>
    <n v="231739.2"/>
    <n v="2613.6000000000004"/>
    <n v="1546815.5999999999"/>
  </r>
  <r>
    <n v="816"/>
    <s v="Product_816"/>
    <x v="5"/>
    <n v="261.82"/>
    <n v="4.9000000000000004"/>
    <n v="563"/>
    <n v="309"/>
    <n v="539"/>
    <n v="213"/>
    <n v="661"/>
    <n v="285"/>
    <n v="438"/>
    <n v="691"/>
    <n v="446"/>
    <n v="278"/>
    <n v="480"/>
    <n v="493"/>
    <n v="803"/>
    <n v="5636"/>
    <n v="80902.38"/>
    <n v="141120.98000000001"/>
    <n v="55767.659999999996"/>
    <n v="173063.02"/>
    <n v="74618.7"/>
    <n v="114677.16"/>
    <n v="180917.62"/>
    <n v="116771.72"/>
    <n v="72785.959999999992"/>
    <n v="125673.59999999999"/>
    <n v="129077.26"/>
    <n v="210241.46"/>
    <n v="1475617.52"/>
  </r>
  <r>
    <n v="817"/>
    <s v="Product_817"/>
    <x v="1"/>
    <n v="297.68"/>
    <n v="2.2000000000000002"/>
    <n v="818"/>
    <n v="660"/>
    <n v="708"/>
    <n v="684"/>
    <n v="527"/>
    <n v="560"/>
    <n v="834"/>
    <n v="940"/>
    <n v="451"/>
    <n v="762"/>
    <n v="753"/>
    <n v="898"/>
    <n v="549"/>
    <n v="8326"/>
    <n v="196468.80000000002"/>
    <n v="210757.44"/>
    <n v="203613.12"/>
    <n v="156877.36000000002"/>
    <n v="166700.80000000002"/>
    <n v="248265.12"/>
    <n v="279819.2"/>
    <n v="134253.68"/>
    <n v="226832.16"/>
    <n v="224153.04"/>
    <n v="267316.64"/>
    <n v="163426.32"/>
    <n v="2478483.6799999997"/>
  </r>
  <r>
    <n v="818"/>
    <s v="Product_818"/>
    <x v="4"/>
    <n v="202.51"/>
    <n v="4.0999999999999996"/>
    <n v="262"/>
    <n v="967"/>
    <n v="190"/>
    <n v="902"/>
    <n v="539"/>
    <n v="139"/>
    <n v="226"/>
    <n v="340"/>
    <n v="739"/>
    <n v="468"/>
    <n v="407"/>
    <n v="81"/>
    <n v="975"/>
    <n v="5973"/>
    <n v="195827.16999999998"/>
    <n v="38476.9"/>
    <n v="182664.02"/>
    <n v="109152.89"/>
    <n v="28148.89"/>
    <n v="45767.259999999995"/>
    <n v="68853.399999999994"/>
    <n v="149654.88999999998"/>
    <n v="94774.68"/>
    <n v="82421.569999999992"/>
    <n v="16403.309999999998"/>
    <n v="197447.25"/>
    <n v="1209592.23"/>
  </r>
  <r>
    <n v="819"/>
    <s v="Product_819"/>
    <x v="1"/>
    <n v="32.11"/>
    <n v="3.5"/>
    <n v="827"/>
    <n v="752"/>
    <n v="314"/>
    <n v="502"/>
    <n v="418"/>
    <n v="729"/>
    <n v="443"/>
    <n v="860"/>
    <n v="219"/>
    <n v="399"/>
    <n v="456"/>
    <n v="855"/>
    <n v="51"/>
    <n v="5998"/>
    <n v="24146.720000000001"/>
    <n v="10082.539999999999"/>
    <n v="16119.22"/>
    <n v="13421.98"/>
    <n v="23408.19"/>
    <n v="14224.73"/>
    <n v="27614.6"/>
    <n v="7032.09"/>
    <n v="12811.89"/>
    <n v="14642.16"/>
    <n v="27454.05"/>
    <n v="1637.61"/>
    <n v="192595.78"/>
  </r>
  <r>
    <n v="820"/>
    <s v="Product_820"/>
    <x v="6"/>
    <n v="170.92"/>
    <n v="2.5"/>
    <n v="125"/>
    <n v="271"/>
    <n v="900"/>
    <n v="720"/>
    <n v="443"/>
    <n v="555"/>
    <n v="441"/>
    <n v="19"/>
    <n v="440"/>
    <n v="8"/>
    <n v="652"/>
    <n v="878"/>
    <n v="654"/>
    <n v="5981"/>
    <n v="46319.32"/>
    <n v="153828"/>
    <n v="123062.39999999999"/>
    <n v="75717.56"/>
    <n v="94860.599999999991"/>
    <n v="75375.72"/>
    <n v="3247.4799999999996"/>
    <n v="75204.799999999988"/>
    <n v="1367.36"/>
    <n v="111439.84"/>
    <n v="150067.75999999998"/>
    <n v="111781.68"/>
    <n v="1022272.5199999998"/>
  </r>
  <r>
    <n v="821"/>
    <s v="Product_821"/>
    <x v="3"/>
    <n v="402.41"/>
    <n v="1.8"/>
    <n v="911"/>
    <n v="570"/>
    <n v="562"/>
    <n v="447"/>
    <n v="684"/>
    <n v="928"/>
    <n v="395"/>
    <n v="254"/>
    <n v="652"/>
    <n v="12"/>
    <n v="897"/>
    <n v="997"/>
    <n v="941"/>
    <n v="7339"/>
    <n v="229373.7"/>
    <n v="226154.42"/>
    <n v="179877.27000000002"/>
    <n v="275248.44"/>
    <n v="373436.48000000004"/>
    <n v="158951.95000000001"/>
    <n v="102212.14"/>
    <n v="262371.32"/>
    <n v="4828.92"/>
    <n v="360961.77"/>
    <n v="401202.77"/>
    <n v="378667.81"/>
    <n v="2953286.99"/>
  </r>
  <r>
    <n v="822"/>
    <s v="Product_822"/>
    <x v="1"/>
    <n v="7.29"/>
    <n v="1.5"/>
    <n v="245"/>
    <n v="798"/>
    <n v="660"/>
    <n v="893"/>
    <n v="557"/>
    <n v="780"/>
    <n v="727"/>
    <n v="316"/>
    <n v="534"/>
    <n v="923"/>
    <n v="710"/>
    <n v="521"/>
    <n v="918"/>
    <n v="8337"/>
    <n v="5817.42"/>
    <n v="4811.3999999999996"/>
    <n v="6509.97"/>
    <n v="4060.53"/>
    <n v="5686.2"/>
    <n v="5299.83"/>
    <n v="2303.64"/>
    <n v="3892.86"/>
    <n v="6728.67"/>
    <n v="5175.8999999999996"/>
    <n v="3798.09"/>
    <n v="6692.22"/>
    <n v="60776.729999999996"/>
  </r>
  <r>
    <n v="823"/>
    <s v="Product_823"/>
    <x v="1"/>
    <n v="170.08"/>
    <n v="3.5"/>
    <n v="542"/>
    <n v="937"/>
    <n v="779"/>
    <n v="575"/>
    <n v="839"/>
    <n v="589"/>
    <n v="580"/>
    <n v="37"/>
    <n v="594"/>
    <n v="922"/>
    <n v="623"/>
    <n v="922"/>
    <n v="395"/>
    <n v="7792"/>
    <n v="159364.96000000002"/>
    <n v="132492.32"/>
    <n v="97796"/>
    <n v="142697.12000000002"/>
    <n v="100177.12000000001"/>
    <n v="98646.400000000009"/>
    <n v="6292.96"/>
    <n v="101027.52"/>
    <n v="156813.76000000001"/>
    <n v="105959.84000000001"/>
    <n v="156813.76000000001"/>
    <n v="67181.600000000006"/>
    <n v="1325263.3600000001"/>
  </r>
  <r>
    <n v="824"/>
    <s v="Product_824"/>
    <x v="5"/>
    <n v="202.09"/>
    <n v="4.0999999999999996"/>
    <n v="938"/>
    <n v="201"/>
    <n v="561"/>
    <n v="257"/>
    <n v="235"/>
    <n v="727"/>
    <n v="83"/>
    <n v="659"/>
    <n v="228"/>
    <n v="818"/>
    <n v="638"/>
    <n v="11"/>
    <n v="220"/>
    <n v="4638"/>
    <n v="40620.090000000004"/>
    <n v="113372.49"/>
    <n v="51937.13"/>
    <n v="47491.15"/>
    <n v="146919.43"/>
    <n v="16773.47"/>
    <n v="133177.31"/>
    <n v="46076.520000000004"/>
    <n v="165309.62"/>
    <n v="128933.42"/>
    <n v="2222.9900000000002"/>
    <n v="44459.8"/>
    <n v="937293.42000000016"/>
  </r>
  <r>
    <n v="825"/>
    <s v="Product_825"/>
    <x v="3"/>
    <n v="271.01"/>
    <n v="3.6"/>
    <n v="485"/>
    <n v="31"/>
    <n v="899"/>
    <n v="843"/>
    <n v="438"/>
    <n v="893"/>
    <n v="614"/>
    <n v="536"/>
    <n v="934"/>
    <n v="831"/>
    <n v="20"/>
    <n v="262"/>
    <n v="427"/>
    <n v="6728"/>
    <n v="8401.31"/>
    <n v="243637.99"/>
    <n v="228461.43"/>
    <n v="118702.37999999999"/>
    <n v="242011.93"/>
    <n v="166400.13999999998"/>
    <n v="145261.35999999999"/>
    <n v="253123.34"/>
    <n v="225209.31"/>
    <n v="5420.2"/>
    <n v="71004.62"/>
    <n v="115721.26999999999"/>
    <n v="1823355.2800000003"/>
  </r>
  <r>
    <n v="826"/>
    <s v="Product_826"/>
    <x v="5"/>
    <n v="460.33"/>
    <n v="3.1"/>
    <n v="122"/>
    <n v="442"/>
    <n v="757"/>
    <n v="120"/>
    <n v="213"/>
    <n v="609"/>
    <n v="550"/>
    <n v="385"/>
    <n v="343"/>
    <n v="51"/>
    <n v="658"/>
    <n v="656"/>
    <n v="751"/>
    <n v="5535"/>
    <n v="203465.86"/>
    <n v="348469.81"/>
    <n v="55239.6"/>
    <n v="98050.29"/>
    <n v="280340.96999999997"/>
    <n v="253181.5"/>
    <n v="177227.05"/>
    <n v="157893.19"/>
    <n v="23476.829999999998"/>
    <n v="302897.14"/>
    <n v="301976.48"/>
    <n v="345707.83"/>
    <n v="2547926.5499999998"/>
  </r>
  <r>
    <n v="827"/>
    <s v="Product_827"/>
    <x v="0"/>
    <n v="176.44"/>
    <n v="1.2"/>
    <n v="125"/>
    <n v="161"/>
    <n v="112"/>
    <n v="809"/>
    <n v="84"/>
    <n v="747"/>
    <n v="12"/>
    <n v="632"/>
    <n v="79"/>
    <n v="208"/>
    <n v="600"/>
    <n v="448"/>
    <n v="142"/>
    <n v="4034"/>
    <n v="28406.84"/>
    <n v="19761.28"/>
    <n v="142739.96"/>
    <n v="14820.96"/>
    <n v="131800.68"/>
    <n v="2117.2799999999997"/>
    <n v="111510.08"/>
    <n v="13938.76"/>
    <n v="36699.519999999997"/>
    <n v="105864"/>
    <n v="79045.119999999995"/>
    <n v="25054.48"/>
    <n v="711758.96000000008"/>
  </r>
  <r>
    <n v="828"/>
    <s v="Product_828"/>
    <x v="2"/>
    <n v="176.74"/>
    <n v="4.9000000000000004"/>
    <n v="549"/>
    <n v="766"/>
    <n v="169"/>
    <n v="977"/>
    <n v="793"/>
    <n v="281"/>
    <n v="808"/>
    <n v="927"/>
    <n v="352"/>
    <n v="549"/>
    <n v="814"/>
    <n v="191"/>
    <n v="860"/>
    <n v="7487"/>
    <n v="135382.84"/>
    <n v="29869.06"/>
    <n v="172674.98"/>
    <n v="140154.82"/>
    <n v="49663.94"/>
    <n v="142805.92000000001"/>
    <n v="163837.98000000001"/>
    <n v="62212.480000000003"/>
    <n v="97030.260000000009"/>
    <n v="143866.36000000002"/>
    <n v="33757.340000000004"/>
    <n v="151996.4"/>
    <n v="1323252.3800000001"/>
  </r>
  <r>
    <n v="829"/>
    <s v="Product_829"/>
    <x v="6"/>
    <n v="370.06"/>
    <n v="4.2"/>
    <n v="170"/>
    <n v="253"/>
    <n v="467"/>
    <n v="53"/>
    <n v="743"/>
    <n v="660"/>
    <n v="824"/>
    <n v="25"/>
    <n v="395"/>
    <n v="611"/>
    <n v="917"/>
    <n v="761"/>
    <n v="362"/>
    <n v="6071"/>
    <n v="93625.180000000008"/>
    <n v="172818.02"/>
    <n v="19613.18"/>
    <n v="274954.58"/>
    <n v="244239.6"/>
    <n v="304929.44"/>
    <n v="9251.5"/>
    <n v="146173.70000000001"/>
    <n v="226106.66"/>
    <n v="339345.02"/>
    <n v="281615.65999999997"/>
    <n v="133961.72"/>
    <n v="2246634.2600000002"/>
  </r>
  <r>
    <n v="830"/>
    <s v="Product_830"/>
    <x v="6"/>
    <n v="228.85"/>
    <n v="2.2000000000000002"/>
    <n v="124"/>
    <n v="520"/>
    <n v="677"/>
    <n v="330"/>
    <n v="84"/>
    <n v="923"/>
    <n v="692"/>
    <n v="453"/>
    <n v="289"/>
    <n v="704"/>
    <n v="202"/>
    <n v="113"/>
    <n v="381"/>
    <n v="5368"/>
    <n v="119002"/>
    <n v="154931.44999999998"/>
    <n v="75520.5"/>
    <n v="19223.399999999998"/>
    <n v="211228.55"/>
    <n v="158364.19999999998"/>
    <n v="103669.05"/>
    <n v="66137.649999999994"/>
    <n v="161110.39999999999"/>
    <n v="46227.7"/>
    <n v="25860.05"/>
    <n v="87191.849999999991"/>
    <n v="1228466.8"/>
  </r>
  <r>
    <n v="831"/>
    <s v="Product_831"/>
    <x v="4"/>
    <n v="116.18"/>
    <n v="4.9000000000000004"/>
    <n v="869"/>
    <n v="976"/>
    <n v="920"/>
    <n v="783"/>
    <n v="920"/>
    <n v="815"/>
    <n v="492"/>
    <n v="680"/>
    <n v="454"/>
    <n v="401"/>
    <n v="416"/>
    <n v="25"/>
    <n v="560"/>
    <n v="7442"/>
    <n v="113391.68000000001"/>
    <n v="106885.6"/>
    <n v="90968.94"/>
    <n v="106885.6"/>
    <n v="94686.700000000012"/>
    <n v="57160.560000000005"/>
    <n v="79002.400000000009"/>
    <n v="52745.72"/>
    <n v="46588.18"/>
    <n v="48330.880000000005"/>
    <n v="2904.5"/>
    <n v="65060.800000000003"/>
    <n v="864611.56000000017"/>
  </r>
  <r>
    <n v="832"/>
    <s v="Product_832"/>
    <x v="5"/>
    <n v="228.96"/>
    <n v="3.4"/>
    <n v="35"/>
    <n v="650"/>
    <n v="13"/>
    <n v="240"/>
    <n v="488"/>
    <n v="995"/>
    <n v="267"/>
    <n v="322"/>
    <n v="842"/>
    <n v="190"/>
    <n v="415"/>
    <n v="782"/>
    <n v="276"/>
    <n v="5480"/>
    <n v="148824"/>
    <n v="2976.48"/>
    <n v="54950.400000000001"/>
    <n v="111732.48000000001"/>
    <n v="227815.2"/>
    <n v="61132.32"/>
    <n v="73725.119999999995"/>
    <n v="192784.32"/>
    <n v="43502.400000000001"/>
    <n v="95018.400000000009"/>
    <n v="179046.72"/>
    <n v="63192.959999999999"/>
    <n v="1254700.8"/>
  </r>
  <r>
    <n v="833"/>
    <s v="Product_833"/>
    <x v="2"/>
    <n v="74.72"/>
    <n v="3.3"/>
    <n v="87"/>
    <n v="479"/>
    <n v="714"/>
    <n v="754"/>
    <n v="64"/>
    <n v="935"/>
    <n v="524"/>
    <n v="736"/>
    <n v="670"/>
    <n v="50"/>
    <n v="447"/>
    <n v="498"/>
    <n v="270"/>
    <n v="6141"/>
    <n v="35790.879999999997"/>
    <n v="53350.080000000002"/>
    <n v="56338.879999999997"/>
    <n v="4782.08"/>
    <n v="69863.199999999997"/>
    <n v="39153.279999999999"/>
    <n v="54993.919999999998"/>
    <n v="50062.400000000001"/>
    <n v="3736"/>
    <n v="33399.839999999997"/>
    <n v="37210.559999999998"/>
    <n v="20174.400000000001"/>
    <n v="458855.52000000008"/>
  </r>
  <r>
    <n v="834"/>
    <s v="Product_834"/>
    <x v="4"/>
    <n v="92.31"/>
    <n v="4"/>
    <n v="646"/>
    <n v="9"/>
    <n v="287"/>
    <n v="529"/>
    <n v="645"/>
    <n v="577"/>
    <n v="119"/>
    <n v="512"/>
    <n v="988"/>
    <n v="392"/>
    <n v="511"/>
    <n v="507"/>
    <n v="13"/>
    <n v="5089"/>
    <n v="830.79"/>
    <n v="26492.97"/>
    <n v="48831.99"/>
    <n v="59539.950000000004"/>
    <n v="53262.87"/>
    <n v="10984.89"/>
    <n v="47262.720000000001"/>
    <n v="91202.28"/>
    <n v="36185.520000000004"/>
    <n v="47170.41"/>
    <n v="46801.17"/>
    <n v="1200.03"/>
    <n v="469765.59"/>
  </r>
  <r>
    <n v="835"/>
    <s v="Product_835"/>
    <x v="6"/>
    <n v="251.69"/>
    <n v="4.2"/>
    <n v="708"/>
    <n v="725"/>
    <n v="906"/>
    <n v="482"/>
    <n v="662"/>
    <n v="745"/>
    <n v="969"/>
    <n v="818"/>
    <n v="127"/>
    <n v="652"/>
    <n v="84"/>
    <n v="544"/>
    <n v="297"/>
    <n v="7011"/>
    <n v="182475.25"/>
    <n v="228031.13999999998"/>
    <n v="121314.58"/>
    <n v="166618.78"/>
    <n v="187509.05"/>
    <n v="243887.61"/>
    <n v="205882.41999999998"/>
    <n v="31964.63"/>
    <n v="164101.88"/>
    <n v="21141.96"/>
    <n v="136919.35999999999"/>
    <n v="74751.929999999993"/>
    <n v="1764598.5899999996"/>
  </r>
  <r>
    <n v="836"/>
    <s v="Product_836"/>
    <x v="2"/>
    <n v="212.37"/>
    <n v="3.6"/>
    <n v="786"/>
    <n v="504"/>
    <n v="188"/>
    <n v="186"/>
    <n v="626"/>
    <n v="456"/>
    <n v="352"/>
    <n v="772"/>
    <n v="701"/>
    <n v="679"/>
    <n v="166"/>
    <n v="61"/>
    <n v="463"/>
    <n v="5154"/>
    <n v="107034.48"/>
    <n v="39925.56"/>
    <n v="39500.82"/>
    <n v="132943.62"/>
    <n v="96840.72"/>
    <n v="74754.240000000005"/>
    <n v="163949.64000000001"/>
    <n v="148871.37"/>
    <n v="144199.23000000001"/>
    <n v="35253.42"/>
    <n v="12954.57"/>
    <n v="98327.31"/>
    <n v="1094554.98"/>
  </r>
  <r>
    <n v="837"/>
    <s v="Product_837"/>
    <x v="1"/>
    <n v="457.85"/>
    <n v="1.5"/>
    <n v="201"/>
    <n v="784"/>
    <n v="913"/>
    <n v="857"/>
    <n v="63"/>
    <n v="86"/>
    <n v="56"/>
    <n v="12"/>
    <n v="908"/>
    <n v="822"/>
    <n v="383"/>
    <n v="228"/>
    <n v="526"/>
    <n v="5638"/>
    <n v="358954.4"/>
    <n v="418017.05000000005"/>
    <n v="392377.45"/>
    <n v="28844.550000000003"/>
    <n v="39375.1"/>
    <n v="25639.600000000002"/>
    <n v="5494.2000000000007"/>
    <n v="415727.80000000005"/>
    <n v="376352.7"/>
    <n v="175356.55000000002"/>
    <n v="104389.8"/>
    <n v="240829.1"/>
    <n v="2581358.3000000003"/>
  </r>
  <r>
    <n v="838"/>
    <s v="Product_838"/>
    <x v="0"/>
    <n v="184.38"/>
    <n v="2.4"/>
    <n v="369"/>
    <n v="835"/>
    <n v="154"/>
    <n v="655"/>
    <n v="342"/>
    <n v="78"/>
    <n v="39"/>
    <n v="914"/>
    <n v="542"/>
    <n v="620"/>
    <n v="467"/>
    <n v="814"/>
    <n v="233"/>
    <n v="5693"/>
    <n v="153957.29999999999"/>
    <n v="28394.52"/>
    <n v="120768.9"/>
    <n v="63057.96"/>
    <n v="14381.64"/>
    <n v="7190.82"/>
    <n v="168523.32"/>
    <n v="99933.959999999992"/>
    <n v="114315.59999999999"/>
    <n v="86105.459999999992"/>
    <n v="150085.32"/>
    <n v="42960.54"/>
    <n v="1049675.3399999999"/>
  </r>
  <r>
    <n v="839"/>
    <s v="Product_839"/>
    <x v="1"/>
    <n v="292.39"/>
    <n v="4.7"/>
    <n v="797"/>
    <n v="559"/>
    <n v="566"/>
    <n v="261"/>
    <n v="938"/>
    <n v="204"/>
    <n v="885"/>
    <n v="907"/>
    <n v="897"/>
    <n v="718"/>
    <n v="71"/>
    <n v="606"/>
    <n v="574"/>
    <n v="7186"/>
    <n v="163446.00999999998"/>
    <n v="165492.74"/>
    <n v="76313.789999999994"/>
    <n v="274261.82"/>
    <n v="59647.56"/>
    <n v="258765.15"/>
    <n v="265197.73"/>
    <n v="262273.83"/>
    <n v="209936.02"/>
    <n v="20759.689999999999"/>
    <n v="177188.34"/>
    <n v="167831.86"/>
    <n v="2101114.54"/>
  </r>
  <r>
    <n v="840"/>
    <s v="Product_840"/>
    <x v="0"/>
    <n v="317.97000000000003"/>
    <n v="1.9"/>
    <n v="77"/>
    <n v="435"/>
    <n v="693"/>
    <n v="952"/>
    <n v="874"/>
    <n v="790"/>
    <n v="335"/>
    <n v="559"/>
    <n v="358"/>
    <n v="938"/>
    <n v="809"/>
    <n v="34"/>
    <n v="707"/>
    <n v="7484"/>
    <n v="138316.95000000001"/>
    <n v="220353.21000000002"/>
    <n v="302707.44"/>
    <n v="277905.78000000003"/>
    <n v="251196.30000000002"/>
    <n v="106519.95000000001"/>
    <n v="177745.23"/>
    <n v="113833.26000000001"/>
    <n v="298255.86000000004"/>
    <n v="257237.73"/>
    <n v="10810.980000000001"/>
    <n v="224804.79"/>
    <n v="2379687.4800000004"/>
  </r>
  <r>
    <n v="841"/>
    <s v="Product_841"/>
    <x v="5"/>
    <n v="11.48"/>
    <n v="2.5"/>
    <n v="59"/>
    <n v="110"/>
    <n v="721"/>
    <n v="363"/>
    <n v="918"/>
    <n v="336"/>
    <n v="639"/>
    <n v="920"/>
    <n v="526"/>
    <n v="299"/>
    <n v="996"/>
    <n v="704"/>
    <n v="26"/>
    <n v="6558"/>
    <n v="1262.8"/>
    <n v="8277.08"/>
    <n v="4167.24"/>
    <n v="10538.640000000001"/>
    <n v="3857.28"/>
    <n v="7335.72"/>
    <n v="10561.6"/>
    <n v="6038.4800000000005"/>
    <n v="3432.52"/>
    <n v="11434.08"/>
    <n v="8081.92"/>
    <n v="298.48"/>
    <n v="75285.84"/>
  </r>
  <r>
    <n v="842"/>
    <s v="Product_842"/>
    <x v="3"/>
    <n v="333.45"/>
    <n v="2.7"/>
    <n v="431"/>
    <n v="152"/>
    <n v="887"/>
    <n v="490"/>
    <n v="351"/>
    <n v="253"/>
    <n v="172"/>
    <n v="824"/>
    <n v="312"/>
    <n v="621"/>
    <n v="520"/>
    <n v="455"/>
    <n v="470"/>
    <n v="5507"/>
    <n v="50684.4"/>
    <n v="295770.14999999997"/>
    <n v="163390.5"/>
    <n v="117040.95"/>
    <n v="84362.849999999991"/>
    <n v="57353.4"/>
    <n v="274762.8"/>
    <n v="104036.4"/>
    <n v="207072.44999999998"/>
    <n v="173394"/>
    <n v="151719.75"/>
    <n v="156721.5"/>
    <n v="1836309.15"/>
  </r>
  <r>
    <n v="843"/>
    <s v="Product_843"/>
    <x v="4"/>
    <n v="93.13"/>
    <n v="2.8"/>
    <n v="638"/>
    <n v="634"/>
    <n v="470"/>
    <n v="430"/>
    <n v="157"/>
    <n v="303"/>
    <n v="546"/>
    <n v="370"/>
    <n v="74"/>
    <n v="195"/>
    <n v="792"/>
    <n v="587"/>
    <n v="92"/>
    <n v="4650"/>
    <n v="59044.42"/>
    <n v="43771.1"/>
    <n v="40045.9"/>
    <n v="14621.41"/>
    <n v="28218.39"/>
    <n v="50848.979999999996"/>
    <n v="34458.1"/>
    <n v="6891.62"/>
    <n v="18160.349999999999"/>
    <n v="73758.959999999992"/>
    <n v="54667.31"/>
    <n v="8567.9599999999991"/>
    <n v="433054.49999999988"/>
  </r>
  <r>
    <n v="844"/>
    <s v="Product_844"/>
    <x v="4"/>
    <n v="480.73"/>
    <n v="3.5"/>
    <n v="500"/>
    <n v="916"/>
    <n v="74"/>
    <n v="238"/>
    <n v="588"/>
    <n v="379"/>
    <n v="258"/>
    <n v="290"/>
    <n v="545"/>
    <n v="416"/>
    <n v="472"/>
    <n v="890"/>
    <n v="616"/>
    <n v="5682"/>
    <n v="440348.68"/>
    <n v="35574.020000000004"/>
    <n v="114413.74"/>
    <n v="282669.24"/>
    <n v="182196.67"/>
    <n v="124028.34000000001"/>
    <n v="139411.70000000001"/>
    <n v="261997.85"/>
    <n v="199983.68"/>
    <n v="226904.56"/>
    <n v="427849.7"/>
    <n v="296129.68"/>
    <n v="2731507.8600000003"/>
  </r>
  <r>
    <n v="845"/>
    <s v="Product_845"/>
    <x v="3"/>
    <n v="78.59"/>
    <n v="4.8"/>
    <n v="913"/>
    <n v="868"/>
    <n v="276"/>
    <n v="303"/>
    <n v="490"/>
    <n v="129"/>
    <n v="887"/>
    <n v="331"/>
    <n v="870"/>
    <n v="663"/>
    <n v="992"/>
    <n v="501"/>
    <n v="308"/>
    <n v="6618"/>
    <n v="68216.12000000001"/>
    <n v="21690.84"/>
    <n v="23812.77"/>
    <n v="38509.1"/>
    <n v="10138.11"/>
    <n v="69709.33"/>
    <n v="26013.29"/>
    <n v="68373.3"/>
    <n v="52105.170000000006"/>
    <n v="77961.279999999999"/>
    <n v="39373.590000000004"/>
    <n v="24205.72"/>
    <n v="520108.62000000011"/>
  </r>
  <r>
    <n v="846"/>
    <s v="Product_846"/>
    <x v="2"/>
    <n v="210.24"/>
    <n v="2"/>
    <n v="109"/>
    <n v="101"/>
    <n v="939"/>
    <n v="297"/>
    <n v="657"/>
    <n v="595"/>
    <n v="516"/>
    <n v="605"/>
    <n v="195"/>
    <n v="419"/>
    <n v="257"/>
    <n v="760"/>
    <n v="51"/>
    <n v="5392"/>
    <n v="21234.240000000002"/>
    <n v="197415.36000000002"/>
    <n v="62441.280000000006"/>
    <n v="138127.67999999999"/>
    <n v="125092.8"/>
    <n v="108483.84000000001"/>
    <n v="127195.20000000001"/>
    <n v="40996.800000000003"/>
    <n v="88090.559999999998"/>
    <n v="54031.68"/>
    <n v="159782.39999999999"/>
    <n v="10722.24"/>
    <n v="1133614.0800000001"/>
  </r>
  <r>
    <n v="847"/>
    <s v="Product_847"/>
    <x v="3"/>
    <n v="47.25"/>
    <n v="1.5"/>
    <n v="736"/>
    <n v="752"/>
    <n v="644"/>
    <n v="75"/>
    <n v="854"/>
    <n v="275"/>
    <n v="729"/>
    <n v="260"/>
    <n v="842"/>
    <n v="754"/>
    <n v="274"/>
    <n v="594"/>
    <n v="318"/>
    <n v="6371"/>
    <n v="35532"/>
    <n v="30429"/>
    <n v="3543.75"/>
    <n v="40351.5"/>
    <n v="12993.75"/>
    <n v="34445.25"/>
    <n v="12285"/>
    <n v="39784.5"/>
    <n v="35626.5"/>
    <n v="12946.5"/>
    <n v="28066.5"/>
    <n v="15025.5"/>
    <n v="301029.75"/>
  </r>
  <r>
    <n v="848"/>
    <s v="Product_848"/>
    <x v="5"/>
    <n v="498.45"/>
    <n v="1.8"/>
    <n v="278"/>
    <n v="832"/>
    <n v="342"/>
    <n v="699"/>
    <n v="462"/>
    <n v="698"/>
    <n v="522"/>
    <n v="993"/>
    <n v="28"/>
    <n v="639"/>
    <n v="749"/>
    <n v="24"/>
    <n v="968"/>
    <n v="6956"/>
    <n v="414710.39999999997"/>
    <n v="170469.9"/>
    <n v="348416.55"/>
    <n v="230283.9"/>
    <n v="347918.1"/>
    <n v="260190.9"/>
    <n v="494960.85"/>
    <n v="13956.6"/>
    <n v="318509.55"/>
    <n v="373339.05"/>
    <n v="11962.8"/>
    <n v="482499.6"/>
    <n v="3467218.1999999993"/>
  </r>
  <r>
    <n v="849"/>
    <s v="Product_849"/>
    <x v="6"/>
    <n v="253.59"/>
    <n v="4.5"/>
    <n v="68"/>
    <n v="190"/>
    <n v="424"/>
    <n v="332"/>
    <n v="224"/>
    <n v="557"/>
    <n v="893"/>
    <n v="789"/>
    <n v="705"/>
    <n v="616"/>
    <n v="19"/>
    <n v="568"/>
    <n v="180"/>
    <n v="5497"/>
    <n v="48182.1"/>
    <n v="107522.16"/>
    <n v="84191.88"/>
    <n v="56804.160000000003"/>
    <n v="141249.63"/>
    <n v="226455.87"/>
    <n v="200082.51"/>
    <n v="178780.95"/>
    <n v="156211.44"/>
    <n v="4818.21"/>
    <n v="144039.12"/>
    <n v="45646.2"/>
    <n v="1393984.2299999997"/>
  </r>
  <r>
    <n v="850"/>
    <s v="Product_850"/>
    <x v="3"/>
    <n v="299.72000000000003"/>
    <n v="3.6"/>
    <n v="69"/>
    <n v="728"/>
    <n v="570"/>
    <n v="899"/>
    <n v="916"/>
    <n v="898"/>
    <n v="838"/>
    <n v="870"/>
    <n v="15"/>
    <n v="521"/>
    <n v="489"/>
    <n v="31"/>
    <n v="568"/>
    <n v="7343"/>
    <n v="218196.16000000003"/>
    <n v="170840.40000000002"/>
    <n v="269448.28000000003"/>
    <n v="274543.52"/>
    <n v="269148.56"/>
    <n v="251165.36000000002"/>
    <n v="260756.40000000002"/>
    <n v="4495.8"/>
    <n v="156154.12000000002"/>
    <n v="146563.08000000002"/>
    <n v="9291.3200000000015"/>
    <n v="170240.96000000002"/>
    <n v="2200843.9600000004"/>
  </r>
  <r>
    <n v="851"/>
    <s v="Product_851"/>
    <x v="0"/>
    <n v="38.200000000000003"/>
    <n v="2.1"/>
    <n v="165"/>
    <n v="562"/>
    <n v="510"/>
    <n v="998"/>
    <n v="312"/>
    <n v="182"/>
    <n v="116"/>
    <n v="204"/>
    <n v="422"/>
    <n v="355"/>
    <n v="744"/>
    <n v="830"/>
    <n v="119"/>
    <n v="5354"/>
    <n v="21468.400000000001"/>
    <n v="19482"/>
    <n v="38123.600000000006"/>
    <n v="11918.400000000001"/>
    <n v="6952.4000000000005"/>
    <n v="4431.2000000000007"/>
    <n v="7792.8"/>
    <n v="16120.400000000001"/>
    <n v="13561.000000000002"/>
    <n v="28420.800000000003"/>
    <n v="31706.000000000004"/>
    <n v="4545.8"/>
    <n v="204522.8"/>
  </r>
  <r>
    <n v="852"/>
    <s v="Product_852"/>
    <x v="6"/>
    <n v="376.23"/>
    <n v="4.3"/>
    <n v="489"/>
    <n v="803"/>
    <n v="856"/>
    <n v="757"/>
    <n v="614"/>
    <n v="267"/>
    <n v="183"/>
    <n v="696"/>
    <n v="588"/>
    <n v="147"/>
    <n v="489"/>
    <n v="11"/>
    <n v="819"/>
    <n v="6230"/>
    <n v="302112.69"/>
    <n v="322052.88"/>
    <n v="284806.11"/>
    <n v="231005.22"/>
    <n v="100453.41"/>
    <n v="68850.09"/>
    <n v="261856.08000000002"/>
    <n v="221223.24000000002"/>
    <n v="55305.810000000005"/>
    <n v="183976.47"/>
    <n v="4138.5300000000007"/>
    <n v="308132.37"/>
    <n v="2343912.9000000004"/>
  </r>
  <r>
    <n v="853"/>
    <s v="Product_853"/>
    <x v="3"/>
    <n v="108.9"/>
    <n v="4.4000000000000004"/>
    <n v="305"/>
    <n v="80"/>
    <n v="1000"/>
    <n v="641"/>
    <n v="918"/>
    <n v="807"/>
    <n v="905"/>
    <n v="686"/>
    <n v="804"/>
    <n v="1000"/>
    <n v="732"/>
    <n v="318"/>
    <n v="874"/>
    <n v="8765"/>
    <n v="8712"/>
    <n v="108900"/>
    <n v="69804.900000000009"/>
    <n v="99970.200000000012"/>
    <n v="87882.3"/>
    <n v="98554.5"/>
    <n v="74705.400000000009"/>
    <n v="87555.6"/>
    <n v="108900"/>
    <n v="79714.8"/>
    <n v="34630.200000000004"/>
    <n v="95178.6"/>
    <n v="954508.5"/>
  </r>
  <r>
    <n v="854"/>
    <s v="Product_854"/>
    <x v="4"/>
    <n v="449.54"/>
    <n v="4.4000000000000004"/>
    <n v="909"/>
    <n v="488"/>
    <n v="181"/>
    <n v="473"/>
    <n v="858"/>
    <n v="321"/>
    <n v="873"/>
    <n v="949"/>
    <n v="592"/>
    <n v="364"/>
    <n v="325"/>
    <n v="844"/>
    <n v="42"/>
    <n v="6310"/>
    <n v="219375.52000000002"/>
    <n v="81366.740000000005"/>
    <n v="212632.42"/>
    <n v="385705.32"/>
    <n v="144302.34"/>
    <n v="392448.42000000004"/>
    <n v="426613.46"/>
    <n v="266127.68"/>
    <n v="163632.56"/>
    <n v="146100.5"/>
    <n v="379411.76"/>
    <n v="18880.68"/>
    <n v="2836597.4"/>
  </r>
  <r>
    <n v="855"/>
    <s v="Product_855"/>
    <x v="1"/>
    <n v="106.54"/>
    <n v="4.7"/>
    <n v="674"/>
    <n v="894"/>
    <n v="457"/>
    <n v="826"/>
    <n v="812"/>
    <n v="511"/>
    <n v="115"/>
    <n v="386"/>
    <n v="404"/>
    <n v="363"/>
    <n v="528"/>
    <n v="603"/>
    <n v="646"/>
    <n v="6545"/>
    <n v="95246.760000000009"/>
    <n v="48688.780000000006"/>
    <n v="88002.040000000008"/>
    <n v="86510.48000000001"/>
    <n v="54441.94"/>
    <n v="12252.1"/>
    <n v="41124.44"/>
    <n v="43042.16"/>
    <n v="38674.020000000004"/>
    <n v="56253.120000000003"/>
    <n v="64243.62"/>
    <n v="68824.840000000011"/>
    <n v="697304.3"/>
  </r>
  <r>
    <n v="856"/>
    <s v="Product_856"/>
    <x v="0"/>
    <n v="99.39"/>
    <n v="2"/>
    <n v="365"/>
    <n v="87"/>
    <n v="917"/>
    <n v="922"/>
    <n v="939"/>
    <n v="611"/>
    <n v="161"/>
    <n v="891"/>
    <n v="939"/>
    <n v="970"/>
    <n v="891"/>
    <n v="0"/>
    <n v="884"/>
    <n v="8212"/>
    <n v="8646.93"/>
    <n v="91140.63"/>
    <n v="91637.58"/>
    <n v="93327.21"/>
    <n v="60727.29"/>
    <n v="16001.79"/>
    <n v="88556.49"/>
    <n v="93327.21"/>
    <n v="96408.3"/>
    <n v="88556.49"/>
    <n v="0"/>
    <n v="87860.76"/>
    <n v="816190.68"/>
  </r>
  <r>
    <n v="857"/>
    <s v="Product_857"/>
    <x v="5"/>
    <n v="23.09"/>
    <n v="4"/>
    <n v="854"/>
    <n v="193"/>
    <n v="850"/>
    <n v="282"/>
    <n v="465"/>
    <n v="77"/>
    <n v="578"/>
    <n v="820"/>
    <n v="635"/>
    <n v="651"/>
    <n v="88"/>
    <n v="434"/>
    <n v="937"/>
    <n v="6010"/>
    <n v="4456.37"/>
    <n v="19626.5"/>
    <n v="6511.38"/>
    <n v="10736.85"/>
    <n v="1777.93"/>
    <n v="13346.02"/>
    <n v="18933.8"/>
    <n v="14662.15"/>
    <n v="15031.59"/>
    <n v="2031.92"/>
    <n v="10021.06"/>
    <n v="21635.329999999998"/>
    <n v="138770.9"/>
  </r>
  <r>
    <n v="858"/>
    <s v="Product_858"/>
    <x v="0"/>
    <n v="238.67"/>
    <n v="2.8"/>
    <n v="821"/>
    <n v="103"/>
    <n v="832"/>
    <n v="590"/>
    <n v="87"/>
    <n v="783"/>
    <n v="711"/>
    <n v="467"/>
    <n v="530"/>
    <n v="701"/>
    <n v="485"/>
    <n v="837"/>
    <n v="259"/>
    <n v="6385"/>
    <n v="24583.01"/>
    <n v="198573.44"/>
    <n v="140815.29999999999"/>
    <n v="20764.289999999997"/>
    <n v="186878.61"/>
    <n v="169694.37"/>
    <n v="111458.89"/>
    <n v="126495.09999999999"/>
    <n v="167307.66999999998"/>
    <n v="115754.95"/>
    <n v="199766.78999999998"/>
    <n v="61815.53"/>
    <n v="1523907.95"/>
  </r>
  <r>
    <n v="859"/>
    <s v="Product_859"/>
    <x v="2"/>
    <n v="284.60000000000002"/>
    <n v="4.4000000000000004"/>
    <n v="379"/>
    <n v="782"/>
    <n v="63"/>
    <n v="71"/>
    <n v="882"/>
    <n v="338"/>
    <n v="542"/>
    <n v="414"/>
    <n v="966"/>
    <n v="401"/>
    <n v="707"/>
    <n v="135"/>
    <n v="196"/>
    <n v="5497"/>
    <n v="222557.2"/>
    <n v="17929.800000000003"/>
    <n v="20206.600000000002"/>
    <n v="251017.2"/>
    <n v="96194.8"/>
    <n v="154253.20000000001"/>
    <n v="117824.40000000001"/>
    <n v="274923.60000000003"/>
    <n v="114124.6"/>
    <n v="201212.2"/>
    <n v="38421"/>
    <n v="55781.600000000006"/>
    <n v="1564446.2000000002"/>
  </r>
  <r>
    <n v="860"/>
    <s v="Product_860"/>
    <x v="1"/>
    <n v="37.53"/>
    <n v="3.9"/>
    <n v="343"/>
    <n v="95"/>
    <n v="838"/>
    <n v="262"/>
    <n v="302"/>
    <n v="673"/>
    <n v="586"/>
    <n v="68"/>
    <n v="613"/>
    <n v="605"/>
    <n v="349"/>
    <n v="195"/>
    <n v="644"/>
    <n v="5230"/>
    <n v="3565.35"/>
    <n v="31450.14"/>
    <n v="9832.86"/>
    <n v="11334.06"/>
    <n v="25257.690000000002"/>
    <n v="21992.58"/>
    <n v="2552.04"/>
    <n v="23005.89"/>
    <n v="22705.65"/>
    <n v="13097.970000000001"/>
    <n v="7318.35"/>
    <n v="24169.32"/>
    <n v="196281.90000000002"/>
  </r>
  <r>
    <n v="861"/>
    <s v="Product_861"/>
    <x v="0"/>
    <n v="388.89"/>
    <n v="4.0999999999999996"/>
    <n v="947"/>
    <n v="422"/>
    <n v="259"/>
    <n v="702"/>
    <n v="679"/>
    <n v="555"/>
    <n v="236"/>
    <n v="471"/>
    <n v="903"/>
    <n v="491"/>
    <n v="83"/>
    <n v="132"/>
    <n v="970"/>
    <n v="5903"/>
    <n v="164111.57999999999"/>
    <n v="100722.51"/>
    <n v="273000.77999999997"/>
    <n v="264056.31"/>
    <n v="215833.94999999998"/>
    <n v="91778.04"/>
    <n v="183167.19"/>
    <n v="351167.67"/>
    <n v="190944.99"/>
    <n v="32277.87"/>
    <n v="51333.479999999996"/>
    <n v="377223.3"/>
    <n v="2295617.67"/>
  </r>
  <r>
    <n v="862"/>
    <s v="Product_862"/>
    <x v="3"/>
    <n v="229.38"/>
    <n v="3.6"/>
    <n v="899"/>
    <n v="890"/>
    <n v="192"/>
    <n v="878"/>
    <n v="434"/>
    <n v="508"/>
    <n v="838"/>
    <n v="103"/>
    <n v="76"/>
    <n v="228"/>
    <n v="386"/>
    <n v="984"/>
    <n v="254"/>
    <n v="5771"/>
    <n v="204148.19999999998"/>
    <n v="44040.959999999999"/>
    <n v="201395.63999999998"/>
    <n v="99550.92"/>
    <n v="116525.04"/>
    <n v="192220.44"/>
    <n v="23626.14"/>
    <n v="17432.88"/>
    <n v="52298.64"/>
    <n v="88540.68"/>
    <n v="225709.91999999998"/>
    <n v="58262.52"/>
    <n v="1323751.98"/>
  </r>
  <r>
    <n v="863"/>
    <s v="Product_863"/>
    <x v="0"/>
    <n v="264.57"/>
    <n v="1.7"/>
    <n v="554"/>
    <n v="197"/>
    <n v="654"/>
    <n v="886"/>
    <n v="681"/>
    <n v="237"/>
    <n v="65"/>
    <n v="757"/>
    <n v="228"/>
    <n v="574"/>
    <n v="86"/>
    <n v="85"/>
    <n v="1000"/>
    <n v="5450"/>
    <n v="52120.29"/>
    <n v="173028.78"/>
    <n v="234409.02"/>
    <n v="180172.16999999998"/>
    <n v="62703.09"/>
    <n v="17197.05"/>
    <n v="200279.49"/>
    <n v="60321.96"/>
    <n v="151863.18"/>
    <n v="22753.02"/>
    <n v="22488.45"/>
    <n v="264570"/>
    <n v="1441906.5"/>
  </r>
  <r>
    <n v="864"/>
    <s v="Product_864"/>
    <x v="0"/>
    <n v="223.18"/>
    <n v="3.2"/>
    <n v="354"/>
    <n v="0"/>
    <n v="615"/>
    <n v="941"/>
    <n v="134"/>
    <n v="133"/>
    <n v="69"/>
    <n v="160"/>
    <n v="961"/>
    <n v="851"/>
    <n v="306"/>
    <n v="475"/>
    <n v="731"/>
    <n v="5376"/>
    <n v="0"/>
    <n v="137255.70000000001"/>
    <n v="210012.38"/>
    <n v="29906.120000000003"/>
    <n v="29682.940000000002"/>
    <n v="15399.42"/>
    <n v="35708.800000000003"/>
    <n v="214475.98"/>
    <n v="189926.18"/>
    <n v="68293.08"/>
    <n v="106010.5"/>
    <n v="163144.58000000002"/>
    <n v="1199815.6799999999"/>
  </r>
  <r>
    <n v="865"/>
    <s v="Product_865"/>
    <x v="0"/>
    <n v="203.38"/>
    <n v="4.9000000000000004"/>
    <n v="416"/>
    <n v="406"/>
    <n v="971"/>
    <n v="574"/>
    <n v="49"/>
    <n v="972"/>
    <n v="808"/>
    <n v="199"/>
    <n v="296"/>
    <n v="536"/>
    <n v="849"/>
    <n v="806"/>
    <n v="335"/>
    <n v="6801"/>
    <n v="82572.28"/>
    <n v="197481.97999999998"/>
    <n v="116740.12"/>
    <n v="9965.619999999999"/>
    <n v="197685.36"/>
    <n v="164331.04"/>
    <n v="40472.620000000003"/>
    <n v="60200.479999999996"/>
    <n v="109011.68"/>
    <n v="172669.62"/>
    <n v="163924.28"/>
    <n v="68132.3"/>
    <n v="1383187.38"/>
  </r>
  <r>
    <n v="866"/>
    <s v="Product_866"/>
    <x v="2"/>
    <n v="282.02"/>
    <n v="4.7"/>
    <n v="109"/>
    <n v="377"/>
    <n v="405"/>
    <n v="999"/>
    <n v="431"/>
    <n v="191"/>
    <n v="446"/>
    <n v="215"/>
    <n v="509"/>
    <n v="267"/>
    <n v="153"/>
    <n v="790"/>
    <n v="552"/>
    <n v="5335"/>
    <n v="106321.54"/>
    <n v="114218.09999999999"/>
    <n v="281737.98"/>
    <n v="121550.62"/>
    <n v="53865.82"/>
    <n v="125780.92"/>
    <n v="60634.299999999996"/>
    <n v="143548.18"/>
    <n v="75299.34"/>
    <n v="43149.06"/>
    <n v="222795.8"/>
    <n v="155675.03999999998"/>
    <n v="1504576.7000000002"/>
  </r>
  <r>
    <n v="867"/>
    <s v="Product_867"/>
    <x v="0"/>
    <n v="81.84"/>
    <n v="1.2"/>
    <n v="563"/>
    <n v="166"/>
    <n v="725"/>
    <n v="891"/>
    <n v="339"/>
    <n v="355"/>
    <n v="415"/>
    <n v="945"/>
    <n v="714"/>
    <n v="404"/>
    <n v="439"/>
    <n v="323"/>
    <n v="501"/>
    <n v="6217"/>
    <n v="13585.44"/>
    <n v="59334"/>
    <n v="72919.44"/>
    <n v="27743.760000000002"/>
    <n v="29053.200000000001"/>
    <n v="33963.599999999999"/>
    <n v="77338.8"/>
    <n v="58433.760000000002"/>
    <n v="33063.360000000001"/>
    <n v="35927.760000000002"/>
    <n v="26434.32"/>
    <n v="41001.840000000004"/>
    <n v="508799.28000000009"/>
  </r>
  <r>
    <n v="868"/>
    <s v="Product_868"/>
    <x v="0"/>
    <n v="95.05"/>
    <n v="1.7"/>
    <n v="762"/>
    <n v="508"/>
    <n v="753"/>
    <n v="11"/>
    <n v="346"/>
    <n v="277"/>
    <n v="531"/>
    <n v="211"/>
    <n v="983"/>
    <n v="792"/>
    <n v="739"/>
    <n v="179"/>
    <n v="989"/>
    <n v="6319"/>
    <n v="48285.4"/>
    <n v="71572.649999999994"/>
    <n v="1045.55"/>
    <n v="32887.299999999996"/>
    <n v="26328.85"/>
    <n v="50471.549999999996"/>
    <n v="20055.55"/>
    <n v="93434.15"/>
    <n v="75279.599999999991"/>
    <n v="70241.95"/>
    <n v="17013.95"/>
    <n v="94004.45"/>
    <n v="600620.94999999995"/>
  </r>
  <r>
    <n v="869"/>
    <s v="Product_869"/>
    <x v="2"/>
    <n v="431.58"/>
    <n v="1.5"/>
    <n v="497"/>
    <n v="637"/>
    <n v="942"/>
    <n v="140"/>
    <n v="645"/>
    <n v="17"/>
    <n v="440"/>
    <n v="507"/>
    <n v="965"/>
    <n v="10"/>
    <n v="959"/>
    <n v="515"/>
    <n v="899"/>
    <n v="6676"/>
    <n v="274916.45999999996"/>
    <n v="406548.36"/>
    <n v="60421.2"/>
    <n v="278369.09999999998"/>
    <n v="7336.86"/>
    <n v="189895.19999999998"/>
    <n v="218811.06"/>
    <n v="416474.7"/>
    <n v="4315.8"/>
    <n v="413885.22"/>
    <n v="222263.69999999998"/>
    <n v="387990.42"/>
    <n v="2881228.08"/>
  </r>
  <r>
    <n v="870"/>
    <s v="Product_870"/>
    <x v="6"/>
    <n v="473.33"/>
    <n v="3.9"/>
    <n v="341"/>
    <n v="312"/>
    <n v="720"/>
    <n v="765"/>
    <n v="346"/>
    <n v="523"/>
    <n v="737"/>
    <n v="15"/>
    <n v="572"/>
    <n v="319"/>
    <n v="263"/>
    <n v="637"/>
    <n v="254"/>
    <n v="5463"/>
    <n v="147678.96"/>
    <n v="340797.6"/>
    <n v="362097.45"/>
    <n v="163772.18"/>
    <n v="247551.59"/>
    <n v="348844.20999999996"/>
    <n v="7099.95"/>
    <n v="270744.76"/>
    <n v="150992.26999999999"/>
    <n v="124485.79"/>
    <n v="301511.20999999996"/>
    <n v="120225.81999999999"/>
    <n v="2585801.7899999996"/>
  </r>
  <r>
    <n v="871"/>
    <s v="Product_871"/>
    <x v="1"/>
    <n v="189.79"/>
    <n v="4.3"/>
    <n v="942"/>
    <n v="592"/>
    <n v="92"/>
    <n v="554"/>
    <n v="648"/>
    <n v="179"/>
    <n v="945"/>
    <n v="497"/>
    <n v="537"/>
    <n v="712"/>
    <n v="976"/>
    <n v="174"/>
    <n v="513"/>
    <n v="6419"/>
    <n v="112355.68"/>
    <n v="17460.68"/>
    <n v="105143.65999999999"/>
    <n v="122983.92"/>
    <n v="33972.409999999996"/>
    <n v="179351.55"/>
    <n v="94325.62999999999"/>
    <n v="101917.23"/>
    <n v="135130.47999999998"/>
    <n v="185235.03999999998"/>
    <n v="33023.46"/>
    <n v="97362.26999999999"/>
    <n v="1218262.0099999998"/>
  </r>
  <r>
    <n v="872"/>
    <s v="Product_872"/>
    <x v="5"/>
    <n v="139.02000000000001"/>
    <n v="1.9"/>
    <n v="383"/>
    <n v="417"/>
    <n v="429"/>
    <n v="16"/>
    <n v="244"/>
    <n v="122"/>
    <n v="463"/>
    <n v="883"/>
    <n v="582"/>
    <n v="125"/>
    <n v="734"/>
    <n v="762"/>
    <n v="706"/>
    <n v="5483"/>
    <n v="57971.340000000004"/>
    <n v="59639.58"/>
    <n v="2224.3200000000002"/>
    <n v="33920.880000000005"/>
    <n v="16960.440000000002"/>
    <n v="64366.26"/>
    <n v="122754.66"/>
    <n v="80909.64"/>
    <n v="17377.5"/>
    <n v="102040.68000000001"/>
    <n v="105933.24"/>
    <n v="98148.12000000001"/>
    <n v="762246.66"/>
  </r>
  <r>
    <n v="873"/>
    <s v="Product_873"/>
    <x v="6"/>
    <n v="323.77999999999997"/>
    <n v="3"/>
    <n v="533"/>
    <n v="762"/>
    <n v="653"/>
    <n v="62"/>
    <n v="108"/>
    <n v="245"/>
    <n v="920"/>
    <n v="331"/>
    <n v="614"/>
    <n v="305"/>
    <n v="420"/>
    <n v="20"/>
    <n v="241"/>
    <n v="4681"/>
    <n v="246720.36"/>
    <n v="211428.34"/>
    <n v="20074.359999999997"/>
    <n v="34968.239999999998"/>
    <n v="79326.099999999991"/>
    <n v="297877.59999999998"/>
    <n v="107171.18"/>
    <n v="198800.91999999998"/>
    <n v="98752.9"/>
    <n v="135987.59999999998"/>
    <n v="6475.5999999999995"/>
    <n v="78030.98"/>
    <n v="1515614.1799999997"/>
  </r>
  <r>
    <n v="874"/>
    <s v="Product_874"/>
    <x v="4"/>
    <n v="207.32"/>
    <n v="4.4000000000000004"/>
    <n v="300"/>
    <n v="680"/>
    <n v="433"/>
    <n v="252"/>
    <n v="824"/>
    <n v="733"/>
    <n v="395"/>
    <n v="716"/>
    <n v="978"/>
    <n v="701"/>
    <n v="492"/>
    <n v="996"/>
    <n v="148"/>
    <n v="7348"/>
    <n v="140977.60000000001"/>
    <n v="89769.56"/>
    <n v="52244.639999999999"/>
    <n v="170831.68"/>
    <n v="151965.56"/>
    <n v="81891.399999999994"/>
    <n v="148441.12"/>
    <n v="202758.96"/>
    <n v="145331.32"/>
    <n v="102001.44"/>
    <n v="206490.72"/>
    <n v="30683.360000000001"/>
    <n v="1523387.36"/>
  </r>
  <r>
    <n v="875"/>
    <s v="Product_875"/>
    <x v="2"/>
    <n v="17.57"/>
    <n v="3.9"/>
    <n v="139"/>
    <n v="476"/>
    <n v="403"/>
    <n v="464"/>
    <n v="798"/>
    <n v="372"/>
    <n v="710"/>
    <n v="876"/>
    <n v="325"/>
    <n v="510"/>
    <n v="632"/>
    <n v="951"/>
    <n v="709"/>
    <n v="7226"/>
    <n v="8363.32"/>
    <n v="7080.71"/>
    <n v="8152.4800000000005"/>
    <n v="14020.86"/>
    <n v="6536.04"/>
    <n v="12474.7"/>
    <n v="15391.32"/>
    <n v="5710.25"/>
    <n v="8960.7000000000007"/>
    <n v="11104.24"/>
    <n v="16709.07"/>
    <n v="12457.130000000001"/>
    <n v="126960.82"/>
  </r>
  <r>
    <n v="876"/>
    <s v="Product_876"/>
    <x v="2"/>
    <n v="82.3"/>
    <n v="3.2"/>
    <n v="359"/>
    <n v="72"/>
    <n v="433"/>
    <n v="375"/>
    <n v="532"/>
    <n v="50"/>
    <n v="550"/>
    <n v="550"/>
    <n v="362"/>
    <n v="88"/>
    <n v="992"/>
    <n v="104"/>
    <n v="298"/>
    <n v="4406"/>
    <n v="5925.5999999999995"/>
    <n v="35635.9"/>
    <n v="30862.5"/>
    <n v="43783.6"/>
    <n v="4115"/>
    <n v="45265"/>
    <n v="45265"/>
    <n v="29792.6"/>
    <n v="7242.4"/>
    <n v="81641.599999999991"/>
    <n v="8559.1999999999989"/>
    <n v="24525.399999999998"/>
    <n v="362613.80000000005"/>
  </r>
  <r>
    <n v="877"/>
    <s v="Product_877"/>
    <x v="0"/>
    <n v="359.41"/>
    <n v="3.4"/>
    <n v="836"/>
    <n v="140"/>
    <n v="111"/>
    <n v="803"/>
    <n v="89"/>
    <n v="999"/>
    <n v="656"/>
    <n v="600"/>
    <n v="668"/>
    <n v="354"/>
    <n v="410"/>
    <n v="577"/>
    <n v="756"/>
    <n v="6163"/>
    <n v="50317.4"/>
    <n v="39894.51"/>
    <n v="288606.23000000004"/>
    <n v="31987.49"/>
    <n v="359050.59"/>
    <n v="235772.96000000002"/>
    <n v="215646.00000000003"/>
    <n v="240085.88"/>
    <n v="127231.14000000001"/>
    <n v="147358.1"/>
    <n v="207379.57"/>
    <n v="271713.96000000002"/>
    <n v="2215043.8300000005"/>
  </r>
  <r>
    <n v="878"/>
    <s v="Product_878"/>
    <x v="0"/>
    <n v="331.17"/>
    <n v="3"/>
    <n v="499"/>
    <n v="581"/>
    <n v="928"/>
    <n v="980"/>
    <n v="295"/>
    <n v="70"/>
    <n v="556"/>
    <n v="941"/>
    <n v="874"/>
    <n v="627"/>
    <n v="172"/>
    <n v="442"/>
    <n v="849"/>
    <n v="7315"/>
    <n v="192409.77000000002"/>
    <n v="307325.76"/>
    <n v="324546.60000000003"/>
    <n v="97695.150000000009"/>
    <n v="23181.9"/>
    <n v="184130.52000000002"/>
    <n v="311630.97000000003"/>
    <n v="289442.58"/>
    <n v="207643.59"/>
    <n v="56961.240000000005"/>
    <n v="146377.14000000001"/>
    <n v="281163.33"/>
    <n v="2422508.5500000003"/>
  </r>
  <r>
    <n v="879"/>
    <s v="Product_879"/>
    <x v="5"/>
    <n v="18.41"/>
    <n v="2.2000000000000002"/>
    <n v="385"/>
    <n v="261"/>
    <n v="374"/>
    <n v="519"/>
    <n v="111"/>
    <n v="479"/>
    <n v="394"/>
    <n v="255"/>
    <n v="358"/>
    <n v="351"/>
    <n v="3"/>
    <n v="774"/>
    <n v="619"/>
    <n v="4498"/>
    <n v="4805.01"/>
    <n v="6885.34"/>
    <n v="9554.7900000000009"/>
    <n v="2043.51"/>
    <n v="8818.39"/>
    <n v="7253.54"/>
    <n v="4694.55"/>
    <n v="6590.78"/>
    <n v="6461.91"/>
    <n v="55.230000000000004"/>
    <n v="14249.34"/>
    <n v="11395.79"/>
    <n v="82808.179999999993"/>
  </r>
  <r>
    <n v="880"/>
    <s v="Product_880"/>
    <x v="4"/>
    <n v="114.88"/>
    <n v="3.3"/>
    <n v="604"/>
    <n v="339"/>
    <n v="58"/>
    <n v="836"/>
    <n v="812"/>
    <n v="559"/>
    <n v="325"/>
    <n v="991"/>
    <n v="705"/>
    <n v="688"/>
    <n v="853"/>
    <n v="48"/>
    <n v="452"/>
    <n v="6666"/>
    <n v="38944.32"/>
    <n v="6663.04"/>
    <n v="96039.679999999993"/>
    <n v="93282.559999999998"/>
    <n v="64217.919999999998"/>
    <n v="37336"/>
    <n v="113846.08"/>
    <n v="80990.399999999994"/>
    <n v="79037.440000000002"/>
    <n v="97992.639999999999"/>
    <n v="5514.24"/>
    <n v="51925.759999999995"/>
    <n v="765790.08"/>
  </r>
  <r>
    <n v="881"/>
    <s v="Product_881"/>
    <x v="0"/>
    <n v="119.38"/>
    <n v="3.8"/>
    <n v="959"/>
    <n v="307"/>
    <n v="42"/>
    <n v="89"/>
    <n v="588"/>
    <n v="18"/>
    <n v="892"/>
    <n v="765"/>
    <n v="786"/>
    <n v="13"/>
    <n v="639"/>
    <n v="527"/>
    <n v="392"/>
    <n v="5058"/>
    <n v="36649.659999999996"/>
    <n v="5013.96"/>
    <n v="10624.82"/>
    <n v="70195.44"/>
    <n v="2148.84"/>
    <n v="106486.95999999999"/>
    <n v="91325.7"/>
    <n v="93832.68"/>
    <n v="1551.94"/>
    <n v="76283.819999999992"/>
    <n v="62913.259999999995"/>
    <n v="46796.959999999999"/>
    <n v="603824.03999999992"/>
  </r>
  <r>
    <n v="882"/>
    <s v="Product_882"/>
    <x v="3"/>
    <n v="337.59"/>
    <n v="4.5"/>
    <n v="280"/>
    <n v="244"/>
    <n v="206"/>
    <n v="719"/>
    <n v="176"/>
    <n v="773"/>
    <n v="918"/>
    <n v="727"/>
    <n v="323"/>
    <n v="256"/>
    <n v="985"/>
    <n v="144"/>
    <n v="211"/>
    <n v="5682"/>
    <n v="82371.959999999992"/>
    <n v="69543.539999999994"/>
    <n v="242727.21"/>
    <n v="59415.839999999997"/>
    <n v="260957.06999999998"/>
    <n v="309907.62"/>
    <n v="245427.93"/>
    <n v="109041.56999999999"/>
    <n v="86423.039999999994"/>
    <n v="332526.14999999997"/>
    <n v="48612.959999999999"/>
    <n v="71231.489999999991"/>
    <n v="1918186.38"/>
  </r>
  <r>
    <n v="883"/>
    <s v="Product_883"/>
    <x v="0"/>
    <n v="14.76"/>
    <n v="3.5"/>
    <n v="637"/>
    <n v="514"/>
    <n v="779"/>
    <n v="803"/>
    <n v="342"/>
    <n v="83"/>
    <n v="90"/>
    <n v="879"/>
    <n v="697"/>
    <n v="208"/>
    <n v="991"/>
    <n v="339"/>
    <n v="667"/>
    <n v="6392"/>
    <n v="7586.64"/>
    <n v="11498.039999999999"/>
    <n v="11852.28"/>
    <n v="5047.92"/>
    <n v="1225.08"/>
    <n v="1328.4"/>
    <n v="12974.039999999999"/>
    <n v="10287.719999999999"/>
    <n v="3070.08"/>
    <n v="14627.16"/>
    <n v="5003.6400000000003"/>
    <n v="9844.92"/>
    <n v="94345.919999999998"/>
  </r>
  <r>
    <n v="884"/>
    <s v="Product_884"/>
    <x v="0"/>
    <n v="56.53"/>
    <n v="4"/>
    <n v="483"/>
    <n v="336"/>
    <n v="295"/>
    <n v="795"/>
    <n v="659"/>
    <n v="154"/>
    <n v="749"/>
    <n v="814"/>
    <n v="325"/>
    <n v="280"/>
    <n v="471"/>
    <n v="761"/>
    <n v="537"/>
    <n v="6176"/>
    <n v="18994.080000000002"/>
    <n v="16676.349999999999"/>
    <n v="44941.35"/>
    <n v="37253.270000000004"/>
    <n v="8705.6200000000008"/>
    <n v="42340.97"/>
    <n v="46015.42"/>
    <n v="18372.25"/>
    <n v="15828.4"/>
    <n v="26625.63"/>
    <n v="43019.33"/>
    <n v="30356.61"/>
    <n v="349129.27999999997"/>
  </r>
  <r>
    <n v="885"/>
    <s v="Product_885"/>
    <x v="3"/>
    <n v="400.96"/>
    <n v="1.6"/>
    <n v="909"/>
    <n v="574"/>
    <n v="117"/>
    <n v="629"/>
    <n v="100"/>
    <n v="564"/>
    <n v="69"/>
    <n v="171"/>
    <n v="624"/>
    <n v="442"/>
    <n v="109"/>
    <n v="854"/>
    <n v="593"/>
    <n v="4846"/>
    <n v="230151.03999999998"/>
    <n v="46912.32"/>
    <n v="252203.84"/>
    <n v="40096"/>
    <n v="226141.44"/>
    <n v="27666.239999999998"/>
    <n v="68564.160000000003"/>
    <n v="250199.03999999998"/>
    <n v="177224.31999999998"/>
    <n v="43704.639999999999"/>
    <n v="342419.83999999997"/>
    <n v="237769.28"/>
    <n v="1943052.16"/>
  </r>
  <r>
    <n v="886"/>
    <s v="Product_886"/>
    <x v="4"/>
    <n v="93.38"/>
    <n v="2.8"/>
    <n v="111"/>
    <n v="560"/>
    <n v="531"/>
    <n v="860"/>
    <n v="757"/>
    <n v="618"/>
    <n v="165"/>
    <n v="648"/>
    <n v="824"/>
    <n v="839"/>
    <n v="866"/>
    <n v="353"/>
    <n v="594"/>
    <n v="7615"/>
    <n v="52292.799999999996"/>
    <n v="49584.78"/>
    <n v="80306.8"/>
    <n v="70688.66"/>
    <n v="57708.84"/>
    <n v="15407.699999999999"/>
    <n v="60510.239999999998"/>
    <n v="76945.119999999995"/>
    <n v="78345.819999999992"/>
    <n v="80867.08"/>
    <n v="32963.14"/>
    <n v="55467.719999999994"/>
    <n v="711088.7"/>
  </r>
  <r>
    <n v="887"/>
    <s v="Product_887"/>
    <x v="3"/>
    <n v="328.11"/>
    <n v="1"/>
    <n v="866"/>
    <n v="75"/>
    <n v="221"/>
    <n v="174"/>
    <n v="628"/>
    <n v="356"/>
    <n v="641"/>
    <n v="999"/>
    <n v="164"/>
    <n v="836"/>
    <n v="36"/>
    <n v="74"/>
    <n v="130"/>
    <n v="4334"/>
    <n v="24608.25"/>
    <n v="72512.31"/>
    <n v="57091.14"/>
    <n v="206053.08000000002"/>
    <n v="116807.16"/>
    <n v="210318.51"/>
    <n v="327781.89"/>
    <n v="53810.04"/>
    <n v="274299.96000000002"/>
    <n v="11811.960000000001"/>
    <n v="24280.14"/>
    <n v="42654.3"/>
    <n v="1422028.74"/>
  </r>
  <r>
    <n v="888"/>
    <s v="Product_888"/>
    <x v="2"/>
    <n v="122.9"/>
    <n v="2"/>
    <n v="139"/>
    <n v="879"/>
    <n v="165"/>
    <n v="75"/>
    <n v="603"/>
    <n v="815"/>
    <n v="213"/>
    <n v="497"/>
    <n v="572"/>
    <n v="388"/>
    <n v="991"/>
    <n v="801"/>
    <n v="328"/>
    <n v="6327"/>
    <n v="108029.1"/>
    <n v="20278.5"/>
    <n v="9217.5"/>
    <n v="74108.7"/>
    <n v="100163.5"/>
    <n v="26177.7"/>
    <n v="61081.3"/>
    <n v="70298.8"/>
    <n v="47685.200000000004"/>
    <n v="121793.90000000001"/>
    <n v="98442.900000000009"/>
    <n v="40311.200000000004"/>
    <n v="777588.29999999993"/>
  </r>
  <r>
    <n v="889"/>
    <s v="Product_889"/>
    <x v="3"/>
    <n v="54.22"/>
    <n v="3.9"/>
    <n v="996"/>
    <n v="174"/>
    <n v="642"/>
    <n v="612"/>
    <n v="400"/>
    <n v="646"/>
    <n v="851"/>
    <n v="470"/>
    <n v="603"/>
    <n v="616"/>
    <n v="582"/>
    <n v="928"/>
    <n v="611"/>
    <n v="7135"/>
    <n v="9434.2800000000007"/>
    <n v="34809.24"/>
    <n v="33182.639999999999"/>
    <n v="21688"/>
    <n v="35026.120000000003"/>
    <n v="46141.22"/>
    <n v="25483.399999999998"/>
    <n v="32694.66"/>
    <n v="33399.519999999997"/>
    <n v="31556.04"/>
    <n v="50316.159999999996"/>
    <n v="33128.42"/>
    <n v="386859.69999999995"/>
  </r>
  <r>
    <n v="890"/>
    <s v="Product_890"/>
    <x v="1"/>
    <n v="125.37"/>
    <n v="5"/>
    <n v="435"/>
    <n v="108"/>
    <n v="155"/>
    <n v="925"/>
    <n v="27"/>
    <n v="442"/>
    <n v="600"/>
    <n v="383"/>
    <n v="797"/>
    <n v="482"/>
    <n v="800"/>
    <n v="793"/>
    <n v="255"/>
    <n v="5767"/>
    <n v="13539.960000000001"/>
    <n v="19432.350000000002"/>
    <n v="115967.25"/>
    <n v="3384.9900000000002"/>
    <n v="55413.54"/>
    <n v="75222"/>
    <n v="48016.71"/>
    <n v="99919.89"/>
    <n v="60428.340000000004"/>
    <n v="100296"/>
    <n v="99418.41"/>
    <n v="31969.350000000002"/>
    <n v="723008.79"/>
  </r>
  <r>
    <n v="891"/>
    <s v="Product_891"/>
    <x v="2"/>
    <n v="362.52"/>
    <n v="1.4"/>
    <n v="509"/>
    <n v="182"/>
    <n v="183"/>
    <n v="662"/>
    <n v="936"/>
    <n v="68"/>
    <n v="334"/>
    <n v="689"/>
    <n v="454"/>
    <n v="146"/>
    <n v="30"/>
    <n v="577"/>
    <n v="478"/>
    <n v="4739"/>
    <n v="65978.64"/>
    <n v="66341.16"/>
    <n v="239988.24"/>
    <n v="339318.72"/>
    <n v="24651.360000000001"/>
    <n v="121081.68"/>
    <n v="249776.28"/>
    <n v="164584.07999999999"/>
    <n v="52927.92"/>
    <n v="10875.599999999999"/>
    <n v="209174.03999999998"/>
    <n v="173284.56"/>
    <n v="1717982.2800000003"/>
  </r>
  <r>
    <n v="892"/>
    <s v="Product_892"/>
    <x v="0"/>
    <n v="428.57"/>
    <n v="2.6"/>
    <n v="273"/>
    <n v="191"/>
    <n v="89"/>
    <n v="399"/>
    <n v="961"/>
    <n v="522"/>
    <n v="763"/>
    <n v="588"/>
    <n v="968"/>
    <n v="278"/>
    <n v="950"/>
    <n v="636"/>
    <n v="560"/>
    <n v="6905"/>
    <n v="81856.87"/>
    <n v="38142.729999999996"/>
    <n v="170999.43"/>
    <n v="411855.77"/>
    <n v="223713.54"/>
    <n v="326998.90999999997"/>
    <n v="251999.16"/>
    <n v="414855.76"/>
    <n v="119142.45999999999"/>
    <n v="407141.5"/>
    <n v="272570.52"/>
    <n v="239999.19999999998"/>
    <n v="2959275.85"/>
  </r>
  <r>
    <n v="893"/>
    <s v="Product_893"/>
    <x v="5"/>
    <n v="415.96"/>
    <n v="4.2"/>
    <n v="99"/>
    <n v="64"/>
    <n v="93"/>
    <n v="781"/>
    <n v="536"/>
    <n v="142"/>
    <n v="368"/>
    <n v="699"/>
    <n v="152"/>
    <n v="520"/>
    <n v="380"/>
    <n v="318"/>
    <n v="912"/>
    <n v="4965"/>
    <n v="26621.439999999999"/>
    <n v="38684.28"/>
    <n v="324864.76"/>
    <n v="222954.56"/>
    <n v="59066.32"/>
    <n v="153073.28"/>
    <n v="290756.03999999998"/>
    <n v="63225.919999999998"/>
    <n v="216299.19999999998"/>
    <n v="158064.79999999999"/>
    <n v="132275.28"/>
    <n v="379355.51999999996"/>
    <n v="2065241.4"/>
  </r>
  <r>
    <n v="894"/>
    <s v="Product_894"/>
    <x v="2"/>
    <n v="201.61"/>
    <n v="1.8"/>
    <n v="764"/>
    <n v="848"/>
    <n v="12"/>
    <n v="969"/>
    <n v="57"/>
    <n v="191"/>
    <n v="860"/>
    <n v="506"/>
    <n v="736"/>
    <n v="629"/>
    <n v="267"/>
    <n v="86"/>
    <n v="62"/>
    <n v="5223"/>
    <n v="170965.28"/>
    <n v="2419.3200000000002"/>
    <n v="195360.09000000003"/>
    <n v="11491.77"/>
    <n v="38507.51"/>
    <n v="173384.6"/>
    <n v="102014.66"/>
    <n v="148384.96000000002"/>
    <n v="126812.69"/>
    <n v="53829.87"/>
    <n v="17338.460000000003"/>
    <n v="12499.820000000002"/>
    <n v="1053009.03"/>
  </r>
  <r>
    <n v="895"/>
    <s v="Product_895"/>
    <x v="4"/>
    <n v="335.7"/>
    <n v="3.2"/>
    <n v="850"/>
    <n v="962"/>
    <n v="972"/>
    <n v="70"/>
    <n v="497"/>
    <n v="386"/>
    <n v="583"/>
    <n v="991"/>
    <n v="126"/>
    <n v="605"/>
    <n v="10"/>
    <n v="552"/>
    <n v="310"/>
    <n v="6064"/>
    <n v="322943.39999999997"/>
    <n v="326300.39999999997"/>
    <n v="23499"/>
    <n v="166842.9"/>
    <n v="129580.2"/>
    <n v="195713.1"/>
    <n v="332678.7"/>
    <n v="42298.2"/>
    <n v="203098.5"/>
    <n v="3357"/>
    <n v="185306.4"/>
    <n v="104067"/>
    <n v="2035684.7999999998"/>
  </r>
  <r>
    <n v="896"/>
    <s v="Product_896"/>
    <x v="4"/>
    <n v="106.47"/>
    <n v="3.9"/>
    <n v="104"/>
    <n v="473"/>
    <n v="833"/>
    <n v="179"/>
    <n v="296"/>
    <n v="377"/>
    <n v="676"/>
    <n v="526"/>
    <n v="192"/>
    <n v="433"/>
    <n v="343"/>
    <n v="981"/>
    <n v="406"/>
    <n v="5715"/>
    <n v="50360.31"/>
    <n v="88689.51"/>
    <n v="19058.13"/>
    <n v="31515.119999999999"/>
    <n v="40139.19"/>
    <n v="71973.72"/>
    <n v="56003.22"/>
    <n v="20442.239999999998"/>
    <n v="46101.51"/>
    <n v="36519.21"/>
    <n v="104447.06999999999"/>
    <n v="43226.82"/>
    <n v="608476.04999999993"/>
  </r>
  <r>
    <n v="897"/>
    <s v="Product_897"/>
    <x v="3"/>
    <n v="150.11000000000001"/>
    <n v="3.5"/>
    <n v="214"/>
    <n v="782"/>
    <n v="804"/>
    <n v="123"/>
    <n v="133"/>
    <n v="580"/>
    <n v="48"/>
    <n v="803"/>
    <n v="626"/>
    <n v="143"/>
    <n v="839"/>
    <n v="697"/>
    <n v="801"/>
    <n v="6379"/>
    <n v="117386.02"/>
    <n v="120688.44000000002"/>
    <n v="18463.530000000002"/>
    <n v="19964.63"/>
    <n v="87063.8"/>
    <n v="7205.2800000000007"/>
    <n v="120538.33000000002"/>
    <n v="93968.860000000015"/>
    <n v="21465.730000000003"/>
    <n v="125942.29000000001"/>
    <n v="104626.67000000001"/>
    <n v="120238.11000000002"/>
    <n v="957551.69000000006"/>
  </r>
  <r>
    <n v="898"/>
    <s v="Product_898"/>
    <x v="2"/>
    <n v="448.69"/>
    <n v="1.8"/>
    <n v="761"/>
    <n v="99"/>
    <n v="944"/>
    <n v="380"/>
    <n v="330"/>
    <n v="534"/>
    <n v="51"/>
    <n v="830"/>
    <n v="773"/>
    <n v="288"/>
    <n v="543"/>
    <n v="865"/>
    <n v="104"/>
    <n v="5741"/>
    <n v="44420.31"/>
    <n v="423563.36"/>
    <n v="170502.2"/>
    <n v="148067.70000000001"/>
    <n v="239600.46"/>
    <n v="22883.19"/>
    <n v="372412.7"/>
    <n v="346837.37"/>
    <n v="129222.72"/>
    <n v="243638.67"/>
    <n v="388116.85"/>
    <n v="46663.76"/>
    <n v="2575929.29"/>
  </r>
  <r>
    <n v="899"/>
    <s v="Product_899"/>
    <x v="0"/>
    <n v="11.44"/>
    <n v="2.4"/>
    <n v="664"/>
    <n v="543"/>
    <n v="741"/>
    <n v="292"/>
    <n v="248"/>
    <n v="692"/>
    <n v="288"/>
    <n v="324"/>
    <n v="529"/>
    <n v="385"/>
    <n v="568"/>
    <n v="891"/>
    <n v="616"/>
    <n v="6117"/>
    <n v="6211.92"/>
    <n v="8477.0399999999991"/>
    <n v="3340.48"/>
    <n v="2837.12"/>
    <n v="7916.48"/>
    <n v="3294.72"/>
    <n v="3706.56"/>
    <n v="6051.7599999999993"/>
    <n v="4404.3999999999996"/>
    <n v="6497.92"/>
    <n v="10193.039999999999"/>
    <n v="7047.04"/>
    <n v="69978.48"/>
  </r>
  <r>
    <n v="900"/>
    <s v="Product_900"/>
    <x v="4"/>
    <n v="47.33"/>
    <n v="4.0999999999999996"/>
    <n v="762"/>
    <n v="863"/>
    <n v="833"/>
    <n v="796"/>
    <n v="549"/>
    <n v="292"/>
    <n v="789"/>
    <n v="213"/>
    <n v="9"/>
    <n v="13"/>
    <n v="165"/>
    <n v="846"/>
    <n v="836"/>
    <n v="6204"/>
    <n v="40845.79"/>
    <n v="39425.89"/>
    <n v="37674.68"/>
    <n v="25984.17"/>
    <n v="13820.359999999999"/>
    <n v="37343.369999999995"/>
    <n v="10081.289999999999"/>
    <n v="425.96999999999997"/>
    <n v="615.29"/>
    <n v="7809.45"/>
    <n v="40041.18"/>
    <n v="39567.879999999997"/>
    <n v="293635.31999999995"/>
  </r>
  <r>
    <n v="901"/>
    <s v="Product_901"/>
    <x v="6"/>
    <n v="107.9"/>
    <n v="3.2"/>
    <n v="787"/>
    <n v="127"/>
    <n v="803"/>
    <n v="194"/>
    <n v="901"/>
    <n v="8"/>
    <n v="625"/>
    <n v="207"/>
    <n v="91"/>
    <n v="256"/>
    <n v="699"/>
    <n v="777"/>
    <n v="14"/>
    <n v="4702"/>
    <n v="13703.300000000001"/>
    <n v="86643.700000000012"/>
    <n v="20932.600000000002"/>
    <n v="97217.900000000009"/>
    <n v="863.2"/>
    <n v="67437.5"/>
    <n v="22335.300000000003"/>
    <n v="9818.9"/>
    <n v="27622.400000000001"/>
    <n v="75422.100000000006"/>
    <n v="83838.3"/>
    <n v="1510.6000000000001"/>
    <n v="507345.8000000001"/>
  </r>
  <r>
    <n v="902"/>
    <s v="Product_902"/>
    <x v="0"/>
    <n v="18.13"/>
    <n v="1"/>
    <n v="165"/>
    <n v="451"/>
    <n v="437"/>
    <n v="910"/>
    <n v="940"/>
    <n v="270"/>
    <n v="238"/>
    <n v="168"/>
    <n v="138"/>
    <n v="345"/>
    <n v="341"/>
    <n v="782"/>
    <n v="686"/>
    <n v="5706"/>
    <n v="8176.6299999999992"/>
    <n v="7922.8099999999995"/>
    <n v="16498.3"/>
    <n v="17042.2"/>
    <n v="4895.0999999999995"/>
    <n v="4314.9399999999996"/>
    <n v="3045.8399999999997"/>
    <n v="2501.94"/>
    <n v="6254.8499999999995"/>
    <n v="6182.33"/>
    <n v="14177.66"/>
    <n v="12437.179999999998"/>
    <n v="103449.78"/>
  </r>
  <r>
    <n v="903"/>
    <s v="Product_903"/>
    <x v="6"/>
    <n v="94.81"/>
    <n v="4"/>
    <n v="999"/>
    <n v="913"/>
    <n v="537"/>
    <n v="227"/>
    <n v="74"/>
    <n v="386"/>
    <n v="132"/>
    <n v="329"/>
    <n v="480"/>
    <n v="697"/>
    <n v="481"/>
    <n v="41"/>
    <n v="258"/>
    <n v="4555"/>
    <n v="86561.53"/>
    <n v="50912.97"/>
    <n v="21521.87"/>
    <n v="7015.9400000000005"/>
    <n v="36596.660000000003"/>
    <n v="12514.92"/>
    <n v="31192.49"/>
    <n v="45508.800000000003"/>
    <n v="66082.570000000007"/>
    <n v="45603.61"/>
    <n v="3887.21"/>
    <n v="24460.98"/>
    <n v="431859.55"/>
  </r>
  <r>
    <n v="904"/>
    <s v="Product_904"/>
    <x v="1"/>
    <n v="293.61"/>
    <n v="1.1000000000000001"/>
    <n v="853"/>
    <n v="368"/>
    <n v="586"/>
    <n v="430"/>
    <n v="653"/>
    <n v="92"/>
    <n v="998"/>
    <n v="279"/>
    <n v="448"/>
    <n v="344"/>
    <n v="18"/>
    <n v="92"/>
    <n v="722"/>
    <n v="5030"/>
    <n v="108048.48000000001"/>
    <n v="172055.46000000002"/>
    <n v="126252.3"/>
    <n v="191727.33000000002"/>
    <n v="27012.120000000003"/>
    <n v="293022.78000000003"/>
    <n v="81917.19"/>
    <n v="131537.28"/>
    <n v="101001.84000000001"/>
    <n v="5284.9800000000005"/>
    <n v="27012.120000000003"/>
    <n v="211986.42"/>
    <n v="1476858.3000000003"/>
  </r>
  <r>
    <n v="905"/>
    <s v="Product_905"/>
    <x v="6"/>
    <n v="213.61"/>
    <n v="4"/>
    <n v="520"/>
    <n v="850"/>
    <n v="967"/>
    <n v="941"/>
    <n v="833"/>
    <n v="965"/>
    <n v="785"/>
    <n v="977"/>
    <n v="332"/>
    <n v="399"/>
    <n v="627"/>
    <n v="696"/>
    <n v="411"/>
    <n v="8783"/>
    <n v="181568.5"/>
    <n v="206560.87000000002"/>
    <n v="201007.01"/>
    <n v="177937.13"/>
    <n v="206133.65000000002"/>
    <n v="167683.85"/>
    <n v="208696.97"/>
    <n v="70918.52"/>
    <n v="85230.39"/>
    <n v="133933.47"/>
    <n v="148672.56"/>
    <n v="87793.71"/>
    <n v="1876136.63"/>
  </r>
  <r>
    <n v="906"/>
    <s v="Product_906"/>
    <x v="4"/>
    <n v="446.87"/>
    <n v="1.8"/>
    <n v="284"/>
    <n v="42"/>
    <n v="875"/>
    <n v="435"/>
    <n v="167"/>
    <n v="528"/>
    <n v="165"/>
    <n v="304"/>
    <n v="868"/>
    <n v="206"/>
    <n v="979"/>
    <n v="726"/>
    <n v="258"/>
    <n v="5553"/>
    <n v="18768.54"/>
    <n v="391011.25"/>
    <n v="194388.45"/>
    <n v="74627.289999999994"/>
    <n v="235947.36000000002"/>
    <n v="73733.55"/>
    <n v="135848.48000000001"/>
    <n v="387883.16000000003"/>
    <n v="92055.22"/>
    <n v="437485.73"/>
    <n v="324427.62"/>
    <n v="115292.46"/>
    <n v="2481469.11"/>
  </r>
  <r>
    <n v="907"/>
    <s v="Product_907"/>
    <x v="3"/>
    <n v="409.63"/>
    <n v="4.8"/>
    <n v="517"/>
    <n v="883"/>
    <n v="935"/>
    <n v="786"/>
    <n v="770"/>
    <n v="153"/>
    <n v="373"/>
    <n v="145"/>
    <n v="339"/>
    <n v="857"/>
    <n v="183"/>
    <n v="506"/>
    <n v="613"/>
    <n v="6543"/>
    <n v="361703.29"/>
    <n v="383004.05"/>
    <n v="321969.18"/>
    <n v="315415.09999999998"/>
    <n v="62673.39"/>
    <n v="152791.99"/>
    <n v="59396.35"/>
    <n v="138864.57"/>
    <n v="351052.91"/>
    <n v="74962.289999999994"/>
    <n v="207272.78"/>
    <n v="251103.19"/>
    <n v="2680209.09"/>
  </r>
  <r>
    <n v="908"/>
    <s v="Product_908"/>
    <x v="1"/>
    <n v="174.2"/>
    <n v="2.5"/>
    <n v="657"/>
    <n v="418"/>
    <n v="810"/>
    <n v="460"/>
    <n v="502"/>
    <n v="404"/>
    <n v="372"/>
    <n v="774"/>
    <n v="960"/>
    <n v="942"/>
    <n v="781"/>
    <n v="528"/>
    <n v="259"/>
    <n v="7210"/>
    <n v="72815.599999999991"/>
    <n v="141102"/>
    <n v="80132"/>
    <n v="87448.4"/>
    <n v="70376.799999999988"/>
    <n v="64802.399999999994"/>
    <n v="134830.79999999999"/>
    <n v="167232"/>
    <n v="164096.4"/>
    <n v="136050.19999999998"/>
    <n v="91977.599999999991"/>
    <n v="45117.799999999996"/>
    <n v="1255982.0000000002"/>
  </r>
  <r>
    <n v="909"/>
    <s v="Product_909"/>
    <x v="2"/>
    <n v="133.41"/>
    <n v="2.2999999999999998"/>
    <n v="613"/>
    <n v="487"/>
    <n v="149"/>
    <n v="617"/>
    <n v="884"/>
    <n v="839"/>
    <n v="804"/>
    <n v="515"/>
    <n v="51"/>
    <n v="171"/>
    <n v="544"/>
    <n v="955"/>
    <n v="855"/>
    <n v="6871"/>
    <n v="64970.67"/>
    <n v="19878.09"/>
    <n v="82313.97"/>
    <n v="117934.44"/>
    <n v="111930.98999999999"/>
    <n v="107261.64"/>
    <n v="68706.149999999994"/>
    <n v="6803.91"/>
    <n v="22813.11"/>
    <n v="72575.039999999994"/>
    <n v="127406.55"/>
    <n v="114065.55"/>
    <n v="916660.1100000001"/>
  </r>
  <r>
    <n v="910"/>
    <s v="Product_910"/>
    <x v="0"/>
    <n v="192.95"/>
    <n v="1.6"/>
    <n v="164"/>
    <n v="77"/>
    <n v="659"/>
    <n v="20"/>
    <n v="354"/>
    <n v="148"/>
    <n v="477"/>
    <n v="89"/>
    <n v="706"/>
    <n v="463"/>
    <n v="9"/>
    <n v="264"/>
    <n v="670"/>
    <n v="3936"/>
    <n v="14857.15"/>
    <n v="127154.04999999999"/>
    <n v="3859"/>
    <n v="68304.3"/>
    <n v="28556.6"/>
    <n v="92037.15"/>
    <n v="17172.55"/>
    <n v="136222.69999999998"/>
    <n v="89335.849999999991"/>
    <n v="1736.55"/>
    <n v="50938.799999999996"/>
    <n v="129276.49999999999"/>
    <n v="759451.20000000007"/>
  </r>
  <r>
    <n v="911"/>
    <s v="Product_911"/>
    <x v="4"/>
    <n v="297.2"/>
    <n v="2.2000000000000002"/>
    <n v="886"/>
    <n v="825"/>
    <n v="7"/>
    <n v="63"/>
    <n v="224"/>
    <n v="888"/>
    <n v="754"/>
    <n v="452"/>
    <n v="465"/>
    <n v="269"/>
    <n v="591"/>
    <n v="625"/>
    <n v="44"/>
    <n v="5207"/>
    <n v="245190"/>
    <n v="2080.4"/>
    <n v="18723.599999999999"/>
    <n v="66572.800000000003"/>
    <n v="263913.59999999998"/>
    <n v="224088.8"/>
    <n v="134334.39999999999"/>
    <n v="138198"/>
    <n v="79946.8"/>
    <n v="175645.19999999998"/>
    <n v="185750"/>
    <n v="13076.8"/>
    <n v="1547520.4000000001"/>
  </r>
  <r>
    <n v="912"/>
    <s v="Product_912"/>
    <x v="1"/>
    <n v="137.69"/>
    <n v="4.5"/>
    <n v="659"/>
    <n v="800"/>
    <n v="28"/>
    <n v="164"/>
    <n v="663"/>
    <n v="266"/>
    <n v="478"/>
    <n v="59"/>
    <n v="1000"/>
    <n v="220"/>
    <n v="191"/>
    <n v="291"/>
    <n v="954"/>
    <n v="5114"/>
    <n v="110152"/>
    <n v="3855.3199999999997"/>
    <n v="22581.16"/>
    <n v="91288.47"/>
    <n v="36625.54"/>
    <n v="65815.819999999992"/>
    <n v="8123.71"/>
    <n v="137690"/>
    <n v="30291.8"/>
    <n v="26298.79"/>
    <n v="40067.79"/>
    <n v="131356.26"/>
    <n v="704146.66"/>
  </r>
  <r>
    <n v="913"/>
    <s v="Product_913"/>
    <x v="1"/>
    <n v="313.95"/>
    <n v="5"/>
    <n v="64"/>
    <n v="269"/>
    <n v="295"/>
    <n v="26"/>
    <n v="530"/>
    <n v="421"/>
    <n v="831"/>
    <n v="310"/>
    <n v="717"/>
    <n v="151"/>
    <n v="319"/>
    <n v="968"/>
    <n v="812"/>
    <n v="5649"/>
    <n v="84452.55"/>
    <n v="92615.25"/>
    <n v="8162.7"/>
    <n v="166393.5"/>
    <n v="132172.94999999998"/>
    <n v="260892.44999999998"/>
    <n v="97324.5"/>
    <n v="225102.15"/>
    <n v="47406.45"/>
    <n v="100150.05"/>
    <n v="303903.59999999998"/>
    <n v="254927.4"/>
    <n v="1773503.5499999998"/>
  </r>
  <r>
    <n v="914"/>
    <s v="Product_914"/>
    <x v="4"/>
    <n v="207.66"/>
    <n v="2.5"/>
    <n v="91"/>
    <n v="673"/>
    <n v="985"/>
    <n v="310"/>
    <n v="145"/>
    <n v="839"/>
    <n v="649"/>
    <n v="527"/>
    <n v="798"/>
    <n v="622"/>
    <n v="701"/>
    <n v="463"/>
    <n v="762"/>
    <n v="7474"/>
    <n v="139755.18"/>
    <n v="204545.1"/>
    <n v="64374.6"/>
    <n v="30110.7"/>
    <n v="174226.74"/>
    <n v="134771.34"/>
    <n v="109436.81999999999"/>
    <n v="165712.68"/>
    <n v="129164.52"/>
    <n v="145569.66"/>
    <n v="96146.58"/>
    <n v="158236.91999999998"/>
    <n v="1552050.8399999999"/>
  </r>
  <r>
    <n v="915"/>
    <s v="Product_915"/>
    <x v="2"/>
    <n v="278.26"/>
    <n v="2.8"/>
    <n v="117"/>
    <n v="700"/>
    <n v="925"/>
    <n v="284"/>
    <n v="959"/>
    <n v="617"/>
    <n v="590"/>
    <n v="226"/>
    <n v="474"/>
    <n v="182"/>
    <n v="579"/>
    <n v="803"/>
    <n v="330"/>
    <n v="6669"/>
    <n v="194782"/>
    <n v="257390.5"/>
    <n v="79025.84"/>
    <n v="266851.33999999997"/>
    <n v="171686.41999999998"/>
    <n v="164173.4"/>
    <n v="62886.759999999995"/>
    <n v="131895.24"/>
    <n v="50643.32"/>
    <n v="161112.54"/>
    <n v="223442.78"/>
    <n v="91825.8"/>
    <n v="1855715.94"/>
  </r>
  <r>
    <n v="916"/>
    <s v="Product_916"/>
    <x v="2"/>
    <n v="220.88"/>
    <n v="3.9"/>
    <n v="866"/>
    <n v="758"/>
    <n v="720"/>
    <n v="659"/>
    <n v="240"/>
    <n v="471"/>
    <n v="681"/>
    <n v="473"/>
    <n v="400"/>
    <n v="398"/>
    <n v="474"/>
    <n v="559"/>
    <n v="164"/>
    <n v="5997"/>
    <n v="167427.04"/>
    <n v="159033.60000000001"/>
    <n v="145559.91999999998"/>
    <n v="53011.199999999997"/>
    <n v="104034.48"/>
    <n v="150419.28"/>
    <n v="104476.23999999999"/>
    <n v="88352"/>
    <n v="87910.24"/>
    <n v="104697.12"/>
    <n v="123471.92"/>
    <n v="36224.32"/>
    <n v="1324617.3600000001"/>
  </r>
  <r>
    <n v="917"/>
    <s v="Product_917"/>
    <x v="3"/>
    <n v="150.76"/>
    <n v="4.5"/>
    <n v="267"/>
    <n v="899"/>
    <n v="639"/>
    <n v="280"/>
    <n v="883"/>
    <n v="892"/>
    <n v="634"/>
    <n v="977"/>
    <n v="438"/>
    <n v="850"/>
    <n v="859"/>
    <n v="818"/>
    <n v="192"/>
    <n v="8361"/>
    <n v="135533.24"/>
    <n v="96335.64"/>
    <n v="42212.799999999996"/>
    <n v="133121.07999999999"/>
    <n v="134477.91999999998"/>
    <n v="95581.84"/>
    <n v="147292.51999999999"/>
    <n v="66032.87999999999"/>
    <n v="128145.99999999999"/>
    <n v="129502.84"/>
    <n v="123321.68"/>
    <n v="28945.919999999998"/>
    <n v="1260504.3599999999"/>
  </r>
  <r>
    <n v="918"/>
    <s v="Product_918"/>
    <x v="5"/>
    <n v="474.48"/>
    <n v="3.4"/>
    <n v="822"/>
    <n v="727"/>
    <n v="339"/>
    <n v="837"/>
    <n v="892"/>
    <n v="546"/>
    <n v="687"/>
    <n v="540"/>
    <n v="877"/>
    <n v="71"/>
    <n v="636"/>
    <n v="96"/>
    <n v="520"/>
    <n v="6768"/>
    <n v="344946.96"/>
    <n v="160848.72"/>
    <n v="397139.76"/>
    <n v="423236.16000000003"/>
    <n v="259066.08000000002"/>
    <n v="325967.76"/>
    <n v="256219.2"/>
    <n v="416118.96"/>
    <n v="33688.080000000002"/>
    <n v="301769.28000000003"/>
    <n v="45550.080000000002"/>
    <n v="246729.60000000001"/>
    <n v="3211280.64"/>
  </r>
  <r>
    <n v="919"/>
    <s v="Product_919"/>
    <x v="6"/>
    <n v="382.98"/>
    <n v="2.6"/>
    <n v="685"/>
    <n v="314"/>
    <n v="627"/>
    <n v="830"/>
    <n v="343"/>
    <n v="630"/>
    <n v="299"/>
    <n v="662"/>
    <n v="604"/>
    <n v="417"/>
    <n v="426"/>
    <n v="886"/>
    <n v="400"/>
    <n v="6438"/>
    <n v="120255.72"/>
    <n v="240128.46000000002"/>
    <n v="317873.40000000002"/>
    <n v="131362.14000000001"/>
    <n v="241277.40000000002"/>
    <n v="114511.02"/>
    <n v="253532.76"/>
    <n v="231319.92"/>
    <n v="159702.66"/>
    <n v="163149.48000000001"/>
    <n v="339320.28"/>
    <n v="153192"/>
    <n v="2465625.2400000002"/>
  </r>
  <r>
    <n v="920"/>
    <s v="Product_920"/>
    <x v="2"/>
    <n v="74.36"/>
    <n v="2.7"/>
    <n v="559"/>
    <n v="924"/>
    <n v="438"/>
    <n v="163"/>
    <n v="748"/>
    <n v="525"/>
    <n v="81"/>
    <n v="756"/>
    <n v="931"/>
    <n v="897"/>
    <n v="847"/>
    <n v="94"/>
    <n v="373"/>
    <n v="6777"/>
    <n v="68708.639999999999"/>
    <n v="32569.68"/>
    <n v="12120.68"/>
    <n v="55621.279999999999"/>
    <n v="39039"/>
    <n v="6023.16"/>
    <n v="56216.159999999996"/>
    <n v="69229.16"/>
    <n v="66700.92"/>
    <n v="62982.92"/>
    <n v="6989.84"/>
    <n v="27736.28"/>
    <n v="503937.72"/>
  </r>
  <r>
    <n v="921"/>
    <s v="Product_921"/>
    <x v="3"/>
    <n v="434.89"/>
    <n v="3.8"/>
    <n v="140"/>
    <n v="850"/>
    <n v="143"/>
    <n v="897"/>
    <n v="34"/>
    <n v="502"/>
    <n v="86"/>
    <n v="781"/>
    <n v="996"/>
    <n v="282"/>
    <n v="58"/>
    <n v="325"/>
    <n v="64"/>
    <n v="5018"/>
    <n v="369656.5"/>
    <n v="62189.27"/>
    <n v="390096.33"/>
    <n v="14786.26"/>
    <n v="218314.78"/>
    <n v="37400.54"/>
    <n v="339649.08999999997"/>
    <n v="433150.44"/>
    <n v="122638.98"/>
    <n v="25223.62"/>
    <n v="141339.25"/>
    <n v="27832.959999999999"/>
    <n v="2182278.02"/>
  </r>
  <r>
    <n v="922"/>
    <s v="Product_922"/>
    <x v="6"/>
    <n v="246.28"/>
    <n v="1"/>
    <n v="246"/>
    <n v="901"/>
    <n v="941"/>
    <n v="917"/>
    <n v="701"/>
    <n v="13"/>
    <n v="224"/>
    <n v="78"/>
    <n v="921"/>
    <n v="73"/>
    <n v="435"/>
    <n v="73"/>
    <n v="386"/>
    <n v="5663"/>
    <n v="221898.28"/>
    <n v="231749.48"/>
    <n v="225838.76"/>
    <n v="172642.28"/>
    <n v="3201.64"/>
    <n v="55166.720000000001"/>
    <n v="19209.84"/>
    <n v="226823.88"/>
    <n v="17978.439999999999"/>
    <n v="107131.8"/>
    <n v="17978.439999999999"/>
    <n v="95064.08"/>
    <n v="1394683.64"/>
  </r>
  <r>
    <n v="923"/>
    <s v="Product_923"/>
    <x v="1"/>
    <n v="447.8"/>
    <n v="3.5"/>
    <n v="661"/>
    <n v="888"/>
    <n v="829"/>
    <n v="223"/>
    <n v="0"/>
    <n v="777"/>
    <n v="15"/>
    <n v="432"/>
    <n v="820"/>
    <n v="354"/>
    <n v="96"/>
    <n v="335"/>
    <n v="494"/>
    <n v="5263"/>
    <n v="397646.4"/>
    <n v="371226.2"/>
    <n v="99859.400000000009"/>
    <n v="0"/>
    <n v="347940.60000000003"/>
    <n v="6717"/>
    <n v="193449.60000000001"/>
    <n v="367196"/>
    <n v="158521.20000000001"/>
    <n v="42988.800000000003"/>
    <n v="150013"/>
    <n v="221213.2"/>
    <n v="2356771.4000000004"/>
  </r>
  <r>
    <n v="924"/>
    <s v="Product_924"/>
    <x v="4"/>
    <n v="400.93"/>
    <n v="2.4"/>
    <n v="758"/>
    <n v="992"/>
    <n v="746"/>
    <n v="783"/>
    <n v="995"/>
    <n v="651"/>
    <n v="821"/>
    <n v="800"/>
    <n v="656"/>
    <n v="726"/>
    <n v="495"/>
    <n v="67"/>
    <n v="793"/>
    <n v="8525"/>
    <n v="397722.56"/>
    <n v="299093.78000000003"/>
    <n v="313928.19"/>
    <n v="398925.35000000003"/>
    <n v="261005.43"/>
    <n v="329163.53000000003"/>
    <n v="320744"/>
    <n v="263010.08"/>
    <n v="291075.18"/>
    <n v="198460.35"/>
    <n v="26862.31"/>
    <n v="317937.49"/>
    <n v="3417928.25"/>
  </r>
  <r>
    <n v="925"/>
    <s v="Product_925"/>
    <x v="2"/>
    <n v="215.48"/>
    <n v="4.2"/>
    <n v="395"/>
    <n v="944"/>
    <n v="518"/>
    <n v="145"/>
    <n v="152"/>
    <n v="805"/>
    <n v="357"/>
    <n v="152"/>
    <n v="597"/>
    <n v="496"/>
    <n v="786"/>
    <n v="757"/>
    <n v="692"/>
    <n v="6401"/>
    <n v="203413.12"/>
    <n v="111618.64"/>
    <n v="31244.6"/>
    <n v="32752.959999999999"/>
    <n v="173461.4"/>
    <n v="76926.36"/>
    <n v="32752.959999999999"/>
    <n v="128641.56"/>
    <n v="106878.08"/>
    <n v="169367.28"/>
    <n v="163118.35999999999"/>
    <n v="149112.16"/>
    <n v="1379287.4799999997"/>
  </r>
  <r>
    <n v="926"/>
    <s v="Product_926"/>
    <x v="3"/>
    <n v="16.12"/>
    <n v="1.4"/>
    <n v="487"/>
    <n v="167"/>
    <n v="975"/>
    <n v="964"/>
    <n v="428"/>
    <n v="363"/>
    <n v="162"/>
    <n v="788"/>
    <n v="508"/>
    <n v="327"/>
    <n v="660"/>
    <n v="917"/>
    <n v="414"/>
    <n v="6673"/>
    <n v="2692.04"/>
    <n v="15717.000000000002"/>
    <n v="15539.68"/>
    <n v="6899.3600000000006"/>
    <n v="5851.56"/>
    <n v="2611.44"/>
    <n v="12702.560000000001"/>
    <n v="8188.9600000000009"/>
    <n v="5271.2400000000007"/>
    <n v="10639.2"/>
    <n v="14782.04"/>
    <n v="6673.68"/>
    <n v="107568.76000000001"/>
  </r>
  <r>
    <n v="927"/>
    <s v="Product_927"/>
    <x v="1"/>
    <n v="138"/>
    <n v="3.4"/>
    <n v="476"/>
    <n v="338"/>
    <n v="44"/>
    <n v="949"/>
    <n v="944"/>
    <n v="118"/>
    <n v="609"/>
    <n v="400"/>
    <n v="152"/>
    <n v="987"/>
    <n v="277"/>
    <n v="76"/>
    <n v="793"/>
    <n v="5687"/>
    <n v="46644"/>
    <n v="6072"/>
    <n v="130962"/>
    <n v="130272"/>
    <n v="16284"/>
    <n v="84042"/>
    <n v="55200"/>
    <n v="20976"/>
    <n v="136206"/>
    <n v="38226"/>
    <n v="10488"/>
    <n v="109434"/>
    <n v="784806"/>
  </r>
  <r>
    <n v="928"/>
    <s v="Product_928"/>
    <x v="2"/>
    <n v="273.11"/>
    <n v="2.9"/>
    <n v="517"/>
    <n v="192"/>
    <n v="954"/>
    <n v="867"/>
    <n v="507"/>
    <n v="237"/>
    <n v="667"/>
    <n v="278"/>
    <n v="513"/>
    <n v="534"/>
    <n v="264"/>
    <n v="207"/>
    <n v="790"/>
    <n v="6010"/>
    <n v="52437.120000000003"/>
    <n v="260546.94"/>
    <n v="236786.37000000002"/>
    <n v="138466.77000000002"/>
    <n v="64727.07"/>
    <n v="182164.37"/>
    <n v="75924.58"/>
    <n v="140105.43"/>
    <n v="145840.74000000002"/>
    <n v="72101.040000000008"/>
    <n v="56533.770000000004"/>
    <n v="215756.90000000002"/>
    <n v="1641391.1"/>
  </r>
  <r>
    <n v="929"/>
    <s v="Product_929"/>
    <x v="0"/>
    <n v="318.57"/>
    <n v="3.6"/>
    <n v="977"/>
    <n v="452"/>
    <n v="238"/>
    <n v="29"/>
    <n v="125"/>
    <n v="545"/>
    <n v="513"/>
    <n v="56"/>
    <n v="502"/>
    <n v="579"/>
    <n v="8"/>
    <n v="883"/>
    <n v="29"/>
    <n v="3959"/>
    <n v="143993.63999999998"/>
    <n v="75819.66"/>
    <n v="9238.5300000000007"/>
    <n v="39821.25"/>
    <n v="173620.65"/>
    <n v="163426.41"/>
    <n v="17839.919999999998"/>
    <n v="159922.13999999998"/>
    <n v="184452.03"/>
    <n v="2548.56"/>
    <n v="281297.31"/>
    <n v="9238.5300000000007"/>
    <n v="1261218.6300000001"/>
  </r>
  <r>
    <n v="930"/>
    <s v="Product_930"/>
    <x v="5"/>
    <n v="132.65"/>
    <n v="1.3"/>
    <n v="184"/>
    <n v="282"/>
    <n v="951"/>
    <n v="44"/>
    <n v="490"/>
    <n v="168"/>
    <n v="349"/>
    <n v="976"/>
    <n v="853"/>
    <n v="909"/>
    <n v="456"/>
    <n v="765"/>
    <n v="265"/>
    <n v="6508"/>
    <n v="37407.300000000003"/>
    <n v="126150.15000000001"/>
    <n v="5836.6"/>
    <n v="64998.5"/>
    <n v="22285.200000000001"/>
    <n v="46294.85"/>
    <n v="129466.40000000001"/>
    <n v="113150.45000000001"/>
    <n v="120578.85"/>
    <n v="60488.4"/>
    <n v="101477.25"/>
    <n v="35152.25"/>
    <n v="863286.20000000007"/>
  </r>
  <r>
    <n v="931"/>
    <s v="Product_931"/>
    <x v="1"/>
    <n v="73.98"/>
    <n v="3.3"/>
    <n v="20"/>
    <n v="335"/>
    <n v="943"/>
    <n v="786"/>
    <n v="481"/>
    <n v="521"/>
    <n v="908"/>
    <n v="185"/>
    <n v="900"/>
    <n v="446"/>
    <n v="794"/>
    <n v="220"/>
    <n v="327"/>
    <n v="6846"/>
    <n v="24783.300000000003"/>
    <n v="69763.14"/>
    <n v="58148.280000000006"/>
    <n v="35584.380000000005"/>
    <n v="38543.58"/>
    <n v="67173.84"/>
    <n v="13686.300000000001"/>
    <n v="66582"/>
    <n v="32995.08"/>
    <n v="58740.12"/>
    <n v="16275.6"/>
    <n v="24191.460000000003"/>
    <n v="506467.08"/>
  </r>
  <r>
    <n v="932"/>
    <s v="Product_932"/>
    <x v="2"/>
    <n v="418.29"/>
    <n v="3.2"/>
    <n v="937"/>
    <n v="389"/>
    <n v="154"/>
    <n v="470"/>
    <n v="344"/>
    <n v="633"/>
    <n v="680"/>
    <n v="397"/>
    <n v="771"/>
    <n v="372"/>
    <n v="272"/>
    <n v="261"/>
    <n v="491"/>
    <n v="5234"/>
    <n v="162714.81"/>
    <n v="64416.66"/>
    <n v="196596.30000000002"/>
    <n v="143891.76"/>
    <n v="264777.57"/>
    <n v="284437.2"/>
    <n v="166061.13"/>
    <n v="322501.59000000003"/>
    <n v="155603.88"/>
    <n v="113774.88"/>
    <n v="109173.69"/>
    <n v="205380.39"/>
    <n v="2189329.8600000003"/>
  </r>
  <r>
    <n v="933"/>
    <s v="Product_933"/>
    <x v="1"/>
    <n v="492.28"/>
    <n v="3.2"/>
    <n v="558"/>
    <n v="999"/>
    <n v="180"/>
    <n v="33"/>
    <n v="911"/>
    <n v="912"/>
    <n v="463"/>
    <n v="604"/>
    <n v="675"/>
    <n v="361"/>
    <n v="939"/>
    <n v="409"/>
    <n v="216"/>
    <n v="6702"/>
    <n v="491787.72"/>
    <n v="88610.4"/>
    <n v="16245.24"/>
    <n v="448467.07999999996"/>
    <n v="448959.36"/>
    <n v="227925.63999999998"/>
    <n v="297337.12"/>
    <n v="332289"/>
    <n v="177713.08"/>
    <n v="462250.92"/>
    <n v="201342.52"/>
    <n v="106332.48"/>
    <n v="3299260.5599999996"/>
  </r>
  <r>
    <n v="934"/>
    <s v="Product_934"/>
    <x v="4"/>
    <n v="265.22000000000003"/>
    <n v="3.4"/>
    <n v="524"/>
    <n v="524"/>
    <n v="214"/>
    <n v="652"/>
    <n v="737"/>
    <n v="656"/>
    <n v="826"/>
    <n v="787"/>
    <n v="5"/>
    <n v="92"/>
    <n v="812"/>
    <n v="330"/>
    <n v="319"/>
    <n v="5954"/>
    <n v="138975.28000000003"/>
    <n v="56757.080000000009"/>
    <n v="172923.44000000003"/>
    <n v="195467.14"/>
    <n v="173984.32"/>
    <n v="219071.72000000003"/>
    <n v="208728.14"/>
    <n v="1326.1000000000001"/>
    <n v="24400.240000000002"/>
    <n v="215358.64"/>
    <n v="87522.6"/>
    <n v="84605.180000000008"/>
    <n v="1579119.8800000001"/>
  </r>
  <r>
    <n v="935"/>
    <s v="Product_935"/>
    <x v="4"/>
    <n v="89.98"/>
    <n v="3.7"/>
    <n v="582"/>
    <n v="239"/>
    <n v="87"/>
    <n v="426"/>
    <n v="220"/>
    <n v="962"/>
    <n v="836"/>
    <n v="157"/>
    <n v="499"/>
    <n v="320"/>
    <n v="7"/>
    <n v="343"/>
    <n v="917"/>
    <n v="5013"/>
    <n v="21505.22"/>
    <n v="7828.26"/>
    <n v="38331.480000000003"/>
    <n v="19795.600000000002"/>
    <n v="86560.760000000009"/>
    <n v="75223.28"/>
    <n v="14126.86"/>
    <n v="44900.020000000004"/>
    <n v="28793.600000000002"/>
    <n v="629.86"/>
    <n v="30863.140000000003"/>
    <n v="82511.66"/>
    <n v="451069.74"/>
  </r>
  <r>
    <n v="936"/>
    <s v="Product_936"/>
    <x v="5"/>
    <n v="139.79"/>
    <n v="4.2"/>
    <n v="529"/>
    <n v="831"/>
    <n v="255"/>
    <n v="829"/>
    <n v="914"/>
    <n v="957"/>
    <n v="374"/>
    <n v="786"/>
    <n v="660"/>
    <n v="323"/>
    <n v="207"/>
    <n v="988"/>
    <n v="398"/>
    <n v="7522"/>
    <n v="116165.48999999999"/>
    <n v="35646.449999999997"/>
    <n v="115885.90999999999"/>
    <n v="127768.06"/>
    <n v="133779.03"/>
    <n v="52281.46"/>
    <n v="109874.93999999999"/>
    <n v="92261.4"/>
    <n v="45152.17"/>
    <n v="28936.53"/>
    <n v="138112.51999999999"/>
    <n v="55636.42"/>
    <n v="1051500.3799999999"/>
  </r>
  <r>
    <n v="937"/>
    <s v="Product_937"/>
    <x v="4"/>
    <n v="14.1"/>
    <n v="2.1"/>
    <n v="883"/>
    <n v="957"/>
    <n v="510"/>
    <n v="885"/>
    <n v="918"/>
    <n v="734"/>
    <n v="91"/>
    <n v="692"/>
    <n v="716"/>
    <n v="383"/>
    <n v="913"/>
    <n v="770"/>
    <n v="890"/>
    <n v="8459"/>
    <n v="13493.699999999999"/>
    <n v="7191"/>
    <n v="12478.5"/>
    <n v="12943.8"/>
    <n v="10349.4"/>
    <n v="1283.0999999999999"/>
    <n v="9757.1999999999989"/>
    <n v="10095.6"/>
    <n v="5400.3"/>
    <n v="12873.3"/>
    <n v="10857"/>
    <n v="12549"/>
    <n v="119271.90000000001"/>
  </r>
  <r>
    <n v="938"/>
    <s v="Product_938"/>
    <x v="6"/>
    <n v="457.58"/>
    <n v="4.3"/>
    <n v="147"/>
    <n v="482"/>
    <n v="72"/>
    <n v="220"/>
    <n v="722"/>
    <n v="882"/>
    <n v="180"/>
    <n v="358"/>
    <n v="117"/>
    <n v="574"/>
    <n v="636"/>
    <n v="819"/>
    <n v="104"/>
    <n v="5166"/>
    <n v="220553.56"/>
    <n v="32945.760000000002"/>
    <n v="100667.59999999999"/>
    <n v="330372.76"/>
    <n v="403585.56"/>
    <n v="82364.399999999994"/>
    <n v="163813.63999999998"/>
    <n v="53536.86"/>
    <n v="262650.92"/>
    <n v="291020.88"/>
    <n v="374758.01999999996"/>
    <n v="47588.32"/>
    <n v="2363858.2799999998"/>
  </r>
  <r>
    <n v="939"/>
    <s v="Product_939"/>
    <x v="0"/>
    <n v="63.29"/>
    <n v="3"/>
    <n v="666"/>
    <n v="658"/>
    <n v="930"/>
    <n v="867"/>
    <n v="24"/>
    <n v="768"/>
    <n v="742"/>
    <n v="439"/>
    <n v="484"/>
    <n v="735"/>
    <n v="122"/>
    <n v="73"/>
    <n v="695"/>
    <n v="6537"/>
    <n v="41644.82"/>
    <n v="58859.7"/>
    <n v="54872.43"/>
    <n v="1518.96"/>
    <n v="48606.720000000001"/>
    <n v="46961.18"/>
    <n v="27784.31"/>
    <n v="30632.36"/>
    <n v="46518.15"/>
    <n v="7721.38"/>
    <n v="4620.17"/>
    <n v="43986.55"/>
    <n v="413726.73"/>
  </r>
  <r>
    <n v="940"/>
    <s v="Product_940"/>
    <x v="4"/>
    <n v="290.38"/>
    <n v="1.3"/>
    <n v="304"/>
    <n v="715"/>
    <n v="178"/>
    <n v="533"/>
    <n v="527"/>
    <n v="779"/>
    <n v="300"/>
    <n v="588"/>
    <n v="600"/>
    <n v="736"/>
    <n v="32"/>
    <n v="636"/>
    <n v="329"/>
    <n v="5953"/>
    <n v="207621.69999999998"/>
    <n v="51687.64"/>
    <n v="154772.54"/>
    <n v="153030.26"/>
    <n v="226206.02"/>
    <n v="87114"/>
    <n v="170743.44"/>
    <n v="174228"/>
    <n v="213719.67999999999"/>
    <n v="9292.16"/>
    <n v="184681.68"/>
    <n v="95535.02"/>
    <n v="1728632.14"/>
  </r>
  <r>
    <n v="941"/>
    <s v="Product_941"/>
    <x v="0"/>
    <n v="140.66"/>
    <n v="1.2"/>
    <n v="620"/>
    <n v="591"/>
    <n v="211"/>
    <n v="691"/>
    <n v="181"/>
    <n v="870"/>
    <n v="659"/>
    <n v="465"/>
    <n v="665"/>
    <n v="880"/>
    <n v="512"/>
    <n v="699"/>
    <n v="659"/>
    <n v="7083"/>
    <n v="83130.06"/>
    <n v="29679.26"/>
    <n v="97196.06"/>
    <n v="25459.46"/>
    <n v="122374.2"/>
    <n v="92694.94"/>
    <n v="65406.9"/>
    <n v="93538.9"/>
    <n v="123780.8"/>
    <n v="72017.919999999998"/>
    <n v="98321.34"/>
    <n v="92694.94"/>
    <n v="996294.78"/>
  </r>
  <r>
    <n v="942"/>
    <s v="Product_942"/>
    <x v="4"/>
    <n v="279.32"/>
    <n v="2.2999999999999998"/>
    <n v="748"/>
    <n v="890"/>
    <n v="804"/>
    <n v="947"/>
    <n v="498"/>
    <n v="515"/>
    <n v="791"/>
    <n v="662"/>
    <n v="950"/>
    <n v="345"/>
    <n v="203"/>
    <n v="253"/>
    <n v="616"/>
    <n v="7474"/>
    <n v="248594.8"/>
    <n v="224573.28"/>
    <n v="264516.03999999998"/>
    <n v="139101.35999999999"/>
    <n v="143849.79999999999"/>
    <n v="220942.12"/>
    <n v="184909.84"/>
    <n v="265354"/>
    <n v="96365.4"/>
    <n v="56701.96"/>
    <n v="70667.959999999992"/>
    <n v="172061.12"/>
    <n v="2087637.6799999997"/>
  </r>
  <r>
    <n v="943"/>
    <s v="Product_943"/>
    <x v="6"/>
    <n v="327.45"/>
    <n v="4.0999999999999996"/>
    <n v="820"/>
    <n v="554"/>
    <n v="233"/>
    <n v="366"/>
    <n v="840"/>
    <n v="937"/>
    <n v="188"/>
    <n v="445"/>
    <n v="678"/>
    <n v="848"/>
    <n v="517"/>
    <n v="958"/>
    <n v="46"/>
    <n v="6610"/>
    <n v="181407.3"/>
    <n v="76295.849999999991"/>
    <n v="119846.7"/>
    <n v="275058"/>
    <n v="306820.64999999997"/>
    <n v="61560.6"/>
    <n v="145715.25"/>
    <n v="222011.1"/>
    <n v="277677.59999999998"/>
    <n v="169291.65"/>
    <n v="313697.09999999998"/>
    <n v="15062.699999999999"/>
    <n v="2164444.5000000005"/>
  </r>
  <r>
    <n v="944"/>
    <s v="Product_944"/>
    <x v="1"/>
    <n v="415.72"/>
    <n v="3.8"/>
    <n v="864"/>
    <n v="457"/>
    <n v="464"/>
    <n v="931"/>
    <n v="640"/>
    <n v="396"/>
    <n v="858"/>
    <n v="749"/>
    <n v="467"/>
    <n v="102"/>
    <n v="808"/>
    <n v="832"/>
    <n v="598"/>
    <n v="7302"/>
    <n v="189984.04"/>
    <n v="192894.08000000002"/>
    <n v="387035.32"/>
    <n v="266060.80000000005"/>
    <n v="164625.12000000002"/>
    <n v="356687.76"/>
    <n v="311374.28000000003"/>
    <n v="194141.24000000002"/>
    <n v="42403.44"/>
    <n v="335901.76"/>
    <n v="345879.04000000004"/>
    <n v="248600.56000000003"/>
    <n v="3035587.44"/>
  </r>
  <r>
    <n v="945"/>
    <s v="Product_945"/>
    <x v="2"/>
    <n v="107.18"/>
    <n v="4.2"/>
    <n v="582"/>
    <n v="88"/>
    <n v="750"/>
    <n v="840"/>
    <n v="41"/>
    <n v="865"/>
    <n v="861"/>
    <n v="800"/>
    <n v="160"/>
    <n v="214"/>
    <n v="950"/>
    <n v="819"/>
    <n v="820"/>
    <n v="7208"/>
    <n v="9431.84"/>
    <n v="80385"/>
    <n v="90031.200000000012"/>
    <n v="4394.38"/>
    <n v="92710.700000000012"/>
    <n v="92281.98000000001"/>
    <n v="85744"/>
    <n v="17148.800000000003"/>
    <n v="22936.52"/>
    <n v="101821"/>
    <n v="87780.420000000013"/>
    <n v="87887.6"/>
    <n v="772553.44"/>
  </r>
  <r>
    <n v="946"/>
    <s v="Product_946"/>
    <x v="2"/>
    <n v="10.44"/>
    <n v="3.1"/>
    <n v="695"/>
    <n v="659"/>
    <n v="222"/>
    <n v="742"/>
    <n v="914"/>
    <n v="105"/>
    <n v="313"/>
    <n v="742"/>
    <n v="269"/>
    <n v="191"/>
    <n v="516"/>
    <n v="746"/>
    <n v="948"/>
    <n v="6367"/>
    <n v="6879.96"/>
    <n v="2317.6799999999998"/>
    <n v="7746.48"/>
    <n v="9542.16"/>
    <n v="1096.2"/>
    <n v="3267.72"/>
    <n v="7746.48"/>
    <n v="2808.3599999999997"/>
    <n v="1994.04"/>
    <n v="5387.04"/>
    <n v="7788.24"/>
    <n v="9897.119999999999"/>
    <n v="66471.48"/>
  </r>
  <r>
    <n v="947"/>
    <s v="Product_947"/>
    <x v="4"/>
    <n v="72.760000000000005"/>
    <n v="2.8"/>
    <n v="762"/>
    <n v="94"/>
    <n v="630"/>
    <n v="914"/>
    <n v="480"/>
    <n v="84"/>
    <n v="492"/>
    <n v="487"/>
    <n v="55"/>
    <n v="671"/>
    <n v="442"/>
    <n v="985"/>
    <n v="640"/>
    <n v="5974"/>
    <n v="6839.4400000000005"/>
    <n v="45838.8"/>
    <n v="66502.64"/>
    <n v="34924.800000000003"/>
    <n v="6111.84"/>
    <n v="35797.920000000006"/>
    <n v="35434.120000000003"/>
    <n v="4001.8"/>
    <n v="48821.960000000006"/>
    <n v="32159.920000000002"/>
    <n v="71668.600000000006"/>
    <n v="46566.400000000001"/>
    <n v="434668.24"/>
  </r>
  <r>
    <n v="948"/>
    <s v="Product_948"/>
    <x v="2"/>
    <n v="450.51"/>
    <n v="1.6"/>
    <n v="228"/>
    <n v="451"/>
    <n v="824"/>
    <n v="549"/>
    <n v="929"/>
    <n v="213"/>
    <n v="922"/>
    <n v="529"/>
    <n v="227"/>
    <n v="883"/>
    <n v="591"/>
    <n v="761"/>
    <n v="769"/>
    <n v="7648"/>
    <n v="203180.01"/>
    <n v="371220.24"/>
    <n v="247329.99"/>
    <n v="418523.79"/>
    <n v="95958.63"/>
    <n v="415370.22"/>
    <n v="238319.79"/>
    <n v="102265.77"/>
    <n v="397800.33"/>
    <n v="266251.40999999997"/>
    <n v="342838.11"/>
    <n v="346442.19"/>
    <n v="3445500.48"/>
  </r>
  <r>
    <n v="949"/>
    <s v="Product_949"/>
    <x v="4"/>
    <n v="437.58"/>
    <n v="2.2999999999999998"/>
    <n v="102"/>
    <n v="427"/>
    <n v="263"/>
    <n v="581"/>
    <n v="847"/>
    <n v="120"/>
    <n v="921"/>
    <n v="72"/>
    <n v="848"/>
    <n v="718"/>
    <n v="785"/>
    <n v="331"/>
    <n v="313"/>
    <n v="6226"/>
    <n v="186846.66"/>
    <n v="115083.54"/>
    <n v="254233.97999999998"/>
    <n v="370630.26"/>
    <n v="52509.599999999999"/>
    <n v="403011.18"/>
    <n v="31505.759999999998"/>
    <n v="371067.83999999997"/>
    <n v="314182.44"/>
    <n v="343500.3"/>
    <n v="144838.97999999998"/>
    <n v="136962.54"/>
    <n v="2724373.0799999996"/>
  </r>
  <r>
    <n v="950"/>
    <s v="Product_950"/>
    <x v="4"/>
    <n v="300.72000000000003"/>
    <n v="2.7"/>
    <n v="587"/>
    <n v="150"/>
    <n v="206"/>
    <n v="115"/>
    <n v="747"/>
    <n v="131"/>
    <n v="127"/>
    <n v="928"/>
    <n v="148"/>
    <n v="780"/>
    <n v="688"/>
    <n v="397"/>
    <n v="146"/>
    <n v="4563"/>
    <n v="45108.000000000007"/>
    <n v="61948.320000000007"/>
    <n v="34582.800000000003"/>
    <n v="224637.84000000003"/>
    <n v="39394.320000000007"/>
    <n v="38191.440000000002"/>
    <n v="279068.16000000003"/>
    <n v="44506.560000000005"/>
    <n v="234561.60000000003"/>
    <n v="206895.36000000002"/>
    <n v="119385.84000000001"/>
    <n v="43905.120000000003"/>
    <n v="1372185.3600000006"/>
  </r>
  <r>
    <n v="951"/>
    <s v="Product_951"/>
    <x v="5"/>
    <n v="302.26"/>
    <n v="1.4"/>
    <n v="417"/>
    <n v="513"/>
    <n v="606"/>
    <n v="238"/>
    <n v="871"/>
    <n v="849"/>
    <n v="518"/>
    <n v="927"/>
    <n v="45"/>
    <n v="193"/>
    <n v="849"/>
    <n v="344"/>
    <n v="957"/>
    <n v="6910"/>
    <n v="155059.38"/>
    <n v="183169.56"/>
    <n v="71937.88"/>
    <n v="263268.46000000002"/>
    <n v="256618.74"/>
    <n v="156570.68"/>
    <n v="280195.02"/>
    <n v="13601.699999999999"/>
    <n v="58336.18"/>
    <n v="256618.74"/>
    <n v="103977.44"/>
    <n v="289262.82"/>
    <n v="2088616.5999999999"/>
  </r>
  <r>
    <n v="952"/>
    <s v="Product_952"/>
    <x v="3"/>
    <n v="334.19"/>
    <n v="1.9"/>
    <n v="958"/>
    <n v="375"/>
    <n v="884"/>
    <n v="334"/>
    <n v="438"/>
    <n v="196"/>
    <n v="425"/>
    <n v="700"/>
    <n v="143"/>
    <n v="379"/>
    <n v="832"/>
    <n v="583"/>
    <n v="461"/>
    <n v="5750"/>
    <n v="125321.25"/>
    <n v="295423.96000000002"/>
    <n v="111619.46"/>
    <n v="146375.22"/>
    <n v="65501.24"/>
    <n v="142030.75"/>
    <n v="233933"/>
    <n v="47789.17"/>
    <n v="126658.01"/>
    <n v="278046.08000000002"/>
    <n v="194832.77"/>
    <n v="154061.59"/>
    <n v="1921592.5"/>
  </r>
  <r>
    <n v="953"/>
    <s v="Product_953"/>
    <x v="3"/>
    <n v="91.81"/>
    <n v="3.4"/>
    <n v="216"/>
    <n v="21"/>
    <n v="733"/>
    <n v="440"/>
    <n v="401"/>
    <n v="18"/>
    <n v="558"/>
    <n v="949"/>
    <n v="749"/>
    <n v="402"/>
    <n v="338"/>
    <n v="746"/>
    <n v="583"/>
    <n v="5938"/>
    <n v="1928.01"/>
    <n v="67296.73"/>
    <n v="40396.400000000001"/>
    <n v="36815.81"/>
    <n v="1652.58"/>
    <n v="51229.98"/>
    <n v="87127.69"/>
    <n v="68765.69"/>
    <n v="36907.620000000003"/>
    <n v="31031.780000000002"/>
    <n v="68490.259999999995"/>
    <n v="53525.23"/>
    <n v="545167.78"/>
  </r>
  <r>
    <n v="954"/>
    <s v="Product_954"/>
    <x v="5"/>
    <n v="457.63"/>
    <n v="3.9"/>
    <n v="407"/>
    <n v="882"/>
    <n v="365"/>
    <n v="147"/>
    <n v="545"/>
    <n v="641"/>
    <n v="564"/>
    <n v="16"/>
    <n v="783"/>
    <n v="663"/>
    <n v="437"/>
    <n v="835"/>
    <n v="485"/>
    <n v="6363"/>
    <n v="403629.66"/>
    <n v="167034.95000000001"/>
    <n v="67271.61"/>
    <n v="249408.35"/>
    <n v="293340.83"/>
    <n v="258103.32"/>
    <n v="7322.08"/>
    <n v="358324.29"/>
    <n v="303408.69"/>
    <n v="199984.31"/>
    <n v="382121.05"/>
    <n v="221950.55"/>
    <n v="2911899.69"/>
  </r>
  <r>
    <n v="955"/>
    <s v="Product_955"/>
    <x v="3"/>
    <n v="212.29"/>
    <n v="5"/>
    <n v="399"/>
    <n v="312"/>
    <n v="275"/>
    <n v="8"/>
    <n v="344"/>
    <n v="11"/>
    <n v="186"/>
    <n v="530"/>
    <n v="631"/>
    <n v="748"/>
    <n v="444"/>
    <n v="667"/>
    <n v="651"/>
    <n v="4807"/>
    <n v="66234.48"/>
    <n v="58379.75"/>
    <n v="1698.32"/>
    <n v="73027.759999999995"/>
    <n v="2335.19"/>
    <n v="39485.939999999995"/>
    <n v="112513.7"/>
    <n v="133954.99"/>
    <n v="158792.91999999998"/>
    <n v="94256.76"/>
    <n v="141597.43"/>
    <n v="138200.79"/>
    <n v="1020478.03"/>
  </r>
  <r>
    <n v="956"/>
    <s v="Product_956"/>
    <x v="0"/>
    <n v="194.65"/>
    <n v="4.7"/>
    <n v="923"/>
    <n v="996"/>
    <n v="379"/>
    <n v="287"/>
    <n v="892"/>
    <n v="80"/>
    <n v="549"/>
    <n v="730"/>
    <n v="339"/>
    <n v="599"/>
    <n v="135"/>
    <n v="454"/>
    <n v="409"/>
    <n v="5849"/>
    <n v="193871.4"/>
    <n v="73772.350000000006"/>
    <n v="55864.55"/>
    <n v="173627.80000000002"/>
    <n v="15572"/>
    <n v="106862.85"/>
    <n v="142094.5"/>
    <n v="65986.350000000006"/>
    <n v="116595.35"/>
    <n v="26277.75"/>
    <n v="88371.1"/>
    <n v="79611.850000000006"/>
    <n v="1138507.8500000001"/>
  </r>
  <r>
    <n v="957"/>
    <s v="Product_957"/>
    <x v="3"/>
    <n v="261.86"/>
    <n v="3.6"/>
    <n v="715"/>
    <n v="839"/>
    <n v="742"/>
    <n v="387"/>
    <n v="44"/>
    <n v="329"/>
    <n v="452"/>
    <n v="325"/>
    <n v="412"/>
    <n v="10"/>
    <n v="386"/>
    <n v="905"/>
    <n v="26"/>
    <n v="4857"/>
    <n v="219700.54"/>
    <n v="194300.12000000002"/>
    <n v="101339.82"/>
    <n v="11521.84"/>
    <n v="86151.94"/>
    <n v="118360.72"/>
    <n v="85104.5"/>
    <n v="107886.32"/>
    <n v="2618.6000000000004"/>
    <n v="101077.96"/>
    <n v="236983.30000000002"/>
    <n v="6808.3600000000006"/>
    <n v="1271854.02"/>
  </r>
  <r>
    <n v="958"/>
    <s v="Product_958"/>
    <x v="4"/>
    <n v="28.25"/>
    <n v="2.7"/>
    <n v="704"/>
    <n v="518"/>
    <n v="308"/>
    <n v="49"/>
    <n v="645"/>
    <n v="865"/>
    <n v="470"/>
    <n v="994"/>
    <n v="731"/>
    <n v="186"/>
    <n v="24"/>
    <n v="114"/>
    <n v="28"/>
    <n v="4932"/>
    <n v="14633.5"/>
    <n v="8701"/>
    <n v="1384.25"/>
    <n v="18221.25"/>
    <n v="24436.25"/>
    <n v="13277.5"/>
    <n v="28080.5"/>
    <n v="20650.75"/>
    <n v="5254.5"/>
    <n v="678"/>
    <n v="3220.5"/>
    <n v="791"/>
    <n v="139329"/>
  </r>
  <r>
    <n v="959"/>
    <s v="Product_959"/>
    <x v="6"/>
    <n v="87.31"/>
    <n v="3.5"/>
    <n v="761"/>
    <n v="205"/>
    <n v="630"/>
    <n v="849"/>
    <n v="20"/>
    <n v="773"/>
    <n v="987"/>
    <n v="631"/>
    <n v="519"/>
    <n v="725"/>
    <n v="505"/>
    <n v="312"/>
    <n v="270"/>
    <n v="6426"/>
    <n v="17898.55"/>
    <n v="55005.3"/>
    <n v="74126.19"/>
    <n v="1746.2"/>
    <n v="67490.63"/>
    <n v="86174.97"/>
    <n v="55092.61"/>
    <n v="45313.89"/>
    <n v="63299.75"/>
    <n v="44091.55"/>
    <n v="27240.720000000001"/>
    <n v="23573.7"/>
    <n v="561054.05999999994"/>
  </r>
  <r>
    <n v="960"/>
    <s v="Product_960"/>
    <x v="6"/>
    <n v="370.33"/>
    <n v="4.0999999999999996"/>
    <n v="499"/>
    <n v="951"/>
    <n v="267"/>
    <n v="516"/>
    <n v="633"/>
    <n v="391"/>
    <n v="737"/>
    <n v="612"/>
    <n v="343"/>
    <n v="14"/>
    <n v="324"/>
    <n v="227"/>
    <n v="685"/>
    <n v="5700"/>
    <n v="352183.82999999996"/>
    <n v="98878.11"/>
    <n v="191090.28"/>
    <n v="234418.88999999998"/>
    <n v="144799.03"/>
    <n v="272933.20999999996"/>
    <n v="226641.96"/>
    <n v="127023.18999999999"/>
    <n v="5184.62"/>
    <n v="119986.92"/>
    <n v="84064.91"/>
    <n v="253676.05"/>
    <n v="2110881"/>
  </r>
  <r>
    <n v="961"/>
    <s v="Product_961"/>
    <x v="1"/>
    <n v="45.99"/>
    <n v="1.5"/>
    <n v="754"/>
    <n v="374"/>
    <n v="944"/>
    <n v="915"/>
    <n v="69"/>
    <n v="636"/>
    <n v="564"/>
    <n v="545"/>
    <n v="386"/>
    <n v="777"/>
    <n v="694"/>
    <n v="833"/>
    <n v="500"/>
    <n v="7237"/>
    <n v="17200.260000000002"/>
    <n v="43414.560000000005"/>
    <n v="42080.85"/>
    <n v="3173.31"/>
    <n v="29249.640000000003"/>
    <n v="25938.36"/>
    <n v="25064.55"/>
    <n v="17752.14"/>
    <n v="35734.230000000003"/>
    <n v="31917.06"/>
    <n v="38309.67"/>
    <n v="22995"/>
    <n v="332829.63000000006"/>
  </r>
  <r>
    <n v="962"/>
    <s v="Product_962"/>
    <x v="3"/>
    <n v="303.56"/>
    <n v="2.6"/>
    <n v="465"/>
    <n v="450"/>
    <n v="784"/>
    <n v="854"/>
    <n v="863"/>
    <n v="306"/>
    <n v="910"/>
    <n v="595"/>
    <n v="472"/>
    <n v="296"/>
    <n v="679"/>
    <n v="857"/>
    <n v="252"/>
    <n v="7318"/>
    <n v="136602"/>
    <n v="237991.04000000001"/>
    <n v="259240.24"/>
    <n v="261972.28"/>
    <n v="92889.36"/>
    <n v="276239.59999999998"/>
    <n v="180618.2"/>
    <n v="143280.32000000001"/>
    <n v="89853.759999999995"/>
    <n v="206117.24"/>
    <n v="260150.92"/>
    <n v="76497.119999999995"/>
    <n v="2221452.08"/>
  </r>
  <r>
    <n v="963"/>
    <s v="Product_963"/>
    <x v="6"/>
    <n v="126.45"/>
    <n v="4.4000000000000004"/>
    <n v="691"/>
    <n v="625"/>
    <n v="63"/>
    <n v="637"/>
    <n v="872"/>
    <n v="266"/>
    <n v="223"/>
    <n v="920"/>
    <n v="274"/>
    <n v="410"/>
    <n v="978"/>
    <n v="244"/>
    <n v="384"/>
    <n v="5896"/>
    <n v="79031.25"/>
    <n v="7966.35"/>
    <n v="80548.650000000009"/>
    <n v="110264.40000000001"/>
    <n v="33635.700000000004"/>
    <n v="28198.350000000002"/>
    <n v="116334"/>
    <n v="34647.300000000003"/>
    <n v="51844.5"/>
    <n v="123668.1"/>
    <n v="30853.8"/>
    <n v="48556.800000000003"/>
    <n v="745549.20000000007"/>
  </r>
  <r>
    <n v="964"/>
    <s v="Product_964"/>
    <x v="3"/>
    <n v="197.7"/>
    <n v="2.5"/>
    <n v="949"/>
    <n v="783"/>
    <n v="809"/>
    <n v="586"/>
    <n v="47"/>
    <n v="446"/>
    <n v="153"/>
    <n v="707"/>
    <n v="352"/>
    <n v="955"/>
    <n v="337"/>
    <n v="817"/>
    <n v="59"/>
    <n v="6051"/>
    <n v="154799.09999999998"/>
    <n v="159939.29999999999"/>
    <n v="115852.2"/>
    <n v="9291.9"/>
    <n v="88174.2"/>
    <n v="30248.1"/>
    <n v="139773.9"/>
    <n v="69590.399999999994"/>
    <n v="188803.5"/>
    <n v="66624.899999999994"/>
    <n v="161520.9"/>
    <n v="11664.3"/>
    <n v="1196282.7"/>
  </r>
  <r>
    <n v="965"/>
    <s v="Product_965"/>
    <x v="1"/>
    <n v="147.9"/>
    <n v="3.3"/>
    <n v="974"/>
    <n v="594"/>
    <n v="349"/>
    <n v="676"/>
    <n v="490"/>
    <n v="440"/>
    <n v="559"/>
    <n v="841"/>
    <n v="65"/>
    <n v="584"/>
    <n v="689"/>
    <n v="525"/>
    <n v="106"/>
    <n v="5918"/>
    <n v="87852.6"/>
    <n v="51617.1"/>
    <n v="99980.400000000009"/>
    <n v="72471"/>
    <n v="65076"/>
    <n v="82676.100000000006"/>
    <n v="124383.90000000001"/>
    <n v="9613.5"/>
    <n v="86373.6"/>
    <n v="101903.1"/>
    <n v="77647.5"/>
    <n v="15677.400000000001"/>
    <n v="875272.20000000007"/>
  </r>
  <r>
    <n v="966"/>
    <s v="Product_966"/>
    <x v="6"/>
    <n v="181.06"/>
    <n v="3.4"/>
    <n v="731"/>
    <n v="178"/>
    <n v="924"/>
    <n v="277"/>
    <n v="550"/>
    <n v="894"/>
    <n v="350"/>
    <n v="201"/>
    <n v="78"/>
    <n v="51"/>
    <n v="884"/>
    <n v="527"/>
    <n v="219"/>
    <n v="5133"/>
    <n v="32228.68"/>
    <n v="167299.44"/>
    <n v="50153.62"/>
    <n v="99583"/>
    <n v="161867.64000000001"/>
    <n v="63371"/>
    <n v="36393.06"/>
    <n v="14122.68"/>
    <n v="9234.06"/>
    <n v="160057.04"/>
    <n v="95418.62"/>
    <n v="39652.14"/>
    <n v="929380.9800000001"/>
  </r>
  <r>
    <n v="967"/>
    <s v="Product_967"/>
    <x v="4"/>
    <n v="360.93"/>
    <n v="1.7"/>
    <n v="82"/>
    <n v="209"/>
    <n v="914"/>
    <n v="953"/>
    <n v="286"/>
    <n v="651"/>
    <n v="146"/>
    <n v="343"/>
    <n v="597"/>
    <n v="639"/>
    <n v="94"/>
    <n v="949"/>
    <n v="440"/>
    <n v="6221"/>
    <n v="75434.37"/>
    <n v="329890.02"/>
    <n v="343966.29"/>
    <n v="103225.98"/>
    <n v="234965.43"/>
    <n v="52695.78"/>
    <n v="123798.99"/>
    <n v="215475.21"/>
    <n v="230634.27000000002"/>
    <n v="33927.42"/>
    <n v="342522.57"/>
    <n v="158809.20000000001"/>
    <n v="2245345.5299999998"/>
  </r>
  <r>
    <n v="968"/>
    <s v="Product_968"/>
    <x v="0"/>
    <n v="152.08000000000001"/>
    <n v="2.4"/>
    <n v="604"/>
    <n v="499"/>
    <n v="493"/>
    <n v="835"/>
    <n v="9"/>
    <n v="840"/>
    <n v="904"/>
    <n v="852"/>
    <n v="635"/>
    <n v="27"/>
    <n v="544"/>
    <n v="426"/>
    <n v="770"/>
    <n v="6834"/>
    <n v="75887.920000000013"/>
    <n v="74975.44"/>
    <n v="126986.80000000002"/>
    <n v="1368.72"/>
    <n v="127747.20000000001"/>
    <n v="137480.32000000001"/>
    <n v="129572.16"/>
    <n v="96570.8"/>
    <n v="4106.1600000000008"/>
    <n v="82731.520000000004"/>
    <n v="64786.080000000002"/>
    <n v="117101.6"/>
    <n v="1039314.7200000001"/>
  </r>
  <r>
    <n v="969"/>
    <s v="Product_969"/>
    <x v="5"/>
    <n v="285.37"/>
    <n v="2.2999999999999998"/>
    <n v="947"/>
    <n v="463"/>
    <n v="522"/>
    <n v="988"/>
    <n v="541"/>
    <n v="1"/>
    <n v="575"/>
    <n v="522"/>
    <n v="201"/>
    <n v="576"/>
    <n v="622"/>
    <n v="41"/>
    <n v="882"/>
    <n v="5934"/>
    <n v="132126.31"/>
    <n v="148963.14000000001"/>
    <n v="281945.56"/>
    <n v="154385.17000000001"/>
    <n v="285.37"/>
    <n v="164087.75"/>
    <n v="148963.14000000001"/>
    <n v="57359.37"/>
    <n v="164373.12"/>
    <n v="177500.14"/>
    <n v="11700.17"/>
    <n v="251696.34"/>
    <n v="1693385.5800000003"/>
  </r>
  <r>
    <n v="970"/>
    <s v="Product_970"/>
    <x v="5"/>
    <n v="240.64"/>
    <n v="1.1000000000000001"/>
    <n v="687"/>
    <n v="839"/>
    <n v="97"/>
    <n v="299"/>
    <n v="755"/>
    <n v="519"/>
    <n v="348"/>
    <n v="858"/>
    <n v="977"/>
    <n v="16"/>
    <n v="145"/>
    <n v="464"/>
    <n v="657"/>
    <n v="5974"/>
    <n v="201896.95999999999"/>
    <n v="23342.079999999998"/>
    <n v="71951.360000000001"/>
    <n v="181683.19999999998"/>
    <n v="124892.15999999999"/>
    <n v="83742.720000000001"/>
    <n v="206469.12"/>
    <n v="235105.28"/>
    <n v="3850.24"/>
    <n v="34892.799999999996"/>
    <n v="111656.95999999999"/>
    <n v="158100.47999999998"/>
    <n v="1437583.3599999999"/>
  </r>
  <r>
    <n v="971"/>
    <s v="Product_971"/>
    <x v="5"/>
    <n v="333.52"/>
    <n v="1.1000000000000001"/>
    <n v="751"/>
    <n v="123"/>
    <n v="945"/>
    <n v="801"/>
    <n v="273"/>
    <n v="761"/>
    <n v="181"/>
    <n v="399"/>
    <n v="661"/>
    <n v="350"/>
    <n v="892"/>
    <n v="621"/>
    <n v="563"/>
    <n v="6570"/>
    <n v="41022.959999999999"/>
    <n v="315176.39999999997"/>
    <n v="267149.51999999996"/>
    <n v="91050.959999999992"/>
    <n v="253808.71999999997"/>
    <n v="60367.119999999995"/>
    <n v="133074.47999999998"/>
    <n v="220456.72"/>
    <n v="116732"/>
    <n v="297499.83999999997"/>
    <n v="207115.91999999998"/>
    <n v="187771.75999999998"/>
    <n v="2191226.3999999994"/>
  </r>
  <r>
    <n v="972"/>
    <s v="Product_972"/>
    <x v="3"/>
    <n v="468.73"/>
    <n v="4.3"/>
    <n v="772"/>
    <n v="992"/>
    <n v="70"/>
    <n v="588"/>
    <n v="955"/>
    <n v="650"/>
    <n v="636"/>
    <n v="217"/>
    <n v="557"/>
    <n v="427"/>
    <n v="952"/>
    <n v="277"/>
    <n v="571"/>
    <n v="6892"/>
    <n v="464980.16000000003"/>
    <n v="32811.1"/>
    <n v="275613.24"/>
    <n v="447637.15"/>
    <n v="304674.5"/>
    <n v="298112.28000000003"/>
    <n v="101714.41"/>
    <n v="261082.61000000002"/>
    <n v="200147.71000000002"/>
    <n v="446230.96"/>
    <n v="129838.21"/>
    <n v="267644.83"/>
    <n v="3230487.1599999997"/>
  </r>
  <r>
    <n v="973"/>
    <s v="Product_973"/>
    <x v="6"/>
    <n v="367.62"/>
    <n v="2.1"/>
    <n v="903"/>
    <n v="112"/>
    <n v="363"/>
    <n v="809"/>
    <n v="599"/>
    <n v="635"/>
    <n v="178"/>
    <n v="444"/>
    <n v="112"/>
    <n v="649"/>
    <n v="230"/>
    <n v="835"/>
    <n v="545"/>
    <n v="5511"/>
    <n v="41173.440000000002"/>
    <n v="133446.06"/>
    <n v="297404.58"/>
    <n v="220204.38"/>
    <n v="233438.7"/>
    <n v="65436.36"/>
    <n v="163223.28"/>
    <n v="41173.440000000002"/>
    <n v="238585.38"/>
    <n v="84552.6"/>
    <n v="306962.7"/>
    <n v="200352.9"/>
    <n v="2025953.8199999996"/>
  </r>
  <r>
    <n v="974"/>
    <s v="Product_974"/>
    <x v="6"/>
    <n v="111.4"/>
    <n v="3.1"/>
    <n v="365"/>
    <n v="11"/>
    <n v="569"/>
    <n v="648"/>
    <n v="755"/>
    <n v="308"/>
    <n v="38"/>
    <n v="764"/>
    <n v="90"/>
    <n v="830"/>
    <n v="783"/>
    <n v="18"/>
    <n v="95"/>
    <n v="4909"/>
    <n v="1225.4000000000001"/>
    <n v="63386.600000000006"/>
    <n v="72187.199999999997"/>
    <n v="84107"/>
    <n v="34311.200000000004"/>
    <n v="4233.2"/>
    <n v="85109.6"/>
    <n v="10026"/>
    <n v="92462"/>
    <n v="87226.200000000012"/>
    <n v="2005.2"/>
    <n v="10583"/>
    <n v="546862.60000000009"/>
  </r>
  <r>
    <n v="975"/>
    <s v="Product_975"/>
    <x v="1"/>
    <n v="20.440000000000001"/>
    <n v="2.2000000000000002"/>
    <n v="163"/>
    <n v="125"/>
    <n v="801"/>
    <n v="617"/>
    <n v="380"/>
    <n v="739"/>
    <n v="771"/>
    <n v="221"/>
    <n v="140"/>
    <n v="228"/>
    <n v="847"/>
    <n v="65"/>
    <n v="988"/>
    <n v="5922"/>
    <n v="2555"/>
    <n v="16372.44"/>
    <n v="12611.480000000001"/>
    <n v="7767.2000000000007"/>
    <n v="15105.160000000002"/>
    <n v="15759.240000000002"/>
    <n v="4517.2400000000007"/>
    <n v="2861.6000000000004"/>
    <n v="4660.3200000000006"/>
    <n v="17312.68"/>
    <n v="1328.6000000000001"/>
    <n v="20194.72"/>
    <n v="121045.68000000005"/>
  </r>
  <r>
    <n v="976"/>
    <s v="Product_976"/>
    <x v="4"/>
    <n v="134.82"/>
    <n v="4.8"/>
    <n v="48"/>
    <n v="564"/>
    <n v="762"/>
    <n v="606"/>
    <n v="328"/>
    <n v="521"/>
    <n v="893"/>
    <n v="382"/>
    <n v="288"/>
    <n v="765"/>
    <n v="494"/>
    <n v="166"/>
    <n v="88"/>
    <n v="5857"/>
    <n v="76038.48"/>
    <n v="102732.84"/>
    <n v="81700.92"/>
    <n v="44220.959999999999"/>
    <n v="70241.22"/>
    <n v="120394.26"/>
    <n v="51501.24"/>
    <n v="38828.159999999996"/>
    <n v="103137.29999999999"/>
    <n v="66601.08"/>
    <n v="22380.12"/>
    <n v="11864.16"/>
    <n v="789640.74000000011"/>
  </r>
  <r>
    <n v="977"/>
    <s v="Product_977"/>
    <x v="2"/>
    <n v="299.56"/>
    <n v="2"/>
    <n v="511"/>
    <n v="330"/>
    <n v="275"/>
    <n v="134"/>
    <n v="478"/>
    <n v="468"/>
    <n v="2"/>
    <n v="880"/>
    <n v="900"/>
    <n v="988"/>
    <n v="37"/>
    <n v="584"/>
    <n v="827"/>
    <n v="5903"/>
    <n v="98854.8"/>
    <n v="82379"/>
    <n v="40141.040000000001"/>
    <n v="143189.68"/>
    <n v="140194.07999999999"/>
    <n v="599.12"/>
    <n v="263612.79999999999"/>
    <n v="269604"/>
    <n v="295965.28000000003"/>
    <n v="11083.72"/>
    <n v="174943.04"/>
    <n v="247736.12"/>
    <n v="1768302.6800000002"/>
  </r>
  <r>
    <n v="978"/>
    <s v="Product_978"/>
    <x v="6"/>
    <n v="30.46"/>
    <n v="2.7"/>
    <n v="329"/>
    <n v="900"/>
    <n v="49"/>
    <n v="579"/>
    <n v="14"/>
    <n v="211"/>
    <n v="63"/>
    <n v="591"/>
    <n v="729"/>
    <n v="209"/>
    <n v="424"/>
    <n v="402"/>
    <n v="921"/>
    <n v="5092"/>
    <n v="27414"/>
    <n v="1492.54"/>
    <n v="17636.34"/>
    <n v="426.44"/>
    <n v="6427.06"/>
    <n v="1918.98"/>
    <n v="18001.86"/>
    <n v="22205.34"/>
    <n v="6366.14"/>
    <n v="12915.04"/>
    <n v="12244.92"/>
    <n v="28053.66"/>
    <n v="155102.31999999998"/>
  </r>
  <r>
    <n v="979"/>
    <s v="Product_979"/>
    <x v="0"/>
    <n v="250.7"/>
    <n v="4.5"/>
    <n v="840"/>
    <n v="282"/>
    <n v="357"/>
    <n v="146"/>
    <n v="515"/>
    <n v="111"/>
    <n v="28"/>
    <n v="6"/>
    <n v="588"/>
    <n v="430"/>
    <n v="646"/>
    <n v="911"/>
    <n v="230"/>
    <n v="4250"/>
    <n v="70697.399999999994"/>
    <n v="89499.9"/>
    <n v="36602.199999999997"/>
    <n v="129110.5"/>
    <n v="27827.699999999997"/>
    <n v="7019.5999999999995"/>
    <n v="1504.1999999999998"/>
    <n v="147411.6"/>
    <n v="107801"/>
    <n v="161952.19999999998"/>
    <n v="228387.69999999998"/>
    <n v="57661"/>
    <n v="1065475"/>
  </r>
  <r>
    <n v="980"/>
    <s v="Product_980"/>
    <x v="1"/>
    <n v="300.44"/>
    <n v="4.4000000000000004"/>
    <n v="116"/>
    <n v="139"/>
    <n v="727"/>
    <n v="489"/>
    <n v="190"/>
    <n v="7"/>
    <n v="371"/>
    <n v="271"/>
    <n v="410"/>
    <n v="293"/>
    <n v="845"/>
    <n v="821"/>
    <n v="967"/>
    <n v="5530"/>
    <n v="41761.159999999996"/>
    <n v="218419.88"/>
    <n v="146915.16"/>
    <n v="57083.6"/>
    <n v="2103.08"/>
    <n v="111463.24"/>
    <n v="81419.240000000005"/>
    <n v="123180.4"/>
    <n v="88028.92"/>
    <n v="253871.8"/>
    <n v="246661.24"/>
    <n v="290525.48"/>
    <n v="1661433.2"/>
  </r>
  <r>
    <n v="981"/>
    <s v="Product_981"/>
    <x v="6"/>
    <n v="170.45"/>
    <n v="1.7"/>
    <n v="941"/>
    <n v="400"/>
    <n v="905"/>
    <n v="477"/>
    <n v="167"/>
    <n v="803"/>
    <n v="522"/>
    <n v="738"/>
    <n v="376"/>
    <n v="742"/>
    <n v="746"/>
    <n v="408"/>
    <n v="274"/>
    <n v="6558"/>
    <n v="68180"/>
    <n v="154257.25"/>
    <n v="81304.649999999994"/>
    <n v="28465.149999999998"/>
    <n v="136871.34999999998"/>
    <n v="88974.9"/>
    <n v="125792.09999999999"/>
    <n v="64089.2"/>
    <n v="126473.9"/>
    <n v="127155.7"/>
    <n v="69543.599999999991"/>
    <n v="46703.299999999996"/>
    <n v="1117811.1000000001"/>
  </r>
  <r>
    <n v="982"/>
    <s v="Product_982"/>
    <x v="6"/>
    <n v="386.6"/>
    <n v="4.2"/>
    <n v="849"/>
    <n v="901"/>
    <n v="927"/>
    <n v="158"/>
    <n v="520"/>
    <n v="476"/>
    <n v="96"/>
    <n v="15"/>
    <n v="383"/>
    <n v="752"/>
    <n v="436"/>
    <n v="111"/>
    <n v="245"/>
    <n v="5020"/>
    <n v="348326.60000000003"/>
    <n v="358378.2"/>
    <n v="61082.8"/>
    <n v="201032"/>
    <n v="184021.6"/>
    <n v="37113.600000000006"/>
    <n v="5799"/>
    <n v="148067.80000000002"/>
    <n v="290723.20000000001"/>
    <n v="168557.6"/>
    <n v="42912.600000000006"/>
    <n v="94717"/>
    <n v="1940732.0000000005"/>
  </r>
  <r>
    <n v="983"/>
    <s v="Product_983"/>
    <x v="1"/>
    <n v="57.77"/>
    <n v="2.8"/>
    <n v="337"/>
    <n v="96"/>
    <n v="563"/>
    <n v="383"/>
    <n v="620"/>
    <n v="873"/>
    <n v="869"/>
    <n v="423"/>
    <n v="845"/>
    <n v="581"/>
    <n v="830"/>
    <n v="273"/>
    <n v="110"/>
    <n v="6466"/>
    <n v="5545.92"/>
    <n v="32524.510000000002"/>
    <n v="22125.91"/>
    <n v="35817.4"/>
    <n v="50433.21"/>
    <n v="50202.130000000005"/>
    <n v="24436.710000000003"/>
    <n v="48815.65"/>
    <n v="33564.370000000003"/>
    <n v="47949.100000000006"/>
    <n v="15771.210000000001"/>
    <n v="6354.7000000000007"/>
    <n v="373540.82000000007"/>
  </r>
  <r>
    <n v="984"/>
    <s v="Product_984"/>
    <x v="1"/>
    <n v="42.19"/>
    <n v="2.9"/>
    <n v="881"/>
    <n v="516"/>
    <n v="782"/>
    <n v="162"/>
    <n v="136"/>
    <n v="459"/>
    <n v="441"/>
    <n v="523"/>
    <n v="151"/>
    <n v="103"/>
    <n v="367"/>
    <n v="406"/>
    <n v="233"/>
    <n v="4279"/>
    <n v="21770.039999999997"/>
    <n v="32992.58"/>
    <n v="6834.78"/>
    <n v="5737.84"/>
    <n v="19365.21"/>
    <n v="18605.789999999997"/>
    <n v="22065.37"/>
    <n v="6370.69"/>
    <n v="4345.57"/>
    <n v="15483.73"/>
    <n v="17129.14"/>
    <n v="9830.2699999999986"/>
    <n v="180531.00999999998"/>
  </r>
  <r>
    <n v="985"/>
    <s v="Product_985"/>
    <x v="3"/>
    <n v="365.45"/>
    <n v="1.5"/>
    <n v="737"/>
    <n v="568"/>
    <n v="484"/>
    <n v="440"/>
    <n v="153"/>
    <n v="252"/>
    <n v="202"/>
    <n v="802"/>
    <n v="834"/>
    <n v="203"/>
    <n v="344"/>
    <n v="372"/>
    <n v="277"/>
    <n v="4931"/>
    <n v="207575.6"/>
    <n v="176877.8"/>
    <n v="160798"/>
    <n v="55913.85"/>
    <n v="92093.4"/>
    <n v="73820.899999999994"/>
    <n v="293090.89999999997"/>
    <n v="304785.3"/>
    <n v="74186.349999999991"/>
    <n v="125714.8"/>
    <n v="135947.4"/>
    <n v="101229.65"/>
    <n v="1802033.95"/>
  </r>
  <r>
    <n v="986"/>
    <s v="Product_986"/>
    <x v="6"/>
    <n v="250.27"/>
    <n v="1.3"/>
    <n v="864"/>
    <n v="923"/>
    <n v="83"/>
    <n v="852"/>
    <n v="387"/>
    <n v="525"/>
    <n v="410"/>
    <n v="752"/>
    <n v="750"/>
    <n v="52"/>
    <n v="159"/>
    <n v="596"/>
    <n v="476"/>
    <n v="5965"/>
    <n v="230999.21000000002"/>
    <n v="20772.41"/>
    <n v="213230.04"/>
    <n v="96854.49"/>
    <n v="131391.75"/>
    <n v="102610.7"/>
    <n v="188203.04"/>
    <n v="187702.5"/>
    <n v="13014.04"/>
    <n v="39792.93"/>
    <n v="149160.92000000001"/>
    <n v="119128.52"/>
    <n v="1492860.55"/>
  </r>
  <r>
    <n v="987"/>
    <s v="Product_987"/>
    <x v="2"/>
    <n v="345.76"/>
    <n v="3.9"/>
    <n v="840"/>
    <n v="845"/>
    <n v="898"/>
    <n v="188"/>
    <n v="208"/>
    <n v="751"/>
    <n v="992"/>
    <n v="20"/>
    <n v="626"/>
    <n v="973"/>
    <n v="549"/>
    <n v="650"/>
    <n v="416"/>
    <n v="7116"/>
    <n v="292167.2"/>
    <n v="310492.48"/>
    <n v="65002.879999999997"/>
    <n v="71918.080000000002"/>
    <n v="259665.75999999998"/>
    <n v="342993.91999999998"/>
    <n v="6915.2"/>
    <n v="216445.75999999998"/>
    <n v="336424.48"/>
    <n v="189822.24"/>
    <n v="224744"/>
    <n v="143836.16"/>
    <n v="2460428.16"/>
  </r>
  <r>
    <n v="988"/>
    <s v="Product_988"/>
    <x v="0"/>
    <n v="220.24"/>
    <n v="3"/>
    <n v="147"/>
    <n v="68"/>
    <n v="804"/>
    <n v="414"/>
    <n v="271"/>
    <n v="437"/>
    <n v="20"/>
    <n v="689"/>
    <n v="318"/>
    <n v="939"/>
    <n v="661"/>
    <n v="38"/>
    <n v="677"/>
    <n v="5336"/>
    <n v="14976.32"/>
    <n v="177072.96000000002"/>
    <n v="91179.36"/>
    <n v="59685.04"/>
    <n v="96244.88"/>
    <n v="4404.8"/>
    <n v="151745.36000000002"/>
    <n v="70036.320000000007"/>
    <n v="206805.36000000002"/>
    <n v="145578.64000000001"/>
    <n v="8369.1200000000008"/>
    <n v="149102.48000000001"/>
    <n v="1175200.6400000001"/>
  </r>
  <r>
    <n v="989"/>
    <s v="Product_989"/>
    <x v="4"/>
    <n v="126.97"/>
    <n v="2.7"/>
    <n v="575"/>
    <n v="117"/>
    <n v="637"/>
    <n v="338"/>
    <n v="142"/>
    <n v="753"/>
    <n v="550"/>
    <n v="938"/>
    <n v="368"/>
    <n v="374"/>
    <n v="911"/>
    <n v="104"/>
    <n v="127"/>
    <n v="5359"/>
    <n v="14855.49"/>
    <n v="80879.89"/>
    <n v="42915.86"/>
    <n v="18029.740000000002"/>
    <n v="95608.41"/>
    <n v="69833.5"/>
    <n v="119097.86"/>
    <n v="46724.959999999999"/>
    <n v="47486.78"/>
    <n v="115669.67"/>
    <n v="13204.88"/>
    <n v="16125.19"/>
    <n v="680432.23"/>
  </r>
  <r>
    <n v="990"/>
    <s v="Product_990"/>
    <x v="4"/>
    <n v="410.46"/>
    <n v="3.9"/>
    <n v="806"/>
    <n v="887"/>
    <n v="807"/>
    <n v="606"/>
    <n v="610"/>
    <n v="980"/>
    <n v="734"/>
    <n v="227"/>
    <n v="605"/>
    <n v="841"/>
    <n v="819"/>
    <n v="323"/>
    <n v="236"/>
    <n v="7675"/>
    <n v="364078.01999999996"/>
    <n v="331241.21999999997"/>
    <n v="248738.75999999998"/>
    <n v="250380.59999999998"/>
    <n v="402250.8"/>
    <n v="301277.64"/>
    <n v="93174.42"/>
    <n v="248328.3"/>
    <n v="345196.86"/>
    <n v="336166.74"/>
    <n v="132578.57999999999"/>
    <n v="96868.56"/>
    <n v="3150280.4999999995"/>
  </r>
  <r>
    <n v="991"/>
    <s v="Product_991"/>
    <x v="2"/>
    <n v="400.71"/>
    <n v="4.0999999999999996"/>
    <n v="323"/>
    <n v="58"/>
    <n v="583"/>
    <n v="180"/>
    <n v="888"/>
    <n v="853"/>
    <n v="101"/>
    <n v="784"/>
    <n v="994"/>
    <n v="53"/>
    <n v="540"/>
    <n v="792"/>
    <n v="802"/>
    <n v="6628"/>
    <n v="23241.18"/>
    <n v="233613.93"/>
    <n v="72127.8"/>
    <n v="355830.48"/>
    <n v="341805.63"/>
    <n v="40471.71"/>
    <n v="314156.63999999996"/>
    <n v="398305.74"/>
    <n v="21237.629999999997"/>
    <n v="216383.4"/>
    <n v="317362.32"/>
    <n v="321369.42"/>
    <n v="2655905.8799999994"/>
  </r>
  <r>
    <n v="992"/>
    <s v="Product_992"/>
    <x v="1"/>
    <n v="348.87"/>
    <n v="1.6"/>
    <n v="443"/>
    <n v="32"/>
    <n v="295"/>
    <n v="287"/>
    <n v="819"/>
    <n v="660"/>
    <n v="45"/>
    <n v="287"/>
    <n v="559"/>
    <n v="275"/>
    <n v="143"/>
    <n v="958"/>
    <n v="618"/>
    <n v="4978"/>
    <n v="11163.84"/>
    <n v="102916.65"/>
    <n v="100125.69"/>
    <n v="285724.53000000003"/>
    <n v="230254.2"/>
    <n v="15699.15"/>
    <n v="100125.69"/>
    <n v="195018.33000000002"/>
    <n v="95939.25"/>
    <n v="49888.41"/>
    <n v="334217.46000000002"/>
    <n v="215601.66"/>
    <n v="1736674.8599999999"/>
  </r>
  <r>
    <n v="993"/>
    <s v="Product_993"/>
    <x v="1"/>
    <n v="139.71"/>
    <n v="3.4"/>
    <n v="837"/>
    <n v="317"/>
    <n v="235"/>
    <n v="833"/>
    <n v="68"/>
    <n v="235"/>
    <n v="65"/>
    <n v="808"/>
    <n v="702"/>
    <n v="334"/>
    <n v="587"/>
    <n v="991"/>
    <n v="127"/>
    <n v="5302"/>
    <n v="44288.07"/>
    <n v="32831.85"/>
    <n v="116378.43000000001"/>
    <n v="9500.2800000000007"/>
    <n v="32831.85"/>
    <n v="9081.15"/>
    <n v="112885.68000000001"/>
    <n v="98076.420000000013"/>
    <n v="46663.14"/>
    <n v="82009.77"/>
    <n v="138452.61000000002"/>
    <n v="17743.170000000002"/>
    <n v="740742.42"/>
  </r>
  <r>
    <n v="994"/>
    <s v="Product_994"/>
    <x v="1"/>
    <n v="297.16000000000003"/>
    <n v="1.5"/>
    <n v="13"/>
    <n v="49"/>
    <n v="55"/>
    <n v="186"/>
    <n v="246"/>
    <n v="305"/>
    <n v="602"/>
    <n v="133"/>
    <n v="461"/>
    <n v="30"/>
    <n v="656"/>
    <n v="413"/>
    <n v="706"/>
    <n v="3842"/>
    <n v="14560.840000000002"/>
    <n v="16343.800000000001"/>
    <n v="55271.76"/>
    <n v="73101.36"/>
    <n v="90633.8"/>
    <n v="178890.32"/>
    <n v="39522.280000000006"/>
    <n v="136990.76"/>
    <n v="8914.8000000000011"/>
    <n v="194936.96000000002"/>
    <n v="122727.08000000002"/>
    <n v="209794.96000000002"/>
    <n v="1141688.7200000002"/>
  </r>
  <r>
    <n v="995"/>
    <s v="Product_995"/>
    <x v="6"/>
    <n v="183.68"/>
    <n v="4"/>
    <n v="943"/>
    <n v="879"/>
    <n v="918"/>
    <n v="883"/>
    <n v="260"/>
    <n v="477"/>
    <n v="163"/>
    <n v="983"/>
    <n v="11"/>
    <n v="134"/>
    <n v="740"/>
    <n v="428"/>
    <n v="850"/>
    <n v="6726"/>
    <n v="161454.72"/>
    <n v="168618.24000000002"/>
    <n v="162189.44"/>
    <n v="47756.800000000003"/>
    <n v="87615.360000000001"/>
    <n v="29939.84"/>
    <n v="180557.44"/>
    <n v="2020.48"/>
    <n v="24613.120000000003"/>
    <n v="135923.20000000001"/>
    <n v="78615.040000000008"/>
    <n v="156128"/>
    <n v="1235431.6800000002"/>
  </r>
  <r>
    <n v="996"/>
    <s v="Product_996"/>
    <x v="1"/>
    <n v="50.33"/>
    <n v="3.6"/>
    <n v="494"/>
    <n v="488"/>
    <n v="359"/>
    <n v="137"/>
    <n v="787"/>
    <n v="678"/>
    <n v="970"/>
    <n v="282"/>
    <n v="155"/>
    <n v="57"/>
    <n v="575"/>
    <n v="634"/>
    <n v="393"/>
    <n v="5515"/>
    <n v="24561.040000000001"/>
    <n v="18068.47"/>
    <n v="6895.21"/>
    <n v="39609.71"/>
    <n v="34123.74"/>
    <n v="48820.1"/>
    <n v="14193.06"/>
    <n v="7801.15"/>
    <n v="2868.81"/>
    <n v="28939.75"/>
    <n v="31909.219999999998"/>
    <n v="19779.689999999999"/>
    <n v="277569.94999999995"/>
  </r>
  <r>
    <n v="997"/>
    <s v="Product_997"/>
    <x v="1"/>
    <n v="459.07"/>
    <n v="4.8"/>
    <n v="701"/>
    <n v="18"/>
    <n v="906"/>
    <n v="129"/>
    <n v="78"/>
    <n v="19"/>
    <n v="110"/>
    <n v="403"/>
    <n v="683"/>
    <n v="104"/>
    <n v="858"/>
    <n v="729"/>
    <n v="474"/>
    <n v="4511"/>
    <n v="8263.26"/>
    <n v="415917.42"/>
    <n v="59220.03"/>
    <n v="35807.46"/>
    <n v="8722.33"/>
    <n v="50497.7"/>
    <n v="185005.21"/>
    <n v="313544.81"/>
    <n v="47743.28"/>
    <n v="393882.06"/>
    <n v="334662.02999999997"/>
    <n v="217599.18"/>
    <n v="2070864.77"/>
  </r>
  <r>
    <n v="998"/>
    <s v="Product_998"/>
    <x v="6"/>
    <n v="72.73"/>
    <n v="1.3"/>
    <n v="287"/>
    <n v="725"/>
    <n v="109"/>
    <n v="193"/>
    <n v="657"/>
    <n v="215"/>
    <n v="337"/>
    <n v="664"/>
    <n v="476"/>
    <n v="265"/>
    <n v="344"/>
    <n v="888"/>
    <n v="654"/>
    <n v="5527"/>
    <n v="52729.25"/>
    <n v="7927.5700000000006"/>
    <n v="14036.890000000001"/>
    <n v="47783.61"/>
    <n v="15636.95"/>
    <n v="24510.010000000002"/>
    <n v="48292.72"/>
    <n v="34619.480000000003"/>
    <n v="19273.45"/>
    <n v="25019.120000000003"/>
    <n v="64584.240000000005"/>
    <n v="47565.420000000006"/>
    <n v="401978.71"/>
  </r>
  <r>
    <n v="999"/>
    <s v="Product_999"/>
    <x v="6"/>
    <n v="475.37"/>
    <n v="1.2"/>
    <n v="720"/>
    <n v="196"/>
    <n v="191"/>
    <n v="315"/>
    <n v="622"/>
    <n v="854"/>
    <n v="122"/>
    <n v="65"/>
    <n v="938"/>
    <n v="521"/>
    <n v="268"/>
    <n v="60"/>
    <n v="394"/>
    <n v="4546"/>
    <n v="93172.52"/>
    <n v="90795.67"/>
    <n v="149741.54999999999"/>
    <n v="295680.14"/>
    <n v="405965.98"/>
    <n v="57995.14"/>
    <n v="30899.05"/>
    <n v="445897.06"/>
    <n v="247667.77"/>
    <n v="127399.16"/>
    <n v="28522.2"/>
    <n v="187295.78"/>
    <n v="2161032.02"/>
  </r>
  <r>
    <n v="1000"/>
    <s v="Product_1000"/>
    <x v="2"/>
    <n v="225.77"/>
    <n v="2.1"/>
    <n v="114"/>
    <n v="890"/>
    <n v="903"/>
    <n v="983"/>
    <n v="769"/>
    <n v="134"/>
    <n v="704"/>
    <n v="648"/>
    <n v="400"/>
    <n v="495"/>
    <n v="839"/>
    <n v="611"/>
    <n v="110"/>
    <n v="7486"/>
    <n v="200935.30000000002"/>
    <n v="203870.31"/>
    <n v="221931.91"/>
    <n v="173617.13"/>
    <n v="30253.18"/>
    <n v="158942.08000000002"/>
    <n v="146298.96000000002"/>
    <n v="90308"/>
    <n v="111756.15000000001"/>
    <n v="189421.03"/>
    <n v="137945.47"/>
    <n v="24834.7"/>
    <n v="1690114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3A0D2-5809-4A84-A82E-51FC1606CB8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ategory">
  <location ref="A1:G9" firstHeaderRow="0" firstDataRow="1" firstDataCol="1"/>
  <pivotFields count="32">
    <pivotField dataField="1" showAll="0"/>
    <pivotField showAll="0"/>
    <pivotField axis="axisRow" showAll="0">
      <items count="8">
        <item x="3"/>
        <item x="0"/>
        <item x="4"/>
        <item x="5"/>
        <item x="1"/>
        <item x="6"/>
        <item x="2"/>
        <item t="default"/>
      </items>
    </pivotField>
    <pivotField dataField="1" showAll="0"/>
    <pivotField dataField="1"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product_id" fld="0" subtotal="count" baseField="2" baseItem="2"/>
    <dataField name="Average of review_score" fld="4" subtotal="average" baseField="2" baseItem="0" numFmtId="167"/>
    <dataField name="Average of review_count" fld="5" subtotal="average" baseField="2" baseItem="0" numFmtId="1"/>
    <dataField name="Average of price" fld="3" subtotal="average" baseField="2" baseItem="0" numFmtId="165"/>
    <dataField name="Sum of total_sales" fld="18" baseField="0" baseItem="0" numFmtId="1"/>
    <dataField name="Sum of total_revenue" fld="31" baseField="0" baseItem="0" numFmtId="166"/>
  </dataFields>
  <formats count="20">
    <format dxfId="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4"/>
          </reference>
          <reference field="2" count="1">
            <x v="0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4"/>
          </reference>
          <reference field="2" count="1">
            <x v="0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5"/>
          </reference>
          <reference field="2" count="1">
            <x v="0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5"/>
          </reference>
          <reference field="2" count="1">
            <x v="0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3"/>
          </reference>
          <reference field="2" count="1">
            <x v="3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3"/>
          </reference>
          <reference field="2" count="1">
            <x v="3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2"/>
          </reference>
          <reference field="2" count="1">
            <x v="5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2"/>
          </reference>
          <reference field="2" count="1">
            <x v="5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1"/>
          </reference>
          <reference field="2" count="1">
            <x v="5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1"/>
          </reference>
          <reference field="2" count="1">
            <x v="5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</formats>
  <conditionalFormats count="4">
    <conditionalFormat priority="1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5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3"/>
          </reference>
          <reference field="2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3"/>
          </reference>
          <reference field="2" count="1" selected="0">
            <x v="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3"/>
          </reference>
          <reference field="2" count="1" selected="0">
            <x v="2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3"/>
          </reference>
          <reference field="2" count="1" selected="0">
            <x v="3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3"/>
          </reference>
          <reference field="2" count="1" selected="0">
            <x v="4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3"/>
          </reference>
          <reference field="2" count="1" selected="0">
            <x v="5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3"/>
          </reference>
          <reference field="2" count="1" selected="0">
            <x v="6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4"/>
          </reference>
          <reference field="2" count="1" selected="0">
            <x v="0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4"/>
          </reference>
          <reference field="2" count="1" selected="0">
            <x v="1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4"/>
          </reference>
          <reference field="2" count="1" selected="0">
            <x v="2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4"/>
          </reference>
          <reference field="2" count="1" selected="0">
            <x v="3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4"/>
          </reference>
          <reference field="2" count="1" selected="0">
            <x v="4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4"/>
          </reference>
          <reference field="2" count="1" selected="0">
            <x v="5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4"/>
          </reference>
          <reference field="2" count="1" selected="0">
            <x v="6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5"/>
          </reference>
          <reference field="2" count="1" selected="0">
            <x v="0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5"/>
          </reference>
          <reference field="2" count="1" selected="0">
            <x v="1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5"/>
          </reference>
          <reference field="2" count="1" selected="0">
            <x v="2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5"/>
          </reference>
          <reference field="2" count="1" selected="0">
            <x v="3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5"/>
          </reference>
          <reference field="2" count="1" selected="0">
            <x v="4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5"/>
          </reference>
          <reference field="2" count="1" selected="0">
            <x v="5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5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C9A40-B9FB-4700-BAA6-CC4C1C0495F7}" name="PivotTable2" cacheId="0" dataOnRows="1" applyNumberFormats="0" applyBorderFormats="0" applyFontFormats="0" applyPatternFormats="0" applyAlignmentFormats="0" applyWidthHeightFormats="1" dataCaption="Sum of Monthly Sales" updatedVersion="8" minRefreshableVersion="3" useAutoFormatting="1" itemPrintTitles="1" createdVersion="8" indent="0" outline="1" outlineData="1" multipleFieldFilters="0" chartFormat="24" colHeaderCaption="Category">
  <location ref="A1:I14" firstHeaderRow="1" firstDataRow="2" firstDataCol="1"/>
  <pivotFields count="32">
    <pivotField showAll="0"/>
    <pivotField showAll="0"/>
    <pivotField axis="axisCol" showAll="0">
      <items count="8">
        <item x="3"/>
        <item x="0"/>
        <item x="4"/>
        <item x="5"/>
        <item x="1"/>
        <item x="6"/>
        <item x="2"/>
        <item t="default"/>
      </items>
    </pivotField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2">
    <dataField name="Jan" fld="6" baseField="0" baseItem="0" numFmtId="164"/>
    <dataField name="Feb" fld="7" baseField="0" baseItem="0" numFmtId="164"/>
    <dataField name="Mar" fld="8" baseField="0" baseItem="0" numFmtId="164"/>
    <dataField name="Apr" fld="9" baseField="0" baseItem="0" numFmtId="164"/>
    <dataField name="May" fld="10" baseField="0" baseItem="0" numFmtId="164"/>
    <dataField name="Jun" fld="11" baseField="0" baseItem="0" numFmtId="164"/>
    <dataField name="Jul" fld="12" baseField="0" baseItem="0" numFmtId="164"/>
    <dataField name="Aug" fld="13" baseField="0" baseItem="0" numFmtId="164"/>
    <dataField name="Sep" fld="14" baseField="0" baseItem="0" numFmtId="164"/>
    <dataField name="Oct" fld="15" baseField="0" baseItem="0" numFmtId="164"/>
    <dataField name="Nov" fld="16" baseField="0" baseItem="0" numFmtId="164"/>
    <dataField name="Dec" fld="17" baseField="0" baseItem="0" numFmtId="164"/>
  </dataFields>
  <formats count="5">
    <format dxfId="2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7">
      <pivotArea field="2" grandCol="1" collapsedLevelsAreSubtotals="1" axis="axisCol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6">
      <pivotArea field="2" grandCol="1" collapsedLevelsAreSubtotals="1" axis="axisCol" fieldPosition="0">
        <references count="1">
          <reference field="4294967294" count="1">
            <x v="0"/>
          </reference>
        </references>
      </pivotArea>
    </format>
    <format dxfId="25">
      <pivotArea type="topRight" dataOnly="0" labelOnly="1" outline="0" offset="G1" fieldPosition="0"/>
    </format>
    <format dxfId="24">
      <pivotArea dataOnly="0" labelOnly="1" grandCol="1" outline="0" fieldPosition="0"/>
    </format>
  </formats>
  <conditionalFormats count="1">
    <conditionalFormat priority="1">
      <pivotAreas count="1">
        <pivotArea type="data" grandCol="1" collapsedLevelsAreSubtotals="1" fieldPosition="0">
          <references count="1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4"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35688-2D75-460E-8546-3798F7DAD1E6}" name="PivotTable3" cacheId="0" dataOnRows="1" applyNumberFormats="0" applyBorderFormats="0" applyFontFormats="0" applyPatternFormats="0" applyAlignmentFormats="0" applyWidthHeightFormats="1" dataCaption="Sum of Monthly Revenue" updatedVersion="8" minRefreshableVersion="3" useAutoFormatting="1" itemPrintTitles="1" createdVersion="8" indent="0" outline="1" outlineData="1" multipleFieldFilters="0" chartFormat="7" colHeaderCaption="Category">
  <location ref="A1:I14" firstHeaderRow="1" firstDataRow="2" firstDataCol="1"/>
  <pivotFields count="32">
    <pivotField showAll="0"/>
    <pivotField showAll="0"/>
    <pivotField axis="axisCol" showAll="0">
      <items count="8">
        <item x="3"/>
        <item x="0"/>
        <item x="4"/>
        <item x="5"/>
        <item x="1"/>
        <item x="6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numFmtId="166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2">
    <dataField name="Jan" fld="19" baseField="0" baseItem="0" numFmtId="166"/>
    <dataField name="Feb" fld="20" baseField="0" baseItem="0" numFmtId="166"/>
    <dataField name="Mar" fld="21" baseField="0" baseItem="0" numFmtId="166"/>
    <dataField name="Apr" fld="22" baseField="0" baseItem="0" numFmtId="166"/>
    <dataField name="May" fld="23" baseField="0" baseItem="0" numFmtId="166"/>
    <dataField name="Jun" fld="24" baseField="0" baseItem="0" numFmtId="166"/>
    <dataField name="Jul" fld="25" baseField="0" baseItem="0" numFmtId="166"/>
    <dataField name="Aug" fld="26" baseField="0" baseItem="0" numFmtId="166"/>
    <dataField name="Sep" fld="27" baseField="0" baseItem="0" numFmtId="166"/>
    <dataField name="Oct" fld="28" baseField="0" baseItem="0" numFmtId="166"/>
    <dataField name="Nov" fld="29" baseField="0" baseItem="0" numFmtId="166"/>
    <dataField name="Dec" fld="30" baseField="0" baseItem="0" numFmtId="166"/>
  </dataFields>
  <formats count="4">
    <format dxfId="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">
      <pivotArea field="2" grandCol="1" collapsedLevelsAreSubtotals="1" axis="axisCol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type="topRight" dataOnly="0" labelOnly="1" outline="0" offset="G1" fieldPosition="0"/>
    </format>
    <format dxfId="1">
      <pivotArea dataOnly="0" labelOnly="1" grandCol="1" outline="0" fieldPosition="0"/>
    </format>
  </formats>
  <conditionalFormats count="20">
    <conditionalFormat priority="1">
      <pivotAreas count="1">
        <pivotArea type="data" grandCol="1" collapsedLevelsAreSubtotals="1" fieldPosition="0">
          <references count="1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>
              <x v="11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>
              <x v="7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2">
            <reference field="4294967294" count="1">
              <x v="8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2">
            <reference field="4294967294" count="1">
              <x v="9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2">
            <reference field="4294967294" count="1">
              <x v="10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2">
            <reference field="4294967294" count="1">
              <x v="2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2">
            <reference field="4294967294" count="1">
              <x v="3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9">
      <pivotAreas count="1">
        <pivotArea type="data" collapsedLevelsAreSubtotals="1" fieldPosition="0">
          <references count="2">
            <reference field="4294967294" count="1">
              <x v="4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10">
      <pivotAreas count="1">
        <pivotArea type="data" collapsedLevelsAreSubtotals="1" fieldPosition="0">
          <references count="2">
            <reference field="4294967294" count="1">
              <x v="5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11">
      <pivotAreas count="1">
        <pivotArea type="data" collapsedLevelsAreSubtotals="1" fieldPosition="0">
          <references count="2">
            <reference field="4294967294" count="1">
              <x v="6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12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13">
      <pivotAreas count="1">
        <pivotArea type="data" collapsedLevelsAreSubtotals="1" fieldPosition="0">
          <references count="2">
            <reference field="4294967294" count="1">
              <x v="0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type="all" priority="14">
      <pivotAreas count="1">
        <pivotArea type="data" collapsedLevelsAreSubtotals="1" fieldPosition="0">
          <references count="2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6"/>
            </reference>
          </references>
        </pivotArea>
      </pivotAreas>
    </conditionalFormat>
    <conditionalFormat type="all" priority="15">
      <pivotAreas count="1">
        <pivotArea type="data" collapsedLevelsAreSubtotals="1" fieldPosition="0">
          <references count="2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1"/>
            </reference>
          </references>
        </pivotArea>
      </pivotAreas>
    </conditionalFormat>
    <conditionalFormat type="all" priority="16">
      <pivotAreas count="1">
        <pivotArea type="data" collapsedLevelsAreSubtotals="1" fieldPosition="0">
          <references count="2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0"/>
            </reference>
          </references>
        </pivotArea>
      </pivotAreas>
    </conditionalFormat>
    <conditionalFormat type="all" priority="17">
      <pivotAreas count="1">
        <pivotArea type="data" collapsedLevelsAreSubtotals="1" fieldPosition="0">
          <references count="2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2"/>
            </reference>
          </references>
        </pivotArea>
      </pivotAreas>
    </conditionalFormat>
    <conditionalFormat type="all" priority="18">
      <pivotAreas count="1">
        <pivotArea type="data" collapsedLevelsAreSubtotals="1" fieldPosition="0">
          <references count="2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3"/>
            </reference>
          </references>
        </pivotArea>
      </pivotAreas>
    </conditionalFormat>
    <conditionalFormat type="all" priority="20">
      <pivotAreas count="1">
        <pivotArea type="data" collapsedLevelsAreSubtotals="1" fieldPosition="0">
          <references count="2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5"/>
            </reference>
          </references>
        </pivotArea>
      </pivotAreas>
    </conditionalFormat>
    <conditionalFormat type="all" priority="19">
      <pivotAreas count="1">
        <pivotArea type="data" collapsedLevelsAreSubtotals="1" fieldPosition="0">
          <references count="2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4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21AFA4-8175-494E-93BC-572BDC7E5F1D}" name="ecommerce_sales_all_data" displayName="ecommerce_sales_all_data" ref="A1:AF1001" totalsRowShown="0">
  <autoFilter ref="A1:AF1001" xr:uid="{4021AFA4-8175-494E-93BC-572BDC7E5F1D}"/>
  <tableColumns count="32">
    <tableColumn id="1" xr3:uid="{7FF6BB8D-C33A-4F29-BE29-C601BFB964DF}" name="product_id"/>
    <tableColumn id="2" xr3:uid="{6747DC27-020F-48A6-B909-64B7174146E1}" name="product_name"/>
    <tableColumn id="3" xr3:uid="{2B1807F2-6FA7-4A8D-A8CD-C521CEB7F918}" name="category"/>
    <tableColumn id="4" xr3:uid="{EC8B53CD-55B7-4D34-92E6-7A40DCC3F0C1}" name="price" dataDxfId="55" dataCellStyle="Currency"/>
    <tableColumn id="5" xr3:uid="{DD8A78B3-82D2-48D4-8E0D-96C77EABC8B6}" name="review_score"/>
    <tableColumn id="6" xr3:uid="{88F939EC-A259-4C49-9CE4-3A8D9DF10752}" name="review_count"/>
    <tableColumn id="7" xr3:uid="{EE262E36-E745-47CC-A068-F07F646751BC}" name="sales_month_1" dataDxfId="54" dataCellStyle="Comma"/>
    <tableColumn id="8" xr3:uid="{1370D077-A565-4C0D-BBD3-D520A8B06954}" name="sales_month_2" dataDxfId="53" dataCellStyle="Comma"/>
    <tableColumn id="9" xr3:uid="{87EDFE73-01A4-4909-B757-EFF79847220C}" name="sales_month_3" dataDxfId="52" dataCellStyle="Comma"/>
    <tableColumn id="10" xr3:uid="{02A3B8A5-E9C9-456B-A326-009955EF5824}" name="sales_month_4" dataDxfId="51" dataCellStyle="Comma"/>
    <tableColumn id="11" xr3:uid="{53B7DC2D-AF2A-455F-ADE9-1520B5DECB65}" name="sales_month_5" dataDxfId="50" dataCellStyle="Comma"/>
    <tableColumn id="12" xr3:uid="{B13A3E9A-175D-40D1-8ACF-565A11387193}" name="sales_month_6" dataDxfId="49" dataCellStyle="Comma"/>
    <tableColumn id="13" xr3:uid="{C8D4CCDF-9907-4DFA-AA89-0758FBA830D5}" name="sales_month_7" dataDxfId="48" dataCellStyle="Comma"/>
    <tableColumn id="14" xr3:uid="{4DDED8A2-12A5-4B79-AF0F-2E4395C3AA66}" name="sales_month_8" dataDxfId="47" dataCellStyle="Comma"/>
    <tableColumn id="15" xr3:uid="{80F3FF45-C120-40F6-ADB2-951ABE70C895}" name="sales_month_9" dataDxfId="46" dataCellStyle="Comma"/>
    <tableColumn id="16" xr3:uid="{CD50312E-40C3-40EE-8BA1-B1D79AD42C3B}" name="sales_month_10" dataDxfId="45" dataCellStyle="Comma"/>
    <tableColumn id="17" xr3:uid="{A858FEFD-EA3D-4BF8-9ECD-E423F78F4698}" name="sales_month_11" dataDxfId="44" dataCellStyle="Comma"/>
    <tableColumn id="18" xr3:uid="{B707B20E-FAF9-4D6D-B1E0-9537768AC5BD}" name="sales_month_12" dataDxfId="43" dataCellStyle="Comma"/>
    <tableColumn id="19" xr3:uid="{C23F7D6A-EEB0-47EB-A8F1-4D76B7874F0D}" name="total_sales" dataDxfId="42" dataCellStyle="Comma">
      <calculatedColumnFormula>SUM(ecommerce_sales_all_data[[#This Row],[sales_month_1]:[sales_month_12]])</calculatedColumnFormula>
    </tableColumn>
    <tableColumn id="20" xr3:uid="{5F088948-C4C4-4EC8-BADF-937D30473DA9}" name="revenue_month_1" dataDxfId="41" dataCellStyle="Currency">
      <calculatedColumnFormula>G2*$D2</calculatedColumnFormula>
    </tableColumn>
    <tableColumn id="21" xr3:uid="{CA383CA5-EBF5-48F3-95F9-AC0B9A20D3D3}" name="revenue_month_2" dataDxfId="40" dataCellStyle="Currency">
      <calculatedColumnFormula>H2*$D2</calculatedColumnFormula>
    </tableColumn>
    <tableColumn id="22" xr3:uid="{E643AADD-BF85-4A99-ADE8-3FAA75EC38DA}" name="revenue_month_3" dataDxfId="39" dataCellStyle="Currency">
      <calculatedColumnFormula>I2*$D2</calculatedColumnFormula>
    </tableColumn>
    <tableColumn id="23" xr3:uid="{07347385-C88F-4D01-86C1-C7D36C579864}" name="revenue_month_4" dataDxfId="38" dataCellStyle="Currency">
      <calculatedColumnFormula>J2*$D2</calculatedColumnFormula>
    </tableColumn>
    <tableColumn id="24" xr3:uid="{CC6CA6E9-7E19-4627-82F0-54B3C107552A}" name="revenue_month_5" dataDxfId="37" dataCellStyle="Currency">
      <calculatedColumnFormula>K2*$D2</calculatedColumnFormula>
    </tableColumn>
    <tableColumn id="25" xr3:uid="{31A8E44E-9279-4B19-8EC3-D9EA34765950}" name="revenue_month_6" dataDxfId="36" dataCellStyle="Currency">
      <calculatedColumnFormula>L2*$D2</calculatedColumnFormula>
    </tableColumn>
    <tableColumn id="26" xr3:uid="{79EDF32F-BE1A-4302-9011-C9B6D235E4E5}" name="revenue_month_7" dataDxfId="35" dataCellStyle="Currency">
      <calculatedColumnFormula>M2*$D2</calculatedColumnFormula>
    </tableColumn>
    <tableColumn id="27" xr3:uid="{55D4F598-01C2-424E-94E1-2DEDD07A6140}" name="revenue_month_8" dataDxfId="34" dataCellStyle="Currency">
      <calculatedColumnFormula>N2*$D2</calculatedColumnFormula>
    </tableColumn>
    <tableColumn id="28" xr3:uid="{7B0D4CB1-6F51-42AE-80C2-9F791C90FD1A}" name="revenue_month_9" dataDxfId="33" dataCellStyle="Currency">
      <calculatedColumnFormula>O2*$D2</calculatedColumnFormula>
    </tableColumn>
    <tableColumn id="29" xr3:uid="{8D27584B-544F-4C46-B7E7-99BAAC23DC42}" name="revenue_month_10" dataDxfId="32" dataCellStyle="Currency">
      <calculatedColumnFormula>P2*$D2</calculatedColumnFormula>
    </tableColumn>
    <tableColumn id="30" xr3:uid="{A8B55E3E-7684-4AC1-A3A9-5E70C70F5309}" name="revenue_month_11" dataDxfId="31" dataCellStyle="Currency">
      <calculatedColumnFormula>Q2*$D2</calculatedColumnFormula>
    </tableColumn>
    <tableColumn id="31" xr3:uid="{5D651AD5-9C51-4A52-9C32-ABE988B9EE37}" name="revenue_month_12" dataDxfId="30" dataCellStyle="Currency">
      <calculatedColumnFormula>R2*$D2</calculatedColumnFormula>
    </tableColumn>
    <tableColumn id="32" xr3:uid="{BD737C61-2584-43B1-B21D-E95CC2AE2299}" name="total_revenue" dataDxfId="29" dataCellStyle="Currency">
      <calculatedColumnFormula>SUM(ecommerce_sales_all_data[[#This Row],[revenue_month_1]:[revenue_month_12]])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5F33-F3FA-46DA-A58C-9B9CCE9D1C41}">
  <dimension ref="A1:AF1005"/>
  <sheetViews>
    <sheetView topLeftCell="A222" zoomScale="94" workbookViewId="0">
      <pane xSplit="3" topLeftCell="G1" activePane="topRight" state="frozen"/>
      <selection pane="topRight" activeCell="B1" sqref="B1:B1048576"/>
    </sheetView>
  </sheetViews>
  <sheetFormatPr defaultRowHeight="14.5" x14ac:dyDescent="0.3"/>
  <cols>
    <col min="1" max="1" width="13.19921875" bestFit="1" customWidth="1"/>
    <col min="2" max="2" width="16.296875" hidden="1" customWidth="1"/>
    <col min="3" max="3" width="15.296875" bestFit="1" customWidth="1"/>
    <col min="4" max="4" width="11.796875" bestFit="1" customWidth="1"/>
    <col min="5" max="5" width="15.59765625" bestFit="1" customWidth="1"/>
    <col min="6" max="6" width="15.796875" bestFit="1" customWidth="1"/>
    <col min="7" max="15" width="17" style="1" bestFit="1" customWidth="1"/>
    <col min="16" max="18" width="18.09765625" style="1" bestFit="1" customWidth="1"/>
    <col min="19" max="19" width="14.19921875" style="1" bestFit="1" customWidth="1"/>
    <col min="20" max="28" width="19.69921875" bestFit="1" customWidth="1"/>
    <col min="29" max="31" width="20.796875" bestFit="1" customWidth="1"/>
    <col min="32" max="32" width="16.8984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s="28" t="s">
        <v>4</v>
      </c>
      <c r="F1" s="2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0" t="s">
        <v>1038</v>
      </c>
      <c r="T1" t="s">
        <v>1025</v>
      </c>
      <c r="U1" t="s">
        <v>1026</v>
      </c>
      <c r="V1" t="s">
        <v>1027</v>
      </c>
      <c r="W1" t="s">
        <v>1028</v>
      </c>
      <c r="X1" t="s">
        <v>1029</v>
      </c>
      <c r="Y1" t="s">
        <v>1030</v>
      </c>
      <c r="Z1" t="s">
        <v>1031</v>
      </c>
      <c r="AA1" t="s">
        <v>1032</v>
      </c>
      <c r="AB1" t="s">
        <v>1033</v>
      </c>
      <c r="AC1" t="s">
        <v>1034</v>
      </c>
      <c r="AD1" t="s">
        <v>1035</v>
      </c>
      <c r="AE1" t="s">
        <v>1036</v>
      </c>
      <c r="AF1" s="28" t="s">
        <v>1037</v>
      </c>
    </row>
    <row r="2" spans="1:32" x14ac:dyDescent="0.3">
      <c r="A2">
        <v>1</v>
      </c>
      <c r="B2" t="s">
        <v>18</v>
      </c>
      <c r="C2" t="s">
        <v>19</v>
      </c>
      <c r="D2" s="2">
        <v>190.4</v>
      </c>
      <c r="E2">
        <v>1.7</v>
      </c>
      <c r="F2">
        <v>220</v>
      </c>
      <c r="G2" s="1">
        <v>479</v>
      </c>
      <c r="H2" s="1">
        <v>449</v>
      </c>
      <c r="I2" s="1">
        <v>92</v>
      </c>
      <c r="J2" s="1">
        <v>784</v>
      </c>
      <c r="K2" s="1">
        <v>604</v>
      </c>
      <c r="L2" s="1">
        <v>904</v>
      </c>
      <c r="M2" s="1">
        <v>446</v>
      </c>
      <c r="N2" s="1">
        <v>603</v>
      </c>
      <c r="O2" s="1">
        <v>807</v>
      </c>
      <c r="P2" s="1">
        <v>252</v>
      </c>
      <c r="Q2" s="1">
        <v>695</v>
      </c>
      <c r="R2" s="1">
        <v>306</v>
      </c>
      <c r="S2" s="1">
        <f>SUM(ecommerce_sales_all_data[[#This Row],[sales_month_1]:[sales_month_12]])</f>
        <v>6421</v>
      </c>
      <c r="T2" s="3">
        <f t="shared" ref="T2:T65" si="0">G2*$D2</f>
        <v>91201.600000000006</v>
      </c>
      <c r="U2" s="3">
        <f t="shared" ref="U2:U65" si="1">H2*$D2</f>
        <v>85489.600000000006</v>
      </c>
      <c r="V2" s="3">
        <f t="shared" ref="V2" si="2">I2*$D2</f>
        <v>17516.8</v>
      </c>
      <c r="W2" s="3">
        <f t="shared" ref="W2" si="3">J2*$D2</f>
        <v>149273.60000000001</v>
      </c>
      <c r="X2" s="3">
        <f t="shared" ref="X2" si="4">K2*$D2</f>
        <v>115001.60000000001</v>
      </c>
      <c r="Y2" s="3">
        <f t="shared" ref="Y2" si="5">L2*$D2</f>
        <v>172121.60000000001</v>
      </c>
      <c r="Z2" s="3">
        <f t="shared" ref="Z2" si="6">M2*$D2</f>
        <v>84918.400000000009</v>
      </c>
      <c r="AA2" s="3">
        <f t="shared" ref="AA2" si="7">N2*$D2</f>
        <v>114811.2</v>
      </c>
      <c r="AB2" s="3">
        <f t="shared" ref="AB2" si="8">O2*$D2</f>
        <v>153652.80000000002</v>
      </c>
      <c r="AC2" s="3">
        <f t="shared" ref="AC2" si="9">P2*$D2</f>
        <v>47980.800000000003</v>
      </c>
      <c r="AD2" s="3">
        <f t="shared" ref="AD2" si="10">Q2*$D2</f>
        <v>132328</v>
      </c>
      <c r="AE2" s="3">
        <f t="shared" ref="AE2" si="11">R2*$D2</f>
        <v>58262.400000000001</v>
      </c>
      <c r="AF2" s="3">
        <f>SUM(ecommerce_sales_all_data[[#This Row],[revenue_month_1]:[revenue_month_12]])</f>
        <v>1222558.3999999999</v>
      </c>
    </row>
    <row r="3" spans="1:32" x14ac:dyDescent="0.3">
      <c r="A3">
        <v>2</v>
      </c>
      <c r="B3" t="s">
        <v>20</v>
      </c>
      <c r="C3" t="s">
        <v>21</v>
      </c>
      <c r="D3" s="2">
        <v>475.6</v>
      </c>
      <c r="E3">
        <v>3.2</v>
      </c>
      <c r="F3">
        <v>903</v>
      </c>
      <c r="G3" s="1">
        <v>21</v>
      </c>
      <c r="H3" s="1">
        <v>989</v>
      </c>
      <c r="I3" s="1">
        <v>861</v>
      </c>
      <c r="J3" s="1">
        <v>863</v>
      </c>
      <c r="K3" s="1">
        <v>524</v>
      </c>
      <c r="L3" s="1">
        <v>128</v>
      </c>
      <c r="M3" s="1">
        <v>610</v>
      </c>
      <c r="N3" s="1">
        <v>436</v>
      </c>
      <c r="O3" s="1">
        <v>176</v>
      </c>
      <c r="P3" s="1">
        <v>294</v>
      </c>
      <c r="Q3" s="1">
        <v>772</v>
      </c>
      <c r="R3" s="1">
        <v>353</v>
      </c>
      <c r="S3" s="1">
        <f>SUM(ecommerce_sales_all_data[[#This Row],[sales_month_1]:[sales_month_12]])</f>
        <v>6027</v>
      </c>
      <c r="T3" s="3">
        <f t="shared" si="0"/>
        <v>9987.6</v>
      </c>
      <c r="U3" s="3">
        <f t="shared" si="1"/>
        <v>470368.4</v>
      </c>
      <c r="V3" s="3">
        <f t="shared" ref="V3:V66" si="12">I3*$D3</f>
        <v>409491.60000000003</v>
      </c>
      <c r="W3" s="3">
        <f t="shared" ref="W3:W66" si="13">J3*$D3</f>
        <v>410442.80000000005</v>
      </c>
      <c r="X3" s="3">
        <f t="shared" ref="X3:X66" si="14">K3*$D3</f>
        <v>249214.40000000002</v>
      </c>
      <c r="Y3" s="3">
        <f t="shared" ref="Y3:Y66" si="15">L3*$D3</f>
        <v>60876.800000000003</v>
      </c>
      <c r="Z3" s="3">
        <f t="shared" ref="Z3:Z66" si="16">M3*$D3</f>
        <v>290116</v>
      </c>
      <c r="AA3" s="3">
        <f t="shared" ref="AA3:AA66" si="17">N3*$D3</f>
        <v>207361.6</v>
      </c>
      <c r="AB3" s="3">
        <f t="shared" ref="AB3:AB66" si="18">O3*$D3</f>
        <v>83705.600000000006</v>
      </c>
      <c r="AC3" s="3">
        <f t="shared" ref="AC3:AC66" si="19">P3*$D3</f>
        <v>139826.4</v>
      </c>
      <c r="AD3" s="3">
        <f t="shared" ref="AD3:AD66" si="20">Q3*$D3</f>
        <v>367163.2</v>
      </c>
      <c r="AE3" s="3">
        <f t="shared" ref="AE3:AE66" si="21">R3*$D3</f>
        <v>167886.80000000002</v>
      </c>
      <c r="AF3" s="3">
        <f>SUM(ecommerce_sales_all_data[[#This Row],[revenue_month_1]:[revenue_month_12]])</f>
        <v>2866441.2</v>
      </c>
    </row>
    <row r="4" spans="1:32" x14ac:dyDescent="0.3">
      <c r="A4">
        <v>3</v>
      </c>
      <c r="B4" t="s">
        <v>22</v>
      </c>
      <c r="C4" t="s">
        <v>23</v>
      </c>
      <c r="D4" s="2">
        <v>367.34</v>
      </c>
      <c r="E4">
        <v>4.5</v>
      </c>
      <c r="F4">
        <v>163</v>
      </c>
      <c r="G4" s="1">
        <v>348</v>
      </c>
      <c r="H4" s="1">
        <v>558</v>
      </c>
      <c r="I4" s="1">
        <v>567</v>
      </c>
      <c r="J4" s="1">
        <v>143</v>
      </c>
      <c r="K4" s="1">
        <v>771</v>
      </c>
      <c r="L4" s="1">
        <v>409</v>
      </c>
      <c r="M4" s="1">
        <v>290</v>
      </c>
      <c r="N4" s="1">
        <v>828</v>
      </c>
      <c r="O4" s="1">
        <v>340</v>
      </c>
      <c r="P4" s="1">
        <v>667</v>
      </c>
      <c r="Q4" s="1">
        <v>267</v>
      </c>
      <c r="R4" s="1">
        <v>392</v>
      </c>
      <c r="S4" s="1">
        <f>SUM(ecommerce_sales_all_data[[#This Row],[sales_month_1]:[sales_month_12]])</f>
        <v>5580</v>
      </c>
      <c r="T4" s="3">
        <f t="shared" si="0"/>
        <v>127834.31999999999</v>
      </c>
      <c r="U4" s="3">
        <f t="shared" si="1"/>
        <v>204975.71999999997</v>
      </c>
      <c r="V4" s="3">
        <f t="shared" si="12"/>
        <v>208281.78</v>
      </c>
      <c r="W4" s="3">
        <f t="shared" si="13"/>
        <v>52529.619999999995</v>
      </c>
      <c r="X4" s="3">
        <f t="shared" si="14"/>
        <v>283219.13999999996</v>
      </c>
      <c r="Y4" s="3">
        <f t="shared" si="15"/>
        <v>150242.06</v>
      </c>
      <c r="Z4" s="3">
        <f t="shared" si="16"/>
        <v>106528.59999999999</v>
      </c>
      <c r="AA4" s="3">
        <f t="shared" si="17"/>
        <v>304157.51999999996</v>
      </c>
      <c r="AB4" s="3">
        <f t="shared" si="18"/>
        <v>124895.59999999999</v>
      </c>
      <c r="AC4" s="3">
        <f t="shared" si="19"/>
        <v>245015.77999999997</v>
      </c>
      <c r="AD4" s="3">
        <f t="shared" si="20"/>
        <v>98079.78</v>
      </c>
      <c r="AE4" s="3">
        <f t="shared" si="21"/>
        <v>143997.28</v>
      </c>
      <c r="AF4" s="3">
        <f>SUM(ecommerce_sales_all_data[[#This Row],[revenue_month_1]:[revenue_month_12]])</f>
        <v>2049757.2000000002</v>
      </c>
    </row>
    <row r="5" spans="1:32" x14ac:dyDescent="0.3">
      <c r="A5">
        <v>4</v>
      </c>
      <c r="B5" t="s">
        <v>24</v>
      </c>
      <c r="C5" t="s">
        <v>23</v>
      </c>
      <c r="D5" s="2">
        <v>301.33999999999997</v>
      </c>
      <c r="E5">
        <v>3.9</v>
      </c>
      <c r="F5">
        <v>951</v>
      </c>
      <c r="G5" s="1">
        <v>725</v>
      </c>
      <c r="H5" s="1">
        <v>678</v>
      </c>
      <c r="I5" s="1">
        <v>59</v>
      </c>
      <c r="J5" s="1">
        <v>15</v>
      </c>
      <c r="K5" s="1">
        <v>937</v>
      </c>
      <c r="L5" s="1">
        <v>421</v>
      </c>
      <c r="M5" s="1">
        <v>670</v>
      </c>
      <c r="N5" s="1">
        <v>933</v>
      </c>
      <c r="O5" s="1">
        <v>56</v>
      </c>
      <c r="P5" s="1">
        <v>157</v>
      </c>
      <c r="Q5" s="1">
        <v>168</v>
      </c>
      <c r="R5" s="1">
        <v>203</v>
      </c>
      <c r="S5" s="1">
        <f>SUM(ecommerce_sales_all_data[[#This Row],[sales_month_1]:[sales_month_12]])</f>
        <v>5022</v>
      </c>
      <c r="T5" s="3">
        <f t="shared" si="0"/>
        <v>218471.49999999997</v>
      </c>
      <c r="U5" s="3">
        <f t="shared" si="1"/>
        <v>204308.52</v>
      </c>
      <c r="V5" s="3">
        <f t="shared" si="12"/>
        <v>17779.059999999998</v>
      </c>
      <c r="W5" s="3">
        <f t="shared" si="13"/>
        <v>4520.0999999999995</v>
      </c>
      <c r="X5" s="3">
        <f t="shared" si="14"/>
        <v>282355.57999999996</v>
      </c>
      <c r="Y5" s="3">
        <f t="shared" si="15"/>
        <v>126864.13999999998</v>
      </c>
      <c r="Z5" s="3">
        <f t="shared" si="16"/>
        <v>201897.8</v>
      </c>
      <c r="AA5" s="3">
        <f t="shared" si="17"/>
        <v>281150.21999999997</v>
      </c>
      <c r="AB5" s="3">
        <f t="shared" si="18"/>
        <v>16875.039999999997</v>
      </c>
      <c r="AC5" s="3">
        <f t="shared" si="19"/>
        <v>47310.38</v>
      </c>
      <c r="AD5" s="3">
        <f t="shared" si="20"/>
        <v>50625.119999999995</v>
      </c>
      <c r="AE5" s="3">
        <f t="shared" si="21"/>
        <v>61172.02</v>
      </c>
      <c r="AF5" s="3">
        <f>SUM(ecommerce_sales_all_data[[#This Row],[revenue_month_1]:[revenue_month_12]])</f>
        <v>1513329.48</v>
      </c>
    </row>
    <row r="6" spans="1:32" x14ac:dyDescent="0.3">
      <c r="A6">
        <v>5</v>
      </c>
      <c r="B6" t="s">
        <v>25</v>
      </c>
      <c r="C6" t="s">
        <v>26</v>
      </c>
      <c r="D6" s="2">
        <v>82.23</v>
      </c>
      <c r="E6">
        <v>4.2</v>
      </c>
      <c r="F6">
        <v>220</v>
      </c>
      <c r="G6" s="1">
        <v>682</v>
      </c>
      <c r="H6" s="1">
        <v>451</v>
      </c>
      <c r="I6" s="1">
        <v>649</v>
      </c>
      <c r="J6" s="1">
        <v>301</v>
      </c>
      <c r="K6" s="1">
        <v>620</v>
      </c>
      <c r="L6" s="1">
        <v>293</v>
      </c>
      <c r="M6" s="1">
        <v>411</v>
      </c>
      <c r="N6" s="1">
        <v>258</v>
      </c>
      <c r="O6" s="1">
        <v>854</v>
      </c>
      <c r="P6" s="1">
        <v>548</v>
      </c>
      <c r="Q6" s="1">
        <v>770</v>
      </c>
      <c r="R6" s="1">
        <v>257</v>
      </c>
      <c r="S6" s="1">
        <f>SUM(ecommerce_sales_all_data[[#This Row],[sales_month_1]:[sales_month_12]])</f>
        <v>6094</v>
      </c>
      <c r="T6" s="3">
        <f t="shared" si="0"/>
        <v>56080.86</v>
      </c>
      <c r="U6" s="3">
        <f t="shared" si="1"/>
        <v>37085.730000000003</v>
      </c>
      <c r="V6" s="3">
        <f t="shared" si="12"/>
        <v>53367.270000000004</v>
      </c>
      <c r="W6" s="3">
        <f t="shared" si="13"/>
        <v>24751.23</v>
      </c>
      <c r="X6" s="3">
        <f t="shared" si="14"/>
        <v>50982.600000000006</v>
      </c>
      <c r="Y6" s="3">
        <f t="shared" si="15"/>
        <v>24093.39</v>
      </c>
      <c r="Z6" s="3">
        <f t="shared" si="16"/>
        <v>33796.53</v>
      </c>
      <c r="AA6" s="3">
        <f t="shared" si="17"/>
        <v>21215.34</v>
      </c>
      <c r="AB6" s="3">
        <f t="shared" si="18"/>
        <v>70224.42</v>
      </c>
      <c r="AC6" s="3">
        <f t="shared" si="19"/>
        <v>45062.04</v>
      </c>
      <c r="AD6" s="3">
        <f t="shared" si="20"/>
        <v>63317.100000000006</v>
      </c>
      <c r="AE6" s="3">
        <f t="shared" si="21"/>
        <v>21133.11</v>
      </c>
      <c r="AF6" s="3">
        <f>SUM(ecommerce_sales_all_data[[#This Row],[revenue_month_1]:[revenue_month_12]])</f>
        <v>501109.62</v>
      </c>
    </row>
    <row r="7" spans="1:32" x14ac:dyDescent="0.3">
      <c r="A7">
        <v>6</v>
      </c>
      <c r="B7" t="s">
        <v>27</v>
      </c>
      <c r="C7" t="s">
        <v>23</v>
      </c>
      <c r="D7" s="2">
        <v>82.22</v>
      </c>
      <c r="E7">
        <v>3.6</v>
      </c>
      <c r="F7">
        <v>270</v>
      </c>
      <c r="G7" s="1">
        <v>834</v>
      </c>
      <c r="H7" s="1">
        <v>288</v>
      </c>
      <c r="I7" s="1">
        <v>38</v>
      </c>
      <c r="J7" s="1">
        <v>422</v>
      </c>
      <c r="K7" s="1">
        <v>329</v>
      </c>
      <c r="L7" s="1">
        <v>245</v>
      </c>
      <c r="M7" s="1">
        <v>614</v>
      </c>
      <c r="N7" s="1">
        <v>979</v>
      </c>
      <c r="O7" s="1">
        <v>851</v>
      </c>
      <c r="P7" s="1">
        <v>630</v>
      </c>
      <c r="Q7" s="1">
        <v>738</v>
      </c>
      <c r="R7" s="1">
        <v>485</v>
      </c>
      <c r="S7" s="1">
        <f>SUM(ecommerce_sales_all_data[[#This Row],[sales_month_1]:[sales_month_12]])</f>
        <v>6453</v>
      </c>
      <c r="T7" s="3">
        <f t="shared" si="0"/>
        <v>68571.48</v>
      </c>
      <c r="U7" s="3">
        <f t="shared" si="1"/>
        <v>23679.360000000001</v>
      </c>
      <c r="V7" s="3">
        <f t="shared" si="12"/>
        <v>3124.36</v>
      </c>
      <c r="W7" s="3">
        <f t="shared" si="13"/>
        <v>34696.839999999997</v>
      </c>
      <c r="X7" s="3">
        <f t="shared" si="14"/>
        <v>27050.38</v>
      </c>
      <c r="Y7" s="3">
        <f t="shared" si="15"/>
        <v>20143.900000000001</v>
      </c>
      <c r="Z7" s="3">
        <f t="shared" si="16"/>
        <v>50483.08</v>
      </c>
      <c r="AA7" s="3">
        <f t="shared" si="17"/>
        <v>80493.38</v>
      </c>
      <c r="AB7" s="3">
        <f t="shared" si="18"/>
        <v>69969.22</v>
      </c>
      <c r="AC7" s="3">
        <f t="shared" si="19"/>
        <v>51798.6</v>
      </c>
      <c r="AD7" s="3">
        <f t="shared" si="20"/>
        <v>60678.36</v>
      </c>
      <c r="AE7" s="3">
        <f t="shared" si="21"/>
        <v>39876.699999999997</v>
      </c>
      <c r="AF7" s="3">
        <f>SUM(ecommerce_sales_all_data[[#This Row],[revenue_month_1]:[revenue_month_12]])</f>
        <v>530565.65999999992</v>
      </c>
    </row>
    <row r="8" spans="1:32" x14ac:dyDescent="0.3">
      <c r="A8">
        <v>7</v>
      </c>
      <c r="B8" t="s">
        <v>28</v>
      </c>
      <c r="C8" t="s">
        <v>29</v>
      </c>
      <c r="D8" s="2">
        <v>33.75</v>
      </c>
      <c r="E8">
        <v>3.8</v>
      </c>
      <c r="F8">
        <v>632</v>
      </c>
      <c r="G8" s="1">
        <v>565</v>
      </c>
      <c r="H8" s="1">
        <v>140</v>
      </c>
      <c r="I8" s="1">
        <v>539</v>
      </c>
      <c r="J8" s="1">
        <v>244</v>
      </c>
      <c r="K8" s="1">
        <v>188</v>
      </c>
      <c r="L8" s="1">
        <v>700</v>
      </c>
      <c r="M8" s="1">
        <v>896</v>
      </c>
      <c r="N8" s="1">
        <v>965</v>
      </c>
      <c r="O8" s="1">
        <v>447</v>
      </c>
      <c r="P8" s="1">
        <v>66</v>
      </c>
      <c r="Q8" s="1">
        <v>32</v>
      </c>
      <c r="R8" s="1">
        <v>516</v>
      </c>
      <c r="S8" s="1">
        <f>SUM(ecommerce_sales_all_data[[#This Row],[sales_month_1]:[sales_month_12]])</f>
        <v>5298</v>
      </c>
      <c r="T8" s="3">
        <f t="shared" si="0"/>
        <v>19068.75</v>
      </c>
      <c r="U8" s="3">
        <f t="shared" si="1"/>
        <v>4725</v>
      </c>
      <c r="V8" s="3">
        <f t="shared" si="12"/>
        <v>18191.25</v>
      </c>
      <c r="W8" s="3">
        <f t="shared" si="13"/>
        <v>8235</v>
      </c>
      <c r="X8" s="3">
        <f t="shared" si="14"/>
        <v>6345</v>
      </c>
      <c r="Y8" s="3">
        <f t="shared" si="15"/>
        <v>23625</v>
      </c>
      <c r="Z8" s="3">
        <f t="shared" si="16"/>
        <v>30240</v>
      </c>
      <c r="AA8" s="3">
        <f t="shared" si="17"/>
        <v>32568.75</v>
      </c>
      <c r="AB8" s="3">
        <f t="shared" si="18"/>
        <v>15086.25</v>
      </c>
      <c r="AC8" s="3">
        <f t="shared" si="19"/>
        <v>2227.5</v>
      </c>
      <c r="AD8" s="3">
        <f t="shared" si="20"/>
        <v>1080</v>
      </c>
      <c r="AE8" s="3">
        <f t="shared" si="21"/>
        <v>17415</v>
      </c>
      <c r="AF8" s="3">
        <f>SUM(ecommerce_sales_all_data[[#This Row],[revenue_month_1]:[revenue_month_12]])</f>
        <v>178807.5</v>
      </c>
    </row>
    <row r="9" spans="1:32" x14ac:dyDescent="0.3">
      <c r="A9">
        <v>8</v>
      </c>
      <c r="B9" t="s">
        <v>30</v>
      </c>
      <c r="C9" t="s">
        <v>29</v>
      </c>
      <c r="D9" s="2">
        <v>433.76</v>
      </c>
      <c r="E9">
        <v>4.4000000000000004</v>
      </c>
      <c r="F9">
        <v>906</v>
      </c>
      <c r="G9" s="1">
        <v>905</v>
      </c>
      <c r="H9" s="1">
        <v>83</v>
      </c>
      <c r="I9" s="1">
        <v>48</v>
      </c>
      <c r="J9" s="1">
        <v>926</v>
      </c>
      <c r="K9" s="1">
        <v>94</v>
      </c>
      <c r="L9" s="1">
        <v>555</v>
      </c>
      <c r="M9" s="1">
        <v>280</v>
      </c>
      <c r="N9" s="1">
        <v>102</v>
      </c>
      <c r="O9" s="1">
        <v>202</v>
      </c>
      <c r="P9" s="1">
        <v>753</v>
      </c>
      <c r="Q9" s="1">
        <v>376</v>
      </c>
      <c r="R9" s="1">
        <v>445</v>
      </c>
      <c r="S9" s="1">
        <f>SUM(ecommerce_sales_all_data[[#This Row],[sales_month_1]:[sales_month_12]])</f>
        <v>4769</v>
      </c>
      <c r="T9" s="3">
        <f t="shared" si="0"/>
        <v>392552.8</v>
      </c>
      <c r="U9" s="3">
        <f t="shared" si="1"/>
        <v>36002.080000000002</v>
      </c>
      <c r="V9" s="3">
        <f t="shared" si="12"/>
        <v>20820.48</v>
      </c>
      <c r="W9" s="3">
        <f t="shared" si="13"/>
        <v>401661.76</v>
      </c>
      <c r="X9" s="3">
        <f t="shared" si="14"/>
        <v>40773.440000000002</v>
      </c>
      <c r="Y9" s="3">
        <f t="shared" si="15"/>
        <v>240736.8</v>
      </c>
      <c r="Z9" s="3">
        <f t="shared" si="16"/>
        <v>121452.8</v>
      </c>
      <c r="AA9" s="3">
        <f t="shared" si="17"/>
        <v>44243.519999999997</v>
      </c>
      <c r="AB9" s="3">
        <f t="shared" si="18"/>
        <v>87619.520000000004</v>
      </c>
      <c r="AC9" s="3">
        <f t="shared" si="19"/>
        <v>326621.27999999997</v>
      </c>
      <c r="AD9" s="3">
        <f t="shared" si="20"/>
        <v>163093.76000000001</v>
      </c>
      <c r="AE9" s="3">
        <f t="shared" si="21"/>
        <v>193023.19999999998</v>
      </c>
      <c r="AF9" s="3">
        <f>SUM(ecommerce_sales_all_data[[#This Row],[revenue_month_1]:[revenue_month_12]])</f>
        <v>2068601.4400000002</v>
      </c>
    </row>
    <row r="10" spans="1:32" x14ac:dyDescent="0.3">
      <c r="A10">
        <v>9</v>
      </c>
      <c r="B10" t="s">
        <v>31</v>
      </c>
      <c r="C10" t="s">
        <v>29</v>
      </c>
      <c r="D10" s="2">
        <v>302.55</v>
      </c>
      <c r="E10">
        <v>2</v>
      </c>
      <c r="F10">
        <v>848</v>
      </c>
      <c r="G10" s="1">
        <v>809</v>
      </c>
      <c r="H10" s="1">
        <v>693</v>
      </c>
      <c r="I10" s="1">
        <v>419</v>
      </c>
      <c r="J10" s="1">
        <v>106</v>
      </c>
      <c r="K10" s="1">
        <v>616</v>
      </c>
      <c r="L10" s="1">
        <v>85</v>
      </c>
      <c r="M10" s="1">
        <v>42</v>
      </c>
      <c r="N10" s="1">
        <v>992</v>
      </c>
      <c r="O10" s="1">
        <v>696</v>
      </c>
      <c r="P10" s="1">
        <v>298</v>
      </c>
      <c r="Q10" s="1">
        <v>213</v>
      </c>
      <c r="R10" s="1">
        <v>708</v>
      </c>
      <c r="S10" s="1">
        <f>SUM(ecommerce_sales_all_data[[#This Row],[sales_month_1]:[sales_month_12]])</f>
        <v>5677</v>
      </c>
      <c r="T10" s="3">
        <f t="shared" si="0"/>
        <v>244762.95</v>
      </c>
      <c r="U10" s="3">
        <f t="shared" si="1"/>
        <v>209667.15</v>
      </c>
      <c r="V10" s="3">
        <f t="shared" si="12"/>
        <v>126768.45000000001</v>
      </c>
      <c r="W10" s="3">
        <f t="shared" si="13"/>
        <v>32070.300000000003</v>
      </c>
      <c r="X10" s="3">
        <f t="shared" si="14"/>
        <v>186370.80000000002</v>
      </c>
      <c r="Y10" s="3">
        <f t="shared" si="15"/>
        <v>25716.75</v>
      </c>
      <c r="Z10" s="3">
        <f t="shared" si="16"/>
        <v>12707.1</v>
      </c>
      <c r="AA10" s="3">
        <f t="shared" si="17"/>
        <v>300129.60000000003</v>
      </c>
      <c r="AB10" s="3">
        <f t="shared" si="18"/>
        <v>210574.80000000002</v>
      </c>
      <c r="AC10" s="3">
        <f t="shared" si="19"/>
        <v>90159.900000000009</v>
      </c>
      <c r="AD10" s="3">
        <f t="shared" si="20"/>
        <v>64443.15</v>
      </c>
      <c r="AE10" s="3">
        <f t="shared" si="21"/>
        <v>214205.4</v>
      </c>
      <c r="AF10" s="3">
        <f>SUM(ecommerce_sales_all_data[[#This Row],[revenue_month_1]:[revenue_month_12]])</f>
        <v>1717576.3499999999</v>
      </c>
    </row>
    <row r="11" spans="1:32" x14ac:dyDescent="0.3">
      <c r="A11">
        <v>10</v>
      </c>
      <c r="B11" t="s">
        <v>32</v>
      </c>
      <c r="C11" t="s">
        <v>19</v>
      </c>
      <c r="D11" s="2">
        <v>355.5</v>
      </c>
      <c r="E11">
        <v>3</v>
      </c>
      <c r="F11">
        <v>400</v>
      </c>
      <c r="G11" s="1">
        <v>319</v>
      </c>
      <c r="H11" s="1">
        <v>390</v>
      </c>
      <c r="I11" s="1">
        <v>636</v>
      </c>
      <c r="J11" s="1">
        <v>87</v>
      </c>
      <c r="K11" s="1">
        <v>7</v>
      </c>
      <c r="L11" s="1">
        <v>555</v>
      </c>
      <c r="M11" s="1">
        <v>485</v>
      </c>
      <c r="N11" s="1">
        <v>566</v>
      </c>
      <c r="O11" s="1">
        <v>632</v>
      </c>
      <c r="P11" s="1">
        <v>462</v>
      </c>
      <c r="Q11" s="1">
        <v>561</v>
      </c>
      <c r="R11" s="1">
        <v>179</v>
      </c>
      <c r="S11" s="1">
        <f>SUM(ecommerce_sales_all_data[[#This Row],[sales_month_1]:[sales_month_12]])</f>
        <v>4879</v>
      </c>
      <c r="T11" s="3">
        <f t="shared" si="0"/>
        <v>113404.5</v>
      </c>
      <c r="U11" s="3">
        <f t="shared" si="1"/>
        <v>138645</v>
      </c>
      <c r="V11" s="3">
        <f t="shared" si="12"/>
        <v>226098</v>
      </c>
      <c r="W11" s="3">
        <f t="shared" si="13"/>
        <v>30928.5</v>
      </c>
      <c r="X11" s="3">
        <f t="shared" si="14"/>
        <v>2488.5</v>
      </c>
      <c r="Y11" s="3">
        <f t="shared" si="15"/>
        <v>197302.5</v>
      </c>
      <c r="Z11" s="3">
        <f t="shared" si="16"/>
        <v>172417.5</v>
      </c>
      <c r="AA11" s="3">
        <f t="shared" si="17"/>
        <v>201213</v>
      </c>
      <c r="AB11" s="3">
        <f t="shared" si="18"/>
        <v>224676</v>
      </c>
      <c r="AC11" s="3">
        <f t="shared" si="19"/>
        <v>164241</v>
      </c>
      <c r="AD11" s="3">
        <f t="shared" si="20"/>
        <v>199435.5</v>
      </c>
      <c r="AE11" s="3">
        <f t="shared" si="21"/>
        <v>63634.5</v>
      </c>
      <c r="AF11" s="3">
        <f>SUM(ecommerce_sales_all_data[[#This Row],[revenue_month_1]:[revenue_month_12]])</f>
        <v>1734484.5</v>
      </c>
    </row>
    <row r="12" spans="1:32" x14ac:dyDescent="0.3">
      <c r="A12">
        <v>11</v>
      </c>
      <c r="B12" t="s">
        <v>33</v>
      </c>
      <c r="C12" t="s">
        <v>23</v>
      </c>
      <c r="D12" s="2">
        <v>15.19</v>
      </c>
      <c r="E12">
        <v>1.9</v>
      </c>
      <c r="F12">
        <v>182</v>
      </c>
      <c r="G12" s="1">
        <v>125</v>
      </c>
      <c r="H12" s="1">
        <v>590</v>
      </c>
      <c r="I12" s="1">
        <v>12</v>
      </c>
      <c r="J12" s="1">
        <v>128</v>
      </c>
      <c r="K12" s="1">
        <v>66</v>
      </c>
      <c r="L12" s="1">
        <v>841</v>
      </c>
      <c r="M12" s="1">
        <v>595</v>
      </c>
      <c r="N12" s="1">
        <v>768</v>
      </c>
      <c r="O12" s="1">
        <v>737</v>
      </c>
      <c r="P12" s="1">
        <v>724</v>
      </c>
      <c r="Q12" s="1">
        <v>439</v>
      </c>
      <c r="R12" s="1">
        <v>341</v>
      </c>
      <c r="S12" s="1">
        <f>SUM(ecommerce_sales_all_data[[#This Row],[sales_month_1]:[sales_month_12]])</f>
        <v>5366</v>
      </c>
      <c r="T12" s="3">
        <f t="shared" si="0"/>
        <v>1898.75</v>
      </c>
      <c r="U12" s="3">
        <f t="shared" si="1"/>
        <v>8962.1</v>
      </c>
      <c r="V12" s="3">
        <f t="shared" si="12"/>
        <v>182.28</v>
      </c>
      <c r="W12" s="3">
        <f t="shared" si="13"/>
        <v>1944.32</v>
      </c>
      <c r="X12" s="3">
        <f t="shared" si="14"/>
        <v>1002.54</v>
      </c>
      <c r="Y12" s="3">
        <f t="shared" si="15"/>
        <v>12774.789999999999</v>
      </c>
      <c r="Z12" s="3">
        <f t="shared" si="16"/>
        <v>9038.0499999999993</v>
      </c>
      <c r="AA12" s="3">
        <f t="shared" si="17"/>
        <v>11665.92</v>
      </c>
      <c r="AB12" s="3">
        <f t="shared" si="18"/>
        <v>11195.029999999999</v>
      </c>
      <c r="AC12" s="3">
        <f t="shared" si="19"/>
        <v>10997.56</v>
      </c>
      <c r="AD12" s="3">
        <f t="shared" si="20"/>
        <v>6668.41</v>
      </c>
      <c r="AE12" s="3">
        <f t="shared" si="21"/>
        <v>5179.79</v>
      </c>
      <c r="AF12" s="3">
        <f>SUM(ecommerce_sales_all_data[[#This Row],[revenue_month_1]:[revenue_month_12]])</f>
        <v>81509.539999999994</v>
      </c>
    </row>
    <row r="13" spans="1:32" x14ac:dyDescent="0.3">
      <c r="A13">
        <v>12</v>
      </c>
      <c r="B13" t="s">
        <v>34</v>
      </c>
      <c r="C13" t="s">
        <v>35</v>
      </c>
      <c r="D13" s="2">
        <v>485.11</v>
      </c>
      <c r="E13">
        <v>5</v>
      </c>
      <c r="F13">
        <v>991</v>
      </c>
      <c r="G13" s="1">
        <v>276</v>
      </c>
      <c r="H13" s="1">
        <v>214</v>
      </c>
      <c r="I13" s="1">
        <v>991</v>
      </c>
      <c r="J13" s="1">
        <v>906</v>
      </c>
      <c r="K13" s="1">
        <v>495</v>
      </c>
      <c r="L13" s="1">
        <v>374</v>
      </c>
      <c r="M13" s="1">
        <v>962</v>
      </c>
      <c r="N13" s="1">
        <v>100</v>
      </c>
      <c r="O13" s="1">
        <v>201</v>
      </c>
      <c r="P13" s="1">
        <v>819</v>
      </c>
      <c r="Q13" s="1">
        <v>491</v>
      </c>
      <c r="R13" s="1">
        <v>132</v>
      </c>
      <c r="S13" s="1">
        <f>SUM(ecommerce_sales_all_data[[#This Row],[sales_month_1]:[sales_month_12]])</f>
        <v>5961</v>
      </c>
      <c r="T13" s="3">
        <f t="shared" si="0"/>
        <v>133890.36000000002</v>
      </c>
      <c r="U13" s="3">
        <f t="shared" si="1"/>
        <v>103813.54000000001</v>
      </c>
      <c r="V13" s="3">
        <f t="shared" si="12"/>
        <v>480744.01</v>
      </c>
      <c r="W13" s="3">
        <f t="shared" si="13"/>
        <v>439509.66000000003</v>
      </c>
      <c r="X13" s="3">
        <f t="shared" si="14"/>
        <v>240129.45</v>
      </c>
      <c r="Y13" s="3">
        <f t="shared" si="15"/>
        <v>181431.14</v>
      </c>
      <c r="Z13" s="3">
        <f t="shared" si="16"/>
        <v>466675.82</v>
      </c>
      <c r="AA13" s="3">
        <f t="shared" si="17"/>
        <v>48511</v>
      </c>
      <c r="AB13" s="3">
        <f t="shared" si="18"/>
        <v>97507.11</v>
      </c>
      <c r="AC13" s="3">
        <f t="shared" si="19"/>
        <v>397305.09</v>
      </c>
      <c r="AD13" s="3">
        <f t="shared" si="20"/>
        <v>238189.01</v>
      </c>
      <c r="AE13" s="3">
        <f t="shared" si="21"/>
        <v>64034.520000000004</v>
      </c>
      <c r="AF13" s="3">
        <f>SUM(ecommerce_sales_all_data[[#This Row],[revenue_month_1]:[revenue_month_12]])</f>
        <v>2891740.7100000004</v>
      </c>
    </row>
    <row r="14" spans="1:32" x14ac:dyDescent="0.3">
      <c r="A14">
        <v>13</v>
      </c>
      <c r="B14" t="s">
        <v>36</v>
      </c>
      <c r="C14" t="s">
        <v>29</v>
      </c>
      <c r="D14" s="2">
        <v>417.06</v>
      </c>
      <c r="E14">
        <v>4.8</v>
      </c>
      <c r="F14">
        <v>618</v>
      </c>
      <c r="G14" s="1">
        <v>975</v>
      </c>
      <c r="H14" s="1">
        <v>525</v>
      </c>
      <c r="I14" s="1">
        <v>35</v>
      </c>
      <c r="J14" s="1">
        <v>886</v>
      </c>
      <c r="K14" s="1">
        <v>190</v>
      </c>
      <c r="L14" s="1">
        <v>445</v>
      </c>
      <c r="M14" s="1">
        <v>702</v>
      </c>
      <c r="N14" s="1">
        <v>197</v>
      </c>
      <c r="O14" s="1">
        <v>329</v>
      </c>
      <c r="P14" s="1">
        <v>100</v>
      </c>
      <c r="Q14" s="1">
        <v>392</v>
      </c>
      <c r="R14" s="1">
        <v>442</v>
      </c>
      <c r="S14" s="1">
        <f>SUM(ecommerce_sales_all_data[[#This Row],[sales_month_1]:[sales_month_12]])</f>
        <v>5218</v>
      </c>
      <c r="T14" s="3">
        <f t="shared" si="0"/>
        <v>406633.5</v>
      </c>
      <c r="U14" s="3">
        <f t="shared" si="1"/>
        <v>218956.5</v>
      </c>
      <c r="V14" s="3">
        <f t="shared" si="12"/>
        <v>14597.1</v>
      </c>
      <c r="W14" s="3">
        <f t="shared" si="13"/>
        <v>369515.16</v>
      </c>
      <c r="X14" s="3">
        <f t="shared" si="14"/>
        <v>79241.399999999994</v>
      </c>
      <c r="Y14" s="3">
        <f t="shared" si="15"/>
        <v>185591.7</v>
      </c>
      <c r="Z14" s="3">
        <f t="shared" si="16"/>
        <v>292776.12</v>
      </c>
      <c r="AA14" s="3">
        <f t="shared" si="17"/>
        <v>82160.820000000007</v>
      </c>
      <c r="AB14" s="3">
        <f t="shared" si="18"/>
        <v>137212.74</v>
      </c>
      <c r="AC14" s="3">
        <f t="shared" si="19"/>
        <v>41706</v>
      </c>
      <c r="AD14" s="3">
        <f t="shared" si="20"/>
        <v>163487.51999999999</v>
      </c>
      <c r="AE14" s="3">
        <f t="shared" si="21"/>
        <v>184340.52</v>
      </c>
      <c r="AF14" s="3">
        <f>SUM(ecommerce_sales_all_data[[#This Row],[revenue_month_1]:[revenue_month_12]])</f>
        <v>2176219.08</v>
      </c>
    </row>
    <row r="15" spans="1:32" x14ac:dyDescent="0.3">
      <c r="A15">
        <v>14</v>
      </c>
      <c r="B15" t="s">
        <v>37</v>
      </c>
      <c r="C15" t="s">
        <v>26</v>
      </c>
      <c r="D15" s="2">
        <v>110.11</v>
      </c>
      <c r="E15">
        <v>1.2</v>
      </c>
      <c r="F15">
        <v>729</v>
      </c>
      <c r="G15" s="1">
        <v>203</v>
      </c>
      <c r="H15" s="1">
        <v>214</v>
      </c>
      <c r="I15" s="1">
        <v>100</v>
      </c>
      <c r="J15" s="1">
        <v>340</v>
      </c>
      <c r="K15" s="1">
        <v>365</v>
      </c>
      <c r="L15" s="1">
        <v>377</v>
      </c>
      <c r="M15" s="1">
        <v>50</v>
      </c>
      <c r="N15" s="1">
        <v>812</v>
      </c>
      <c r="O15" s="1">
        <v>362</v>
      </c>
      <c r="P15" s="1">
        <v>55</v>
      </c>
      <c r="Q15" s="1">
        <v>488</v>
      </c>
      <c r="R15" s="1">
        <v>835</v>
      </c>
      <c r="S15" s="1">
        <f>SUM(ecommerce_sales_all_data[[#This Row],[sales_month_1]:[sales_month_12]])</f>
        <v>4201</v>
      </c>
      <c r="T15" s="3">
        <f t="shared" si="0"/>
        <v>22352.329999999998</v>
      </c>
      <c r="U15" s="3">
        <f t="shared" si="1"/>
        <v>23563.54</v>
      </c>
      <c r="V15" s="3">
        <f t="shared" si="12"/>
        <v>11011</v>
      </c>
      <c r="W15" s="3">
        <f t="shared" si="13"/>
        <v>37437.4</v>
      </c>
      <c r="X15" s="3">
        <f t="shared" si="14"/>
        <v>40190.15</v>
      </c>
      <c r="Y15" s="3">
        <f t="shared" si="15"/>
        <v>41511.47</v>
      </c>
      <c r="Z15" s="3">
        <f t="shared" si="16"/>
        <v>5505.5</v>
      </c>
      <c r="AA15" s="3">
        <f t="shared" si="17"/>
        <v>89409.319999999992</v>
      </c>
      <c r="AB15" s="3">
        <f t="shared" si="18"/>
        <v>39859.82</v>
      </c>
      <c r="AC15" s="3">
        <f t="shared" si="19"/>
        <v>6056.05</v>
      </c>
      <c r="AD15" s="3">
        <f t="shared" si="20"/>
        <v>53733.68</v>
      </c>
      <c r="AE15" s="3">
        <f t="shared" si="21"/>
        <v>91941.85</v>
      </c>
      <c r="AF15" s="3">
        <f>SUM(ecommerce_sales_all_data[[#This Row],[revenue_month_1]:[revenue_month_12]])</f>
        <v>462572.11</v>
      </c>
    </row>
    <row r="16" spans="1:32" x14ac:dyDescent="0.3">
      <c r="A16">
        <v>15</v>
      </c>
      <c r="B16" t="s">
        <v>38</v>
      </c>
      <c r="C16" t="s">
        <v>19</v>
      </c>
      <c r="D16" s="2">
        <v>95</v>
      </c>
      <c r="E16">
        <v>3.8</v>
      </c>
      <c r="F16">
        <v>205</v>
      </c>
      <c r="G16" s="1">
        <v>193</v>
      </c>
      <c r="H16" s="1">
        <v>402</v>
      </c>
      <c r="I16" s="1">
        <v>793</v>
      </c>
      <c r="J16" s="1">
        <v>3</v>
      </c>
      <c r="K16" s="1">
        <v>767</v>
      </c>
      <c r="L16" s="1">
        <v>389</v>
      </c>
      <c r="M16" s="1">
        <v>897</v>
      </c>
      <c r="N16" s="1">
        <v>225</v>
      </c>
      <c r="O16" s="1">
        <v>891</v>
      </c>
      <c r="P16" s="1">
        <v>331</v>
      </c>
      <c r="Q16" s="1">
        <v>721</v>
      </c>
      <c r="R16" s="1">
        <v>252</v>
      </c>
      <c r="S16" s="1">
        <f>SUM(ecommerce_sales_all_data[[#This Row],[sales_month_1]:[sales_month_12]])</f>
        <v>5864</v>
      </c>
      <c r="T16" s="3">
        <f t="shared" si="0"/>
        <v>18335</v>
      </c>
      <c r="U16" s="3">
        <f t="shared" si="1"/>
        <v>38190</v>
      </c>
      <c r="V16" s="3">
        <f t="shared" si="12"/>
        <v>75335</v>
      </c>
      <c r="W16" s="3">
        <f t="shared" si="13"/>
        <v>285</v>
      </c>
      <c r="X16" s="3">
        <f t="shared" si="14"/>
        <v>72865</v>
      </c>
      <c r="Y16" s="3">
        <f t="shared" si="15"/>
        <v>36955</v>
      </c>
      <c r="Z16" s="3">
        <f t="shared" si="16"/>
        <v>85215</v>
      </c>
      <c r="AA16" s="3">
        <f t="shared" si="17"/>
        <v>21375</v>
      </c>
      <c r="AB16" s="3">
        <f t="shared" si="18"/>
        <v>84645</v>
      </c>
      <c r="AC16" s="3">
        <f t="shared" si="19"/>
        <v>31445</v>
      </c>
      <c r="AD16" s="3">
        <f t="shared" si="20"/>
        <v>68495</v>
      </c>
      <c r="AE16" s="3">
        <f t="shared" si="21"/>
        <v>23940</v>
      </c>
      <c r="AF16" s="3">
        <f>SUM(ecommerce_sales_all_data[[#This Row],[revenue_month_1]:[revenue_month_12]])</f>
        <v>557080</v>
      </c>
    </row>
    <row r="17" spans="1:32" x14ac:dyDescent="0.3">
      <c r="A17">
        <v>16</v>
      </c>
      <c r="B17" t="s">
        <v>39</v>
      </c>
      <c r="C17" t="s">
        <v>26</v>
      </c>
      <c r="D17" s="2">
        <v>95.79</v>
      </c>
      <c r="E17">
        <v>4.7</v>
      </c>
      <c r="F17">
        <v>582</v>
      </c>
      <c r="G17" s="1">
        <v>680</v>
      </c>
      <c r="H17" s="1">
        <v>127</v>
      </c>
      <c r="I17" s="1">
        <v>85</v>
      </c>
      <c r="J17" s="1">
        <v>326</v>
      </c>
      <c r="K17" s="1">
        <v>520</v>
      </c>
      <c r="L17" s="1">
        <v>656</v>
      </c>
      <c r="M17" s="1">
        <v>209</v>
      </c>
      <c r="N17" s="1">
        <v>942</v>
      </c>
      <c r="O17" s="1">
        <v>453</v>
      </c>
      <c r="P17" s="1">
        <v>835</v>
      </c>
      <c r="Q17" s="1">
        <v>945</v>
      </c>
      <c r="R17" s="1">
        <v>264</v>
      </c>
      <c r="S17" s="1">
        <f>SUM(ecommerce_sales_all_data[[#This Row],[sales_month_1]:[sales_month_12]])</f>
        <v>6042</v>
      </c>
      <c r="T17" s="3">
        <f t="shared" si="0"/>
        <v>65137.200000000004</v>
      </c>
      <c r="U17" s="3">
        <f t="shared" si="1"/>
        <v>12165.33</v>
      </c>
      <c r="V17" s="3">
        <f t="shared" si="12"/>
        <v>8142.1500000000005</v>
      </c>
      <c r="W17" s="3">
        <f t="shared" si="13"/>
        <v>31227.54</v>
      </c>
      <c r="X17" s="3">
        <f t="shared" si="14"/>
        <v>49810.8</v>
      </c>
      <c r="Y17" s="3">
        <f t="shared" si="15"/>
        <v>62838.240000000005</v>
      </c>
      <c r="Z17" s="3">
        <f t="shared" si="16"/>
        <v>20020.11</v>
      </c>
      <c r="AA17" s="3">
        <f t="shared" si="17"/>
        <v>90234.180000000008</v>
      </c>
      <c r="AB17" s="3">
        <f t="shared" si="18"/>
        <v>43392.87</v>
      </c>
      <c r="AC17" s="3">
        <f t="shared" si="19"/>
        <v>79984.650000000009</v>
      </c>
      <c r="AD17" s="3">
        <f t="shared" si="20"/>
        <v>90521.55</v>
      </c>
      <c r="AE17" s="3">
        <f t="shared" si="21"/>
        <v>25288.560000000001</v>
      </c>
      <c r="AF17" s="3">
        <f>SUM(ecommerce_sales_all_data[[#This Row],[revenue_month_1]:[revenue_month_12]])</f>
        <v>578763.18000000005</v>
      </c>
    </row>
    <row r="18" spans="1:32" x14ac:dyDescent="0.3">
      <c r="A18">
        <v>17</v>
      </c>
      <c r="B18" t="s">
        <v>40</v>
      </c>
      <c r="C18" t="s">
        <v>23</v>
      </c>
      <c r="D18" s="2">
        <v>155.6</v>
      </c>
      <c r="E18">
        <v>1.7</v>
      </c>
      <c r="F18">
        <v>556</v>
      </c>
      <c r="G18" s="1">
        <v>663</v>
      </c>
      <c r="H18" s="1">
        <v>821</v>
      </c>
      <c r="I18" s="1">
        <v>515</v>
      </c>
      <c r="J18" s="1">
        <v>409</v>
      </c>
      <c r="K18" s="1">
        <v>989</v>
      </c>
      <c r="L18" s="1">
        <v>50</v>
      </c>
      <c r="M18" s="1">
        <v>125</v>
      </c>
      <c r="N18" s="1">
        <v>462</v>
      </c>
      <c r="O18" s="1">
        <v>355</v>
      </c>
      <c r="P18" s="1">
        <v>750</v>
      </c>
      <c r="Q18" s="1">
        <v>28</v>
      </c>
      <c r="R18" s="1">
        <v>92</v>
      </c>
      <c r="S18" s="1">
        <f>SUM(ecommerce_sales_all_data[[#This Row],[sales_month_1]:[sales_month_12]])</f>
        <v>5259</v>
      </c>
      <c r="T18" s="3">
        <f t="shared" si="0"/>
        <v>103162.8</v>
      </c>
      <c r="U18" s="3">
        <f t="shared" si="1"/>
        <v>127747.59999999999</v>
      </c>
      <c r="V18" s="3">
        <f t="shared" si="12"/>
        <v>80134</v>
      </c>
      <c r="W18" s="3">
        <f t="shared" si="13"/>
        <v>63640.399999999994</v>
      </c>
      <c r="X18" s="3">
        <f t="shared" si="14"/>
        <v>153888.4</v>
      </c>
      <c r="Y18" s="3">
        <f t="shared" si="15"/>
        <v>7780</v>
      </c>
      <c r="Z18" s="3">
        <f t="shared" si="16"/>
        <v>19450</v>
      </c>
      <c r="AA18" s="3">
        <f t="shared" si="17"/>
        <v>71887.199999999997</v>
      </c>
      <c r="AB18" s="3">
        <f t="shared" si="18"/>
        <v>55238</v>
      </c>
      <c r="AC18" s="3">
        <f t="shared" si="19"/>
        <v>116700</v>
      </c>
      <c r="AD18" s="3">
        <f t="shared" si="20"/>
        <v>4356.8</v>
      </c>
      <c r="AE18" s="3">
        <f t="shared" si="21"/>
        <v>14315.199999999999</v>
      </c>
      <c r="AF18" s="3">
        <f>SUM(ecommerce_sales_all_data[[#This Row],[revenue_month_1]:[revenue_month_12]])</f>
        <v>818300.4</v>
      </c>
    </row>
    <row r="19" spans="1:32" x14ac:dyDescent="0.3">
      <c r="A19">
        <v>18</v>
      </c>
      <c r="B19" t="s">
        <v>41</v>
      </c>
      <c r="C19" t="s">
        <v>21</v>
      </c>
      <c r="D19" s="2">
        <v>264.75</v>
      </c>
      <c r="E19">
        <v>3.3</v>
      </c>
      <c r="F19">
        <v>841</v>
      </c>
      <c r="G19" s="1">
        <v>546</v>
      </c>
      <c r="H19" s="1">
        <v>476</v>
      </c>
      <c r="I19" s="1">
        <v>222</v>
      </c>
      <c r="J19" s="1">
        <v>878</v>
      </c>
      <c r="K19" s="1">
        <v>116</v>
      </c>
      <c r="L19" s="1">
        <v>241</v>
      </c>
      <c r="M19" s="1">
        <v>491</v>
      </c>
      <c r="N19" s="1">
        <v>236</v>
      </c>
      <c r="O19" s="1">
        <v>215</v>
      </c>
      <c r="P19" s="1">
        <v>392</v>
      </c>
      <c r="Q19" s="1">
        <v>38</v>
      </c>
      <c r="R19" s="1">
        <v>661</v>
      </c>
      <c r="S19" s="1">
        <f>SUM(ecommerce_sales_all_data[[#This Row],[sales_month_1]:[sales_month_12]])</f>
        <v>4512</v>
      </c>
      <c r="T19" s="3">
        <f t="shared" si="0"/>
        <v>144553.5</v>
      </c>
      <c r="U19" s="3">
        <f t="shared" si="1"/>
        <v>126021</v>
      </c>
      <c r="V19" s="3">
        <f t="shared" si="12"/>
        <v>58774.5</v>
      </c>
      <c r="W19" s="3">
        <f t="shared" si="13"/>
        <v>232450.5</v>
      </c>
      <c r="X19" s="3">
        <f t="shared" si="14"/>
        <v>30711</v>
      </c>
      <c r="Y19" s="3">
        <f t="shared" si="15"/>
        <v>63804.75</v>
      </c>
      <c r="Z19" s="3">
        <f t="shared" si="16"/>
        <v>129992.25</v>
      </c>
      <c r="AA19" s="3">
        <f t="shared" si="17"/>
        <v>62481</v>
      </c>
      <c r="AB19" s="3">
        <f t="shared" si="18"/>
        <v>56921.25</v>
      </c>
      <c r="AC19" s="3">
        <f t="shared" si="19"/>
        <v>103782</v>
      </c>
      <c r="AD19" s="3">
        <f t="shared" si="20"/>
        <v>10060.5</v>
      </c>
      <c r="AE19" s="3">
        <f t="shared" si="21"/>
        <v>174999.75</v>
      </c>
      <c r="AF19" s="3">
        <f>SUM(ecommerce_sales_all_data[[#This Row],[revenue_month_1]:[revenue_month_12]])</f>
        <v>1194552</v>
      </c>
    </row>
    <row r="20" spans="1:32" x14ac:dyDescent="0.3">
      <c r="A20">
        <v>19</v>
      </c>
      <c r="B20" t="s">
        <v>42</v>
      </c>
      <c r="C20" t="s">
        <v>26</v>
      </c>
      <c r="D20" s="2">
        <v>218.81</v>
      </c>
      <c r="E20">
        <v>4.7</v>
      </c>
      <c r="F20">
        <v>813</v>
      </c>
      <c r="G20" s="1">
        <v>695</v>
      </c>
      <c r="H20" s="1">
        <v>759</v>
      </c>
      <c r="I20" s="1">
        <v>337</v>
      </c>
      <c r="J20" s="1">
        <v>305</v>
      </c>
      <c r="K20" s="1">
        <v>266</v>
      </c>
      <c r="L20" s="1">
        <v>293</v>
      </c>
      <c r="M20" s="1">
        <v>508</v>
      </c>
      <c r="N20" s="1">
        <v>25</v>
      </c>
      <c r="O20" s="1">
        <v>971</v>
      </c>
      <c r="P20" s="1">
        <v>742</v>
      </c>
      <c r="Q20" s="1">
        <v>858</v>
      </c>
      <c r="R20" s="1">
        <v>410</v>
      </c>
      <c r="S20" s="1">
        <f>SUM(ecommerce_sales_all_data[[#This Row],[sales_month_1]:[sales_month_12]])</f>
        <v>6169</v>
      </c>
      <c r="T20" s="3">
        <f t="shared" si="0"/>
        <v>152072.95000000001</v>
      </c>
      <c r="U20" s="3">
        <f t="shared" si="1"/>
        <v>166076.79</v>
      </c>
      <c r="V20" s="3">
        <f t="shared" si="12"/>
        <v>73738.97</v>
      </c>
      <c r="W20" s="3">
        <f t="shared" si="13"/>
        <v>66737.05</v>
      </c>
      <c r="X20" s="3">
        <f t="shared" si="14"/>
        <v>58203.46</v>
      </c>
      <c r="Y20" s="3">
        <f t="shared" si="15"/>
        <v>64111.33</v>
      </c>
      <c r="Z20" s="3">
        <f t="shared" si="16"/>
        <v>111155.48</v>
      </c>
      <c r="AA20" s="3">
        <f t="shared" si="17"/>
        <v>5470.25</v>
      </c>
      <c r="AB20" s="3">
        <f t="shared" si="18"/>
        <v>212464.51</v>
      </c>
      <c r="AC20" s="3">
        <f t="shared" si="19"/>
        <v>162357.01999999999</v>
      </c>
      <c r="AD20" s="3">
        <f t="shared" si="20"/>
        <v>187738.98</v>
      </c>
      <c r="AE20" s="3">
        <f t="shared" si="21"/>
        <v>89712.1</v>
      </c>
      <c r="AF20" s="3">
        <f>SUM(ecommerce_sales_all_data[[#This Row],[revenue_month_1]:[revenue_month_12]])</f>
        <v>1349838.89</v>
      </c>
    </row>
    <row r="21" spans="1:32" x14ac:dyDescent="0.3">
      <c r="A21">
        <v>20</v>
      </c>
      <c r="B21" t="s">
        <v>43</v>
      </c>
      <c r="C21" t="s">
        <v>21</v>
      </c>
      <c r="D21" s="2">
        <v>149.16</v>
      </c>
      <c r="E21">
        <v>1.1000000000000001</v>
      </c>
      <c r="F21">
        <v>228</v>
      </c>
      <c r="G21" s="1">
        <v>285</v>
      </c>
      <c r="H21" s="1">
        <v>403</v>
      </c>
      <c r="I21" s="1">
        <v>959</v>
      </c>
      <c r="J21" s="1">
        <v>907</v>
      </c>
      <c r="K21" s="1">
        <v>610</v>
      </c>
      <c r="L21" s="1">
        <v>919</v>
      </c>
      <c r="M21" s="1">
        <v>959</v>
      </c>
      <c r="N21" s="1">
        <v>120</v>
      </c>
      <c r="O21" s="1">
        <v>554</v>
      </c>
      <c r="P21" s="1">
        <v>873</v>
      </c>
      <c r="Q21" s="1">
        <v>611</v>
      </c>
      <c r="R21" s="1">
        <v>137</v>
      </c>
      <c r="S21" s="1">
        <f>SUM(ecommerce_sales_all_data[[#This Row],[sales_month_1]:[sales_month_12]])</f>
        <v>7337</v>
      </c>
      <c r="T21" s="3">
        <f t="shared" si="0"/>
        <v>42510.6</v>
      </c>
      <c r="U21" s="3">
        <f t="shared" si="1"/>
        <v>60111.479999999996</v>
      </c>
      <c r="V21" s="3">
        <f t="shared" si="12"/>
        <v>143044.44</v>
      </c>
      <c r="W21" s="3">
        <f t="shared" si="13"/>
        <v>135288.12</v>
      </c>
      <c r="X21" s="3">
        <f t="shared" si="14"/>
        <v>90987.599999999991</v>
      </c>
      <c r="Y21" s="3">
        <f t="shared" si="15"/>
        <v>137078.04</v>
      </c>
      <c r="Z21" s="3">
        <f t="shared" si="16"/>
        <v>143044.44</v>
      </c>
      <c r="AA21" s="3">
        <f t="shared" si="17"/>
        <v>17899.2</v>
      </c>
      <c r="AB21" s="3">
        <f t="shared" si="18"/>
        <v>82634.64</v>
      </c>
      <c r="AC21" s="3">
        <f t="shared" si="19"/>
        <v>130216.68</v>
      </c>
      <c r="AD21" s="3">
        <f t="shared" si="20"/>
        <v>91136.76</v>
      </c>
      <c r="AE21" s="3">
        <f t="shared" si="21"/>
        <v>20434.919999999998</v>
      </c>
      <c r="AF21" s="3">
        <f>SUM(ecommerce_sales_all_data[[#This Row],[revenue_month_1]:[revenue_month_12]])</f>
        <v>1094386.92</v>
      </c>
    </row>
    <row r="22" spans="1:32" x14ac:dyDescent="0.3">
      <c r="A22">
        <v>21</v>
      </c>
      <c r="B22" t="s">
        <v>44</v>
      </c>
      <c r="C22" t="s">
        <v>19</v>
      </c>
      <c r="D22" s="2">
        <v>307.87</v>
      </c>
      <c r="E22">
        <v>3.8</v>
      </c>
      <c r="F22">
        <v>696</v>
      </c>
      <c r="G22" s="1">
        <v>56</v>
      </c>
      <c r="H22" s="1">
        <v>28</v>
      </c>
      <c r="I22" s="1">
        <v>165</v>
      </c>
      <c r="J22" s="1">
        <v>606</v>
      </c>
      <c r="K22" s="1">
        <v>484</v>
      </c>
      <c r="L22" s="1">
        <v>562</v>
      </c>
      <c r="M22" s="1">
        <v>969</v>
      </c>
      <c r="N22" s="1">
        <v>909</v>
      </c>
      <c r="O22" s="1">
        <v>886</v>
      </c>
      <c r="P22" s="1">
        <v>380</v>
      </c>
      <c r="Q22" s="1">
        <v>172</v>
      </c>
      <c r="R22" s="1">
        <v>207</v>
      </c>
      <c r="S22" s="1">
        <f>SUM(ecommerce_sales_all_data[[#This Row],[sales_month_1]:[sales_month_12]])</f>
        <v>5424</v>
      </c>
      <c r="T22" s="3">
        <f t="shared" si="0"/>
        <v>17240.72</v>
      </c>
      <c r="U22" s="3">
        <f t="shared" si="1"/>
        <v>8620.36</v>
      </c>
      <c r="V22" s="3">
        <f t="shared" si="12"/>
        <v>50798.55</v>
      </c>
      <c r="W22" s="3">
        <f t="shared" si="13"/>
        <v>186569.22</v>
      </c>
      <c r="X22" s="3">
        <f t="shared" si="14"/>
        <v>149009.08000000002</v>
      </c>
      <c r="Y22" s="3">
        <f t="shared" si="15"/>
        <v>173022.94</v>
      </c>
      <c r="Z22" s="3">
        <f t="shared" si="16"/>
        <v>298326.03000000003</v>
      </c>
      <c r="AA22" s="3">
        <f t="shared" si="17"/>
        <v>279853.83</v>
      </c>
      <c r="AB22" s="3">
        <f t="shared" si="18"/>
        <v>272772.82</v>
      </c>
      <c r="AC22" s="3">
        <f t="shared" si="19"/>
        <v>116990.6</v>
      </c>
      <c r="AD22" s="3">
        <f t="shared" si="20"/>
        <v>52953.64</v>
      </c>
      <c r="AE22" s="3">
        <f t="shared" si="21"/>
        <v>63729.090000000004</v>
      </c>
      <c r="AF22" s="3">
        <f>SUM(ecommerce_sales_all_data[[#This Row],[revenue_month_1]:[revenue_month_12]])</f>
        <v>1669886.8800000001</v>
      </c>
    </row>
    <row r="23" spans="1:32" x14ac:dyDescent="0.3">
      <c r="A23">
        <v>22</v>
      </c>
      <c r="B23" t="s">
        <v>45</v>
      </c>
      <c r="C23" t="s">
        <v>26</v>
      </c>
      <c r="D23" s="2">
        <v>74.05</v>
      </c>
      <c r="E23">
        <v>2.2000000000000002</v>
      </c>
      <c r="F23">
        <v>619</v>
      </c>
      <c r="G23" s="1">
        <v>733</v>
      </c>
      <c r="H23" s="1">
        <v>791</v>
      </c>
      <c r="I23" s="1">
        <v>382</v>
      </c>
      <c r="J23" s="1">
        <v>720</v>
      </c>
      <c r="K23" s="1">
        <v>508</v>
      </c>
      <c r="L23" s="1">
        <v>265</v>
      </c>
      <c r="M23" s="1">
        <v>580</v>
      </c>
      <c r="N23" s="1">
        <v>505</v>
      </c>
      <c r="O23" s="1">
        <v>22</v>
      </c>
      <c r="P23" s="1">
        <v>91</v>
      </c>
      <c r="Q23" s="1">
        <v>16</v>
      </c>
      <c r="R23" s="1">
        <v>636</v>
      </c>
      <c r="S23" s="1">
        <f>SUM(ecommerce_sales_all_data[[#This Row],[sales_month_1]:[sales_month_12]])</f>
        <v>5249</v>
      </c>
      <c r="T23" s="3">
        <f t="shared" si="0"/>
        <v>54278.65</v>
      </c>
      <c r="U23" s="3">
        <f t="shared" si="1"/>
        <v>58573.549999999996</v>
      </c>
      <c r="V23" s="3">
        <f t="shared" si="12"/>
        <v>28287.1</v>
      </c>
      <c r="W23" s="3">
        <f t="shared" si="13"/>
        <v>53316</v>
      </c>
      <c r="X23" s="3">
        <f t="shared" si="14"/>
        <v>37617.4</v>
      </c>
      <c r="Y23" s="3">
        <f t="shared" si="15"/>
        <v>19623.25</v>
      </c>
      <c r="Z23" s="3">
        <f t="shared" si="16"/>
        <v>42949</v>
      </c>
      <c r="AA23" s="3">
        <f t="shared" si="17"/>
        <v>37395.25</v>
      </c>
      <c r="AB23" s="3">
        <f t="shared" si="18"/>
        <v>1629.1</v>
      </c>
      <c r="AC23" s="3">
        <f t="shared" si="19"/>
        <v>6738.55</v>
      </c>
      <c r="AD23" s="3">
        <f t="shared" si="20"/>
        <v>1184.8</v>
      </c>
      <c r="AE23" s="3">
        <f t="shared" si="21"/>
        <v>47095.799999999996</v>
      </c>
      <c r="AF23" s="3">
        <f>SUM(ecommerce_sales_all_data[[#This Row],[revenue_month_1]:[revenue_month_12]])</f>
        <v>388688.4499999999</v>
      </c>
    </row>
    <row r="24" spans="1:32" x14ac:dyDescent="0.3">
      <c r="A24">
        <v>23</v>
      </c>
      <c r="B24" t="s">
        <v>46</v>
      </c>
      <c r="C24" t="s">
        <v>26</v>
      </c>
      <c r="D24" s="2">
        <v>149.61000000000001</v>
      </c>
      <c r="E24">
        <v>4.7</v>
      </c>
      <c r="F24">
        <v>596</v>
      </c>
      <c r="G24" s="1">
        <v>302</v>
      </c>
      <c r="H24" s="1">
        <v>337</v>
      </c>
      <c r="I24" s="1">
        <v>855</v>
      </c>
      <c r="J24" s="1">
        <v>224</v>
      </c>
      <c r="K24" s="1">
        <v>297</v>
      </c>
      <c r="L24" s="1">
        <v>119</v>
      </c>
      <c r="M24" s="1">
        <v>776</v>
      </c>
      <c r="N24" s="1">
        <v>181</v>
      </c>
      <c r="O24" s="1">
        <v>154</v>
      </c>
      <c r="P24" s="1">
        <v>790</v>
      </c>
      <c r="Q24" s="1">
        <v>55</v>
      </c>
      <c r="R24" s="1">
        <v>745</v>
      </c>
      <c r="S24" s="1">
        <f>SUM(ecommerce_sales_all_data[[#This Row],[sales_month_1]:[sales_month_12]])</f>
        <v>4835</v>
      </c>
      <c r="T24" s="3">
        <f t="shared" si="0"/>
        <v>45182.22</v>
      </c>
      <c r="U24" s="3">
        <f t="shared" si="1"/>
        <v>50418.570000000007</v>
      </c>
      <c r="V24" s="3">
        <f t="shared" si="12"/>
        <v>127916.55000000002</v>
      </c>
      <c r="W24" s="3">
        <f t="shared" si="13"/>
        <v>33512.639999999999</v>
      </c>
      <c r="X24" s="3">
        <f t="shared" si="14"/>
        <v>44434.170000000006</v>
      </c>
      <c r="Y24" s="3">
        <f t="shared" si="15"/>
        <v>17803.59</v>
      </c>
      <c r="Z24" s="3">
        <f t="shared" si="16"/>
        <v>116097.36000000002</v>
      </c>
      <c r="AA24" s="3">
        <f t="shared" si="17"/>
        <v>27079.410000000003</v>
      </c>
      <c r="AB24" s="3">
        <f t="shared" si="18"/>
        <v>23039.940000000002</v>
      </c>
      <c r="AC24" s="3">
        <f t="shared" si="19"/>
        <v>118191.90000000001</v>
      </c>
      <c r="AD24" s="3">
        <f t="shared" si="20"/>
        <v>8228.5500000000011</v>
      </c>
      <c r="AE24" s="3">
        <f t="shared" si="21"/>
        <v>111459.45000000001</v>
      </c>
      <c r="AF24" s="3">
        <f>SUM(ecommerce_sales_all_data[[#This Row],[revenue_month_1]:[revenue_month_12]])</f>
        <v>723364.35000000009</v>
      </c>
    </row>
    <row r="25" spans="1:32" x14ac:dyDescent="0.3">
      <c r="A25">
        <v>24</v>
      </c>
      <c r="B25" t="s">
        <v>47</v>
      </c>
      <c r="C25" t="s">
        <v>48</v>
      </c>
      <c r="D25" s="2">
        <v>186.35</v>
      </c>
      <c r="E25">
        <v>4.9000000000000004</v>
      </c>
      <c r="F25">
        <v>850</v>
      </c>
      <c r="G25" s="1">
        <v>162</v>
      </c>
      <c r="H25" s="1">
        <v>830</v>
      </c>
      <c r="I25" s="1">
        <v>894</v>
      </c>
      <c r="J25" s="1">
        <v>970</v>
      </c>
      <c r="K25" s="1">
        <v>908</v>
      </c>
      <c r="L25" s="1">
        <v>711</v>
      </c>
      <c r="M25" s="1">
        <v>257</v>
      </c>
      <c r="N25" s="1">
        <v>710</v>
      </c>
      <c r="O25" s="1">
        <v>185</v>
      </c>
      <c r="P25" s="1">
        <v>446</v>
      </c>
      <c r="Q25" s="1">
        <v>225</v>
      </c>
      <c r="R25" s="1">
        <v>572</v>
      </c>
      <c r="S25" s="1">
        <f>SUM(ecommerce_sales_all_data[[#This Row],[sales_month_1]:[sales_month_12]])</f>
        <v>6870</v>
      </c>
      <c r="T25" s="3">
        <f t="shared" si="0"/>
        <v>30188.7</v>
      </c>
      <c r="U25" s="3">
        <f t="shared" si="1"/>
        <v>154670.5</v>
      </c>
      <c r="V25" s="3">
        <f t="shared" si="12"/>
        <v>166596.9</v>
      </c>
      <c r="W25" s="3">
        <f t="shared" si="13"/>
        <v>180759.5</v>
      </c>
      <c r="X25" s="3">
        <f t="shared" si="14"/>
        <v>169205.8</v>
      </c>
      <c r="Y25" s="3">
        <f t="shared" si="15"/>
        <v>132494.85</v>
      </c>
      <c r="Z25" s="3">
        <f t="shared" si="16"/>
        <v>47891.95</v>
      </c>
      <c r="AA25" s="3">
        <f t="shared" si="17"/>
        <v>132308.5</v>
      </c>
      <c r="AB25" s="3">
        <f t="shared" si="18"/>
        <v>34474.75</v>
      </c>
      <c r="AC25" s="3">
        <f t="shared" si="19"/>
        <v>83112.099999999991</v>
      </c>
      <c r="AD25" s="3">
        <f t="shared" si="20"/>
        <v>41928.75</v>
      </c>
      <c r="AE25" s="3">
        <f t="shared" si="21"/>
        <v>106592.2</v>
      </c>
      <c r="AF25" s="3">
        <f>SUM(ecommerce_sales_all_data[[#This Row],[revenue_month_1]:[revenue_month_12]])</f>
        <v>1280224.4999999998</v>
      </c>
    </row>
    <row r="26" spans="1:32" x14ac:dyDescent="0.3">
      <c r="A26">
        <v>25</v>
      </c>
      <c r="B26" t="s">
        <v>49</v>
      </c>
      <c r="C26" t="s">
        <v>19</v>
      </c>
      <c r="D26" s="2">
        <v>230.75</v>
      </c>
      <c r="E26">
        <v>4.8</v>
      </c>
      <c r="F26">
        <v>250</v>
      </c>
      <c r="G26" s="1">
        <v>18</v>
      </c>
      <c r="H26" s="1">
        <v>713</v>
      </c>
      <c r="I26" s="1">
        <v>375</v>
      </c>
      <c r="J26" s="1">
        <v>347</v>
      </c>
      <c r="K26" s="1">
        <v>163</v>
      </c>
      <c r="L26" s="1">
        <v>916</v>
      </c>
      <c r="M26" s="1">
        <v>929</v>
      </c>
      <c r="N26" s="1">
        <v>813</v>
      </c>
      <c r="O26" s="1">
        <v>248</v>
      </c>
      <c r="P26" s="1">
        <v>108</v>
      </c>
      <c r="Q26" s="1">
        <v>557</v>
      </c>
      <c r="R26" s="1">
        <v>306</v>
      </c>
      <c r="S26" s="1">
        <f>SUM(ecommerce_sales_all_data[[#This Row],[sales_month_1]:[sales_month_12]])</f>
        <v>5493</v>
      </c>
      <c r="T26" s="3">
        <f t="shared" si="0"/>
        <v>4153.5</v>
      </c>
      <c r="U26" s="3">
        <f t="shared" si="1"/>
        <v>164524.75</v>
      </c>
      <c r="V26" s="3">
        <f t="shared" si="12"/>
        <v>86531.25</v>
      </c>
      <c r="W26" s="3">
        <f t="shared" si="13"/>
        <v>80070.25</v>
      </c>
      <c r="X26" s="3">
        <f t="shared" si="14"/>
        <v>37612.25</v>
      </c>
      <c r="Y26" s="3">
        <f t="shared" si="15"/>
        <v>211367</v>
      </c>
      <c r="Z26" s="3">
        <f t="shared" si="16"/>
        <v>214366.75</v>
      </c>
      <c r="AA26" s="3">
        <f t="shared" si="17"/>
        <v>187599.75</v>
      </c>
      <c r="AB26" s="3">
        <f t="shared" si="18"/>
        <v>57226</v>
      </c>
      <c r="AC26" s="3">
        <f t="shared" si="19"/>
        <v>24921</v>
      </c>
      <c r="AD26" s="3">
        <f t="shared" si="20"/>
        <v>128527.75</v>
      </c>
      <c r="AE26" s="3">
        <f t="shared" si="21"/>
        <v>70609.5</v>
      </c>
      <c r="AF26" s="3">
        <f>SUM(ecommerce_sales_all_data[[#This Row],[revenue_month_1]:[revenue_month_12]])</f>
        <v>1267509.75</v>
      </c>
    </row>
    <row r="27" spans="1:32" x14ac:dyDescent="0.3">
      <c r="A27">
        <v>26</v>
      </c>
      <c r="B27" t="s">
        <v>50</v>
      </c>
      <c r="C27" t="s">
        <v>19</v>
      </c>
      <c r="D27" s="2">
        <v>393.66</v>
      </c>
      <c r="E27">
        <v>2.9</v>
      </c>
      <c r="F27">
        <v>875</v>
      </c>
      <c r="G27" s="1">
        <v>369</v>
      </c>
      <c r="H27" s="1">
        <v>360</v>
      </c>
      <c r="I27" s="1">
        <v>470</v>
      </c>
      <c r="J27" s="1">
        <v>991</v>
      </c>
      <c r="K27" s="1">
        <v>375</v>
      </c>
      <c r="L27" s="1">
        <v>247</v>
      </c>
      <c r="M27" s="1">
        <v>187</v>
      </c>
      <c r="N27" s="1">
        <v>766</v>
      </c>
      <c r="O27" s="1">
        <v>748</v>
      </c>
      <c r="P27" s="1">
        <v>316</v>
      </c>
      <c r="Q27" s="1">
        <v>66</v>
      </c>
      <c r="R27" s="1">
        <v>265</v>
      </c>
      <c r="S27" s="1">
        <f>SUM(ecommerce_sales_all_data[[#This Row],[sales_month_1]:[sales_month_12]])</f>
        <v>5160</v>
      </c>
      <c r="T27" s="3">
        <f t="shared" si="0"/>
        <v>145260.54</v>
      </c>
      <c r="U27" s="3">
        <f t="shared" si="1"/>
        <v>141717.6</v>
      </c>
      <c r="V27" s="3">
        <f t="shared" si="12"/>
        <v>185020.2</v>
      </c>
      <c r="W27" s="3">
        <f t="shared" si="13"/>
        <v>390117.06</v>
      </c>
      <c r="X27" s="3">
        <f t="shared" si="14"/>
        <v>147622.5</v>
      </c>
      <c r="Y27" s="3">
        <f t="shared" si="15"/>
        <v>97234.02</v>
      </c>
      <c r="Z27" s="3">
        <f t="shared" si="16"/>
        <v>73614.42</v>
      </c>
      <c r="AA27" s="3">
        <f t="shared" si="17"/>
        <v>301543.56</v>
      </c>
      <c r="AB27" s="3">
        <f t="shared" si="18"/>
        <v>294457.68</v>
      </c>
      <c r="AC27" s="3">
        <f t="shared" si="19"/>
        <v>124396.56000000001</v>
      </c>
      <c r="AD27" s="3">
        <f t="shared" si="20"/>
        <v>25981.56</v>
      </c>
      <c r="AE27" s="3">
        <f t="shared" si="21"/>
        <v>104319.90000000001</v>
      </c>
      <c r="AF27" s="3">
        <f>SUM(ecommerce_sales_all_data[[#This Row],[revenue_month_1]:[revenue_month_12]])</f>
        <v>2031285.5999999999</v>
      </c>
    </row>
    <row r="28" spans="1:32" x14ac:dyDescent="0.3">
      <c r="A28">
        <v>27</v>
      </c>
      <c r="B28" t="s">
        <v>51</v>
      </c>
      <c r="C28" t="s">
        <v>29</v>
      </c>
      <c r="D28" s="2">
        <v>103.84</v>
      </c>
      <c r="E28">
        <v>4.4000000000000004</v>
      </c>
      <c r="F28">
        <v>441</v>
      </c>
      <c r="G28" s="1">
        <v>263</v>
      </c>
      <c r="H28" s="1">
        <v>568</v>
      </c>
      <c r="I28" s="1">
        <v>789</v>
      </c>
      <c r="J28" s="1">
        <v>320</v>
      </c>
      <c r="K28" s="1">
        <v>652</v>
      </c>
      <c r="L28" s="1">
        <v>69</v>
      </c>
      <c r="M28" s="1">
        <v>229</v>
      </c>
      <c r="N28" s="1">
        <v>633</v>
      </c>
      <c r="O28" s="1">
        <v>804</v>
      </c>
      <c r="P28" s="1">
        <v>167</v>
      </c>
      <c r="Q28" s="1">
        <v>196</v>
      </c>
      <c r="R28" s="1">
        <v>645</v>
      </c>
      <c r="S28" s="1">
        <f>SUM(ecommerce_sales_all_data[[#This Row],[sales_month_1]:[sales_month_12]])</f>
        <v>5335</v>
      </c>
      <c r="T28" s="3">
        <f t="shared" si="0"/>
        <v>27309.920000000002</v>
      </c>
      <c r="U28" s="3">
        <f t="shared" si="1"/>
        <v>58981.120000000003</v>
      </c>
      <c r="V28" s="3">
        <f t="shared" si="12"/>
        <v>81929.760000000009</v>
      </c>
      <c r="W28" s="3">
        <f t="shared" si="13"/>
        <v>33228.800000000003</v>
      </c>
      <c r="X28" s="3">
        <f t="shared" si="14"/>
        <v>67703.680000000008</v>
      </c>
      <c r="Y28" s="3">
        <f t="shared" si="15"/>
        <v>7164.96</v>
      </c>
      <c r="Z28" s="3">
        <f t="shared" si="16"/>
        <v>23779.360000000001</v>
      </c>
      <c r="AA28" s="3">
        <f t="shared" si="17"/>
        <v>65730.720000000001</v>
      </c>
      <c r="AB28" s="3">
        <f t="shared" si="18"/>
        <v>83487.360000000001</v>
      </c>
      <c r="AC28" s="3">
        <f t="shared" si="19"/>
        <v>17341.28</v>
      </c>
      <c r="AD28" s="3">
        <f t="shared" si="20"/>
        <v>20352.64</v>
      </c>
      <c r="AE28" s="3">
        <f t="shared" si="21"/>
        <v>66976.800000000003</v>
      </c>
      <c r="AF28" s="3">
        <f>SUM(ecommerce_sales_all_data[[#This Row],[revenue_month_1]:[revenue_month_12]])</f>
        <v>553986.40000000014</v>
      </c>
    </row>
    <row r="29" spans="1:32" x14ac:dyDescent="0.3">
      <c r="A29">
        <v>28</v>
      </c>
      <c r="B29" t="s">
        <v>52</v>
      </c>
      <c r="C29" t="s">
        <v>23</v>
      </c>
      <c r="D29" s="2">
        <v>259.55</v>
      </c>
      <c r="E29">
        <v>4.4000000000000004</v>
      </c>
      <c r="F29">
        <v>533</v>
      </c>
      <c r="G29" s="1">
        <v>793</v>
      </c>
      <c r="H29" s="1">
        <v>391</v>
      </c>
      <c r="I29" s="1">
        <v>641</v>
      </c>
      <c r="J29" s="1">
        <v>558</v>
      </c>
      <c r="K29" s="1">
        <v>267</v>
      </c>
      <c r="L29" s="1">
        <v>852</v>
      </c>
      <c r="M29" s="1">
        <v>188</v>
      </c>
      <c r="N29" s="1">
        <v>542</v>
      </c>
      <c r="O29" s="1">
        <v>133</v>
      </c>
      <c r="P29" s="1">
        <v>811</v>
      </c>
      <c r="Q29" s="1">
        <v>653</v>
      </c>
      <c r="R29" s="1">
        <v>317</v>
      </c>
      <c r="S29" s="1">
        <f>SUM(ecommerce_sales_all_data[[#This Row],[sales_month_1]:[sales_month_12]])</f>
        <v>6146</v>
      </c>
      <c r="T29" s="3">
        <f t="shared" si="0"/>
        <v>205823.15000000002</v>
      </c>
      <c r="U29" s="3">
        <f t="shared" si="1"/>
        <v>101484.05</v>
      </c>
      <c r="V29" s="3">
        <f t="shared" si="12"/>
        <v>166371.55000000002</v>
      </c>
      <c r="W29" s="3">
        <f t="shared" si="13"/>
        <v>144828.9</v>
      </c>
      <c r="X29" s="3">
        <f t="shared" si="14"/>
        <v>69299.850000000006</v>
      </c>
      <c r="Y29" s="3">
        <f t="shared" si="15"/>
        <v>221136.6</v>
      </c>
      <c r="Z29" s="3">
        <f t="shared" si="16"/>
        <v>48795.4</v>
      </c>
      <c r="AA29" s="3">
        <f t="shared" si="17"/>
        <v>140676.1</v>
      </c>
      <c r="AB29" s="3">
        <f t="shared" si="18"/>
        <v>34520.15</v>
      </c>
      <c r="AC29" s="3">
        <f t="shared" si="19"/>
        <v>210495.05000000002</v>
      </c>
      <c r="AD29" s="3">
        <f t="shared" si="20"/>
        <v>169486.15</v>
      </c>
      <c r="AE29" s="3">
        <f t="shared" si="21"/>
        <v>82277.350000000006</v>
      </c>
      <c r="AF29" s="3">
        <f>SUM(ecommerce_sales_all_data[[#This Row],[revenue_month_1]:[revenue_month_12]])</f>
        <v>1595194.3</v>
      </c>
    </row>
    <row r="30" spans="1:32" x14ac:dyDescent="0.3">
      <c r="A30">
        <v>29</v>
      </c>
      <c r="B30" t="s">
        <v>53</v>
      </c>
      <c r="C30" t="s">
        <v>26</v>
      </c>
      <c r="D30" s="2">
        <v>298.25</v>
      </c>
      <c r="E30">
        <v>2.2999999999999998</v>
      </c>
      <c r="F30">
        <v>196</v>
      </c>
      <c r="G30" s="1">
        <v>112</v>
      </c>
      <c r="H30" s="1">
        <v>217</v>
      </c>
      <c r="I30" s="1">
        <v>30</v>
      </c>
      <c r="J30" s="1">
        <v>987</v>
      </c>
      <c r="K30" s="1">
        <v>548</v>
      </c>
      <c r="L30" s="1">
        <v>56</v>
      </c>
      <c r="M30" s="1">
        <v>414</v>
      </c>
      <c r="N30" s="1">
        <v>983</v>
      </c>
      <c r="O30" s="1">
        <v>320</v>
      </c>
      <c r="P30" s="1">
        <v>981</v>
      </c>
      <c r="Q30" s="1">
        <v>834</v>
      </c>
      <c r="R30" s="1">
        <v>112</v>
      </c>
      <c r="S30" s="1">
        <f>SUM(ecommerce_sales_all_data[[#This Row],[sales_month_1]:[sales_month_12]])</f>
        <v>5594</v>
      </c>
      <c r="T30" s="3">
        <f t="shared" si="0"/>
        <v>33404</v>
      </c>
      <c r="U30" s="3">
        <f t="shared" si="1"/>
        <v>64720.25</v>
      </c>
      <c r="V30" s="3">
        <f t="shared" si="12"/>
        <v>8947.5</v>
      </c>
      <c r="W30" s="3">
        <f t="shared" si="13"/>
        <v>294372.75</v>
      </c>
      <c r="X30" s="3">
        <f t="shared" si="14"/>
        <v>163441</v>
      </c>
      <c r="Y30" s="3">
        <f t="shared" si="15"/>
        <v>16702</v>
      </c>
      <c r="Z30" s="3">
        <f t="shared" si="16"/>
        <v>123475.5</v>
      </c>
      <c r="AA30" s="3">
        <f t="shared" si="17"/>
        <v>293179.75</v>
      </c>
      <c r="AB30" s="3">
        <f t="shared" si="18"/>
        <v>95440</v>
      </c>
      <c r="AC30" s="3">
        <f t="shared" si="19"/>
        <v>292583.25</v>
      </c>
      <c r="AD30" s="3">
        <f t="shared" si="20"/>
        <v>248740.5</v>
      </c>
      <c r="AE30" s="3">
        <f t="shared" si="21"/>
        <v>33404</v>
      </c>
      <c r="AF30" s="3">
        <f>SUM(ecommerce_sales_all_data[[#This Row],[revenue_month_1]:[revenue_month_12]])</f>
        <v>1668410.5</v>
      </c>
    </row>
    <row r="31" spans="1:32" x14ac:dyDescent="0.3">
      <c r="A31">
        <v>30</v>
      </c>
      <c r="B31" t="s">
        <v>54</v>
      </c>
      <c r="C31" t="s">
        <v>26</v>
      </c>
      <c r="D31" s="2">
        <v>27.99</v>
      </c>
      <c r="E31">
        <v>4.3</v>
      </c>
      <c r="F31">
        <v>690</v>
      </c>
      <c r="G31" s="1">
        <v>487</v>
      </c>
      <c r="H31" s="1">
        <v>573</v>
      </c>
      <c r="I31" s="1">
        <v>374</v>
      </c>
      <c r="J31" s="1">
        <v>180</v>
      </c>
      <c r="K31" s="1">
        <v>73</v>
      </c>
      <c r="L31" s="1">
        <v>381</v>
      </c>
      <c r="M31" s="1">
        <v>9</v>
      </c>
      <c r="N31" s="1">
        <v>314</v>
      </c>
      <c r="O31" s="1">
        <v>389</v>
      </c>
      <c r="P31" s="1">
        <v>919</v>
      </c>
      <c r="Q31" s="1">
        <v>22</v>
      </c>
      <c r="R31" s="1">
        <v>900</v>
      </c>
      <c r="S31" s="1">
        <f>SUM(ecommerce_sales_all_data[[#This Row],[sales_month_1]:[sales_month_12]])</f>
        <v>4621</v>
      </c>
      <c r="T31" s="3">
        <f t="shared" si="0"/>
        <v>13631.13</v>
      </c>
      <c r="U31" s="3">
        <f t="shared" si="1"/>
        <v>16038.269999999999</v>
      </c>
      <c r="V31" s="3">
        <f t="shared" si="12"/>
        <v>10468.26</v>
      </c>
      <c r="W31" s="3">
        <f t="shared" si="13"/>
        <v>5038.2</v>
      </c>
      <c r="X31" s="3">
        <f t="shared" si="14"/>
        <v>2043.27</v>
      </c>
      <c r="Y31" s="3">
        <f t="shared" si="15"/>
        <v>10664.189999999999</v>
      </c>
      <c r="Z31" s="3">
        <f t="shared" si="16"/>
        <v>251.91</v>
      </c>
      <c r="AA31" s="3">
        <f t="shared" si="17"/>
        <v>8788.8599999999988</v>
      </c>
      <c r="AB31" s="3">
        <f t="shared" si="18"/>
        <v>10888.109999999999</v>
      </c>
      <c r="AC31" s="3">
        <f t="shared" si="19"/>
        <v>25722.809999999998</v>
      </c>
      <c r="AD31" s="3">
        <f t="shared" si="20"/>
        <v>615.78</v>
      </c>
      <c r="AE31" s="3">
        <f t="shared" si="21"/>
        <v>25191</v>
      </c>
      <c r="AF31" s="3">
        <f>SUM(ecommerce_sales_all_data[[#This Row],[revenue_month_1]:[revenue_month_12]])</f>
        <v>129341.79</v>
      </c>
    </row>
    <row r="32" spans="1:32" x14ac:dyDescent="0.3">
      <c r="A32">
        <v>31</v>
      </c>
      <c r="B32" t="s">
        <v>55</v>
      </c>
      <c r="C32" t="s">
        <v>35</v>
      </c>
      <c r="D32" s="2">
        <v>305.73</v>
      </c>
      <c r="E32">
        <v>1.1000000000000001</v>
      </c>
      <c r="F32">
        <v>929</v>
      </c>
      <c r="G32" s="1">
        <v>326</v>
      </c>
      <c r="H32" s="1">
        <v>668</v>
      </c>
      <c r="I32" s="1">
        <v>10</v>
      </c>
      <c r="J32" s="1">
        <v>617</v>
      </c>
      <c r="K32" s="1">
        <v>507</v>
      </c>
      <c r="L32" s="1">
        <v>38</v>
      </c>
      <c r="M32" s="1">
        <v>113</v>
      </c>
      <c r="N32" s="1">
        <v>990</v>
      </c>
      <c r="O32" s="1">
        <v>433</v>
      </c>
      <c r="P32" s="1">
        <v>434</v>
      </c>
      <c r="Q32" s="1">
        <v>998</v>
      </c>
      <c r="R32" s="1">
        <v>377</v>
      </c>
      <c r="S32" s="1">
        <f>SUM(ecommerce_sales_all_data[[#This Row],[sales_month_1]:[sales_month_12]])</f>
        <v>5511</v>
      </c>
      <c r="T32" s="3">
        <f t="shared" si="0"/>
        <v>99667.98000000001</v>
      </c>
      <c r="U32" s="3">
        <f t="shared" si="1"/>
        <v>204227.64</v>
      </c>
      <c r="V32" s="3">
        <f t="shared" si="12"/>
        <v>3057.3</v>
      </c>
      <c r="W32" s="3">
        <f t="shared" si="13"/>
        <v>188635.41</v>
      </c>
      <c r="X32" s="3">
        <f t="shared" si="14"/>
        <v>155005.11000000002</v>
      </c>
      <c r="Y32" s="3">
        <f t="shared" si="15"/>
        <v>11617.740000000002</v>
      </c>
      <c r="Z32" s="3">
        <f t="shared" si="16"/>
        <v>34547.490000000005</v>
      </c>
      <c r="AA32" s="3">
        <f t="shared" si="17"/>
        <v>302672.7</v>
      </c>
      <c r="AB32" s="3">
        <f t="shared" si="18"/>
        <v>132381.09</v>
      </c>
      <c r="AC32" s="3">
        <f t="shared" si="19"/>
        <v>132686.82</v>
      </c>
      <c r="AD32" s="3">
        <f t="shared" si="20"/>
        <v>305118.54000000004</v>
      </c>
      <c r="AE32" s="3">
        <f t="shared" si="21"/>
        <v>115260.21</v>
      </c>
      <c r="AF32" s="3">
        <f>SUM(ecommerce_sales_all_data[[#This Row],[revenue_month_1]:[revenue_month_12]])</f>
        <v>1684878.03</v>
      </c>
    </row>
    <row r="33" spans="1:32" x14ac:dyDescent="0.3">
      <c r="A33">
        <v>32</v>
      </c>
      <c r="B33" t="s">
        <v>56</v>
      </c>
      <c r="C33" t="s">
        <v>19</v>
      </c>
      <c r="D33" s="2">
        <v>89.41</v>
      </c>
      <c r="E33">
        <v>3.4</v>
      </c>
      <c r="F33">
        <v>987</v>
      </c>
      <c r="G33" s="1">
        <v>541</v>
      </c>
      <c r="H33" s="1">
        <v>201</v>
      </c>
      <c r="I33" s="1">
        <v>987</v>
      </c>
      <c r="J33" s="1">
        <v>710</v>
      </c>
      <c r="K33" s="1">
        <v>72</v>
      </c>
      <c r="L33" s="1">
        <v>983</v>
      </c>
      <c r="M33" s="1">
        <v>75</v>
      </c>
      <c r="N33" s="1">
        <v>796</v>
      </c>
      <c r="O33" s="1">
        <v>21</v>
      </c>
      <c r="P33" s="1">
        <v>441</v>
      </c>
      <c r="Q33" s="1">
        <v>605</v>
      </c>
      <c r="R33" s="1">
        <v>453</v>
      </c>
      <c r="S33" s="1">
        <f>SUM(ecommerce_sales_all_data[[#This Row],[sales_month_1]:[sales_month_12]])</f>
        <v>5885</v>
      </c>
      <c r="T33" s="3">
        <f t="shared" si="0"/>
        <v>48370.81</v>
      </c>
      <c r="U33" s="3">
        <f t="shared" si="1"/>
        <v>17971.41</v>
      </c>
      <c r="V33" s="3">
        <f t="shared" si="12"/>
        <v>88247.67</v>
      </c>
      <c r="W33" s="3">
        <f t="shared" si="13"/>
        <v>63481.1</v>
      </c>
      <c r="X33" s="3">
        <f t="shared" si="14"/>
        <v>6437.5199999999995</v>
      </c>
      <c r="Y33" s="3">
        <f t="shared" si="15"/>
        <v>87890.03</v>
      </c>
      <c r="Z33" s="3">
        <f t="shared" si="16"/>
        <v>6705.75</v>
      </c>
      <c r="AA33" s="3">
        <f t="shared" si="17"/>
        <v>71170.36</v>
      </c>
      <c r="AB33" s="3">
        <f t="shared" si="18"/>
        <v>1877.61</v>
      </c>
      <c r="AC33" s="3">
        <f t="shared" si="19"/>
        <v>39429.81</v>
      </c>
      <c r="AD33" s="3">
        <f t="shared" si="20"/>
        <v>54093.049999999996</v>
      </c>
      <c r="AE33" s="3">
        <f t="shared" si="21"/>
        <v>40502.729999999996</v>
      </c>
      <c r="AF33" s="3">
        <f>SUM(ecommerce_sales_all_data[[#This Row],[revenue_month_1]:[revenue_month_12]])</f>
        <v>526177.85</v>
      </c>
    </row>
    <row r="34" spans="1:32" x14ac:dyDescent="0.3">
      <c r="A34">
        <v>33</v>
      </c>
      <c r="B34" t="s">
        <v>57</v>
      </c>
      <c r="C34" t="s">
        <v>19</v>
      </c>
      <c r="D34" s="2">
        <v>37.200000000000003</v>
      </c>
      <c r="E34">
        <v>1.9</v>
      </c>
      <c r="F34">
        <v>519</v>
      </c>
      <c r="G34" s="1">
        <v>646</v>
      </c>
      <c r="H34" s="1">
        <v>16</v>
      </c>
      <c r="I34" s="1">
        <v>301</v>
      </c>
      <c r="J34" s="1">
        <v>385</v>
      </c>
      <c r="K34" s="1">
        <v>307</v>
      </c>
      <c r="L34" s="1">
        <v>800</v>
      </c>
      <c r="M34" s="1">
        <v>675</v>
      </c>
      <c r="N34" s="1">
        <v>617</v>
      </c>
      <c r="O34" s="1">
        <v>872</v>
      </c>
      <c r="P34" s="1">
        <v>217</v>
      </c>
      <c r="Q34" s="1">
        <v>753</v>
      </c>
      <c r="R34" s="1">
        <v>190</v>
      </c>
      <c r="S34" s="1">
        <f>SUM(ecommerce_sales_all_data[[#This Row],[sales_month_1]:[sales_month_12]])</f>
        <v>5779</v>
      </c>
      <c r="T34" s="3">
        <f t="shared" si="0"/>
        <v>24031.200000000001</v>
      </c>
      <c r="U34" s="3">
        <f t="shared" si="1"/>
        <v>595.20000000000005</v>
      </c>
      <c r="V34" s="3">
        <f t="shared" si="12"/>
        <v>11197.2</v>
      </c>
      <c r="W34" s="3">
        <f t="shared" si="13"/>
        <v>14322.000000000002</v>
      </c>
      <c r="X34" s="3">
        <f t="shared" si="14"/>
        <v>11420.400000000001</v>
      </c>
      <c r="Y34" s="3">
        <f t="shared" si="15"/>
        <v>29760.000000000004</v>
      </c>
      <c r="Z34" s="3">
        <f t="shared" si="16"/>
        <v>25110.000000000004</v>
      </c>
      <c r="AA34" s="3">
        <f t="shared" si="17"/>
        <v>22952.400000000001</v>
      </c>
      <c r="AB34" s="3">
        <f t="shared" si="18"/>
        <v>32438.400000000001</v>
      </c>
      <c r="AC34" s="3">
        <f t="shared" si="19"/>
        <v>8072.4000000000005</v>
      </c>
      <c r="AD34" s="3">
        <f t="shared" si="20"/>
        <v>28011.600000000002</v>
      </c>
      <c r="AE34" s="3">
        <f t="shared" si="21"/>
        <v>7068.0000000000009</v>
      </c>
      <c r="AF34" s="3">
        <f>SUM(ecommerce_sales_all_data[[#This Row],[revenue_month_1]:[revenue_month_12]])</f>
        <v>214978.80000000002</v>
      </c>
    </row>
    <row r="35" spans="1:32" x14ac:dyDescent="0.3">
      <c r="A35">
        <v>34</v>
      </c>
      <c r="B35" t="s">
        <v>58</v>
      </c>
      <c r="C35" t="s">
        <v>23</v>
      </c>
      <c r="D35" s="2">
        <v>474.7</v>
      </c>
      <c r="E35">
        <v>1.5</v>
      </c>
      <c r="F35">
        <v>70</v>
      </c>
      <c r="G35" s="1">
        <v>578</v>
      </c>
      <c r="H35" s="1">
        <v>321</v>
      </c>
      <c r="I35" s="1">
        <v>95</v>
      </c>
      <c r="J35" s="1">
        <v>617</v>
      </c>
      <c r="K35" s="1">
        <v>198</v>
      </c>
      <c r="L35" s="1">
        <v>442</v>
      </c>
      <c r="M35" s="1">
        <v>501</v>
      </c>
      <c r="N35" s="1">
        <v>735</v>
      </c>
      <c r="O35" s="1">
        <v>599</v>
      </c>
      <c r="P35" s="1">
        <v>221</v>
      </c>
      <c r="Q35" s="1">
        <v>236</v>
      </c>
      <c r="R35" s="1">
        <v>890</v>
      </c>
      <c r="S35" s="1">
        <f>SUM(ecommerce_sales_all_data[[#This Row],[sales_month_1]:[sales_month_12]])</f>
        <v>5433</v>
      </c>
      <c r="T35" s="3">
        <f t="shared" si="0"/>
        <v>274376.59999999998</v>
      </c>
      <c r="U35" s="3">
        <f t="shared" si="1"/>
        <v>152378.69999999998</v>
      </c>
      <c r="V35" s="3">
        <f t="shared" si="12"/>
        <v>45096.5</v>
      </c>
      <c r="W35" s="3">
        <f t="shared" si="13"/>
        <v>292889.89999999997</v>
      </c>
      <c r="X35" s="3">
        <f t="shared" si="14"/>
        <v>93990.599999999991</v>
      </c>
      <c r="Y35" s="3">
        <f t="shared" si="15"/>
        <v>209817.4</v>
      </c>
      <c r="Z35" s="3">
        <f t="shared" si="16"/>
        <v>237824.69999999998</v>
      </c>
      <c r="AA35" s="3">
        <f t="shared" si="17"/>
        <v>348904.5</v>
      </c>
      <c r="AB35" s="3">
        <f t="shared" si="18"/>
        <v>284345.3</v>
      </c>
      <c r="AC35" s="3">
        <f t="shared" si="19"/>
        <v>104908.7</v>
      </c>
      <c r="AD35" s="3">
        <f t="shared" si="20"/>
        <v>112029.2</v>
      </c>
      <c r="AE35" s="3">
        <f t="shared" si="21"/>
        <v>422483</v>
      </c>
      <c r="AF35" s="3">
        <f>SUM(ecommerce_sales_all_data[[#This Row],[revenue_month_1]:[revenue_month_12]])</f>
        <v>2579045.1</v>
      </c>
    </row>
    <row r="36" spans="1:32" x14ac:dyDescent="0.3">
      <c r="A36">
        <v>35</v>
      </c>
      <c r="B36" t="s">
        <v>59</v>
      </c>
      <c r="C36" t="s">
        <v>19</v>
      </c>
      <c r="D36" s="2">
        <v>482.99</v>
      </c>
      <c r="E36">
        <v>1.3</v>
      </c>
      <c r="F36">
        <v>639</v>
      </c>
      <c r="G36" s="1">
        <v>64</v>
      </c>
      <c r="H36" s="1">
        <v>517</v>
      </c>
      <c r="I36" s="1">
        <v>189</v>
      </c>
      <c r="J36" s="1">
        <v>791</v>
      </c>
      <c r="K36" s="1">
        <v>129</v>
      </c>
      <c r="L36" s="1">
        <v>17</v>
      </c>
      <c r="M36" s="1">
        <v>84</v>
      </c>
      <c r="N36" s="1">
        <v>272</v>
      </c>
      <c r="O36" s="1">
        <v>664</v>
      </c>
      <c r="P36" s="1">
        <v>672</v>
      </c>
      <c r="Q36" s="1">
        <v>956</v>
      </c>
      <c r="R36" s="1">
        <v>439</v>
      </c>
      <c r="S36" s="1">
        <f>SUM(ecommerce_sales_all_data[[#This Row],[sales_month_1]:[sales_month_12]])</f>
        <v>4794</v>
      </c>
      <c r="T36" s="3">
        <f t="shared" si="0"/>
        <v>30911.360000000001</v>
      </c>
      <c r="U36" s="3">
        <f t="shared" si="1"/>
        <v>249705.83000000002</v>
      </c>
      <c r="V36" s="3">
        <f t="shared" si="12"/>
        <v>91285.11</v>
      </c>
      <c r="W36" s="3">
        <f t="shared" si="13"/>
        <v>382045.09</v>
      </c>
      <c r="X36" s="3">
        <f t="shared" si="14"/>
        <v>62305.71</v>
      </c>
      <c r="Y36" s="3">
        <f t="shared" si="15"/>
        <v>8210.83</v>
      </c>
      <c r="Z36" s="3">
        <f t="shared" si="16"/>
        <v>40571.160000000003</v>
      </c>
      <c r="AA36" s="3">
        <f t="shared" si="17"/>
        <v>131373.28</v>
      </c>
      <c r="AB36" s="3">
        <f t="shared" si="18"/>
        <v>320705.36</v>
      </c>
      <c r="AC36" s="3">
        <f t="shared" si="19"/>
        <v>324569.28000000003</v>
      </c>
      <c r="AD36" s="3">
        <f t="shared" si="20"/>
        <v>461738.44</v>
      </c>
      <c r="AE36" s="3">
        <f t="shared" si="21"/>
        <v>212032.61000000002</v>
      </c>
      <c r="AF36" s="3">
        <f>SUM(ecommerce_sales_all_data[[#This Row],[revenue_month_1]:[revenue_month_12]])</f>
        <v>2315454.06</v>
      </c>
    </row>
    <row r="37" spans="1:32" x14ac:dyDescent="0.3">
      <c r="A37">
        <v>36</v>
      </c>
      <c r="B37" t="s">
        <v>60</v>
      </c>
      <c r="C37" t="s">
        <v>21</v>
      </c>
      <c r="D37" s="2">
        <v>405.16</v>
      </c>
      <c r="E37">
        <v>3.8</v>
      </c>
      <c r="F37">
        <v>399</v>
      </c>
      <c r="G37" s="1">
        <v>291</v>
      </c>
      <c r="H37" s="1">
        <v>569</v>
      </c>
      <c r="I37" s="1">
        <v>452</v>
      </c>
      <c r="J37" s="1">
        <v>771</v>
      </c>
      <c r="K37" s="1">
        <v>757</v>
      </c>
      <c r="L37" s="1">
        <v>951</v>
      </c>
      <c r="M37" s="1">
        <v>48</v>
      </c>
      <c r="N37" s="1">
        <v>909</v>
      </c>
      <c r="O37" s="1">
        <v>124</v>
      </c>
      <c r="P37" s="1">
        <v>527</v>
      </c>
      <c r="Q37" s="1">
        <v>918</v>
      </c>
      <c r="R37" s="1">
        <v>186</v>
      </c>
      <c r="S37" s="1">
        <f>SUM(ecommerce_sales_all_data[[#This Row],[sales_month_1]:[sales_month_12]])</f>
        <v>6503</v>
      </c>
      <c r="T37" s="3">
        <f t="shared" si="0"/>
        <v>117901.56000000001</v>
      </c>
      <c r="U37" s="3">
        <f t="shared" si="1"/>
        <v>230536.04</v>
      </c>
      <c r="V37" s="3">
        <f t="shared" si="12"/>
        <v>183132.32</v>
      </c>
      <c r="W37" s="3">
        <f t="shared" si="13"/>
        <v>312378.36000000004</v>
      </c>
      <c r="X37" s="3">
        <f t="shared" si="14"/>
        <v>306706.12</v>
      </c>
      <c r="Y37" s="3">
        <f t="shared" si="15"/>
        <v>385307.16000000003</v>
      </c>
      <c r="Z37" s="3">
        <f t="shared" si="16"/>
        <v>19447.68</v>
      </c>
      <c r="AA37" s="3">
        <f t="shared" si="17"/>
        <v>368290.44</v>
      </c>
      <c r="AB37" s="3">
        <f t="shared" si="18"/>
        <v>50239.840000000004</v>
      </c>
      <c r="AC37" s="3">
        <f t="shared" si="19"/>
        <v>213519.32</v>
      </c>
      <c r="AD37" s="3">
        <f t="shared" si="20"/>
        <v>371936.88</v>
      </c>
      <c r="AE37" s="3">
        <f t="shared" si="21"/>
        <v>75359.760000000009</v>
      </c>
      <c r="AF37" s="3">
        <f>SUM(ecommerce_sales_all_data[[#This Row],[revenue_month_1]:[revenue_month_12]])</f>
        <v>2634755.4799999995</v>
      </c>
    </row>
    <row r="38" spans="1:32" x14ac:dyDescent="0.3">
      <c r="A38">
        <v>37</v>
      </c>
      <c r="B38" t="s">
        <v>61</v>
      </c>
      <c r="C38" t="s">
        <v>21</v>
      </c>
      <c r="D38" s="2">
        <v>155.78</v>
      </c>
      <c r="E38">
        <v>2.4</v>
      </c>
      <c r="F38">
        <v>978</v>
      </c>
      <c r="G38" s="1">
        <v>24</v>
      </c>
      <c r="H38" s="1">
        <v>324</v>
      </c>
      <c r="I38" s="1">
        <v>191</v>
      </c>
      <c r="J38" s="1">
        <v>107</v>
      </c>
      <c r="K38" s="1">
        <v>823</v>
      </c>
      <c r="L38" s="1">
        <v>731</v>
      </c>
      <c r="M38" s="1">
        <v>494</v>
      </c>
      <c r="N38" s="1">
        <v>231</v>
      </c>
      <c r="O38" s="1">
        <v>78</v>
      </c>
      <c r="P38" s="1">
        <v>277</v>
      </c>
      <c r="Q38" s="1">
        <v>922</v>
      </c>
      <c r="R38" s="1">
        <v>830</v>
      </c>
      <c r="S38" s="1">
        <f>SUM(ecommerce_sales_all_data[[#This Row],[sales_month_1]:[sales_month_12]])</f>
        <v>5032</v>
      </c>
      <c r="T38" s="3">
        <f t="shared" si="0"/>
        <v>3738.7200000000003</v>
      </c>
      <c r="U38" s="3">
        <f t="shared" si="1"/>
        <v>50472.72</v>
      </c>
      <c r="V38" s="3">
        <f t="shared" si="12"/>
        <v>29753.98</v>
      </c>
      <c r="W38" s="3">
        <f t="shared" si="13"/>
        <v>16668.46</v>
      </c>
      <c r="X38" s="3">
        <f t="shared" si="14"/>
        <v>128206.94</v>
      </c>
      <c r="Y38" s="3">
        <f t="shared" si="15"/>
        <v>113875.18000000001</v>
      </c>
      <c r="Z38" s="3">
        <f t="shared" si="16"/>
        <v>76955.320000000007</v>
      </c>
      <c r="AA38" s="3">
        <f t="shared" si="17"/>
        <v>35985.18</v>
      </c>
      <c r="AB38" s="3">
        <f t="shared" si="18"/>
        <v>12150.84</v>
      </c>
      <c r="AC38" s="3">
        <f t="shared" si="19"/>
        <v>43151.06</v>
      </c>
      <c r="AD38" s="3">
        <f t="shared" si="20"/>
        <v>143629.16</v>
      </c>
      <c r="AE38" s="3">
        <f t="shared" si="21"/>
        <v>129297.4</v>
      </c>
      <c r="AF38" s="3">
        <f>SUM(ecommerce_sales_all_data[[#This Row],[revenue_month_1]:[revenue_month_12]])</f>
        <v>783884.96000000008</v>
      </c>
    </row>
    <row r="39" spans="1:32" x14ac:dyDescent="0.3">
      <c r="A39">
        <v>38</v>
      </c>
      <c r="B39" t="s">
        <v>62</v>
      </c>
      <c r="C39" t="s">
        <v>48</v>
      </c>
      <c r="D39" s="2">
        <v>53.35</v>
      </c>
      <c r="E39">
        <v>3.9</v>
      </c>
      <c r="F39">
        <v>672</v>
      </c>
      <c r="G39" s="1">
        <v>548</v>
      </c>
      <c r="H39" s="1">
        <v>411</v>
      </c>
      <c r="I39" s="1">
        <v>485</v>
      </c>
      <c r="J39" s="1">
        <v>530</v>
      </c>
      <c r="K39" s="1">
        <v>571</v>
      </c>
      <c r="L39" s="1">
        <v>824</v>
      </c>
      <c r="M39" s="1">
        <v>837</v>
      </c>
      <c r="N39" s="1">
        <v>419</v>
      </c>
      <c r="O39" s="1">
        <v>857</v>
      </c>
      <c r="P39" s="1">
        <v>568</v>
      </c>
      <c r="Q39" s="1">
        <v>565</v>
      </c>
      <c r="R39" s="1">
        <v>366</v>
      </c>
      <c r="S39" s="1">
        <f>SUM(ecommerce_sales_all_data[[#This Row],[sales_month_1]:[sales_month_12]])</f>
        <v>6981</v>
      </c>
      <c r="T39" s="3">
        <f t="shared" si="0"/>
        <v>29235.8</v>
      </c>
      <c r="U39" s="3">
        <f t="shared" si="1"/>
        <v>21926.850000000002</v>
      </c>
      <c r="V39" s="3">
        <f t="shared" si="12"/>
        <v>25874.75</v>
      </c>
      <c r="W39" s="3">
        <f t="shared" si="13"/>
        <v>28275.5</v>
      </c>
      <c r="X39" s="3">
        <f t="shared" si="14"/>
        <v>30462.850000000002</v>
      </c>
      <c r="Y39" s="3">
        <f t="shared" si="15"/>
        <v>43960.4</v>
      </c>
      <c r="Z39" s="3">
        <f t="shared" si="16"/>
        <v>44653.950000000004</v>
      </c>
      <c r="AA39" s="3">
        <f t="shared" si="17"/>
        <v>22353.65</v>
      </c>
      <c r="AB39" s="3">
        <f t="shared" si="18"/>
        <v>45720.950000000004</v>
      </c>
      <c r="AC39" s="3">
        <f t="shared" si="19"/>
        <v>30302.799999999999</v>
      </c>
      <c r="AD39" s="3">
        <f t="shared" si="20"/>
        <v>30142.75</v>
      </c>
      <c r="AE39" s="3">
        <f t="shared" si="21"/>
        <v>19526.100000000002</v>
      </c>
      <c r="AF39" s="3">
        <f>SUM(ecommerce_sales_all_data[[#This Row],[revenue_month_1]:[revenue_month_12]])</f>
        <v>372436.35</v>
      </c>
    </row>
    <row r="40" spans="1:32" x14ac:dyDescent="0.3">
      <c r="A40">
        <v>39</v>
      </c>
      <c r="B40" t="s">
        <v>63</v>
      </c>
      <c r="C40" t="s">
        <v>21</v>
      </c>
      <c r="D40" s="2">
        <v>343.7</v>
      </c>
      <c r="E40">
        <v>1.3</v>
      </c>
      <c r="F40">
        <v>760</v>
      </c>
      <c r="G40" s="1">
        <v>0</v>
      </c>
      <c r="H40" s="1">
        <v>317</v>
      </c>
      <c r="I40" s="1">
        <v>265</v>
      </c>
      <c r="J40" s="1">
        <v>409</v>
      </c>
      <c r="K40" s="1">
        <v>790</v>
      </c>
      <c r="L40" s="1">
        <v>755</v>
      </c>
      <c r="M40" s="1">
        <v>688</v>
      </c>
      <c r="N40" s="1">
        <v>767</v>
      </c>
      <c r="O40" s="1">
        <v>967</v>
      </c>
      <c r="P40" s="1">
        <v>573</v>
      </c>
      <c r="Q40" s="1">
        <v>137</v>
      </c>
      <c r="R40" s="1">
        <v>88</v>
      </c>
      <c r="S40" s="1">
        <f>SUM(ecommerce_sales_all_data[[#This Row],[sales_month_1]:[sales_month_12]])</f>
        <v>5756</v>
      </c>
      <c r="T40" s="3">
        <f t="shared" si="0"/>
        <v>0</v>
      </c>
      <c r="U40" s="3">
        <f t="shared" si="1"/>
        <v>108952.9</v>
      </c>
      <c r="V40" s="3">
        <f t="shared" si="12"/>
        <v>91080.5</v>
      </c>
      <c r="W40" s="3">
        <f t="shared" si="13"/>
        <v>140573.29999999999</v>
      </c>
      <c r="X40" s="3">
        <f t="shared" si="14"/>
        <v>271523</v>
      </c>
      <c r="Y40" s="3">
        <f t="shared" si="15"/>
        <v>259493.5</v>
      </c>
      <c r="Z40" s="3">
        <f t="shared" si="16"/>
        <v>236465.6</v>
      </c>
      <c r="AA40" s="3">
        <f t="shared" si="17"/>
        <v>263617.89999999997</v>
      </c>
      <c r="AB40" s="3">
        <f t="shared" si="18"/>
        <v>332357.89999999997</v>
      </c>
      <c r="AC40" s="3">
        <f t="shared" si="19"/>
        <v>196940.1</v>
      </c>
      <c r="AD40" s="3">
        <f t="shared" si="20"/>
        <v>47086.9</v>
      </c>
      <c r="AE40" s="3">
        <f t="shared" si="21"/>
        <v>30245.599999999999</v>
      </c>
      <c r="AF40" s="3">
        <f>SUM(ecommerce_sales_all_data[[#This Row],[revenue_month_1]:[revenue_month_12]])</f>
        <v>1978337.2</v>
      </c>
    </row>
    <row r="41" spans="1:32" x14ac:dyDescent="0.3">
      <c r="A41">
        <v>40</v>
      </c>
      <c r="B41" t="s">
        <v>64</v>
      </c>
      <c r="C41" t="s">
        <v>21</v>
      </c>
      <c r="D41" s="2">
        <v>222.88</v>
      </c>
      <c r="E41">
        <v>2.2999999999999998</v>
      </c>
      <c r="F41">
        <v>203</v>
      </c>
      <c r="G41" s="1">
        <v>910</v>
      </c>
      <c r="H41" s="1">
        <v>680</v>
      </c>
      <c r="I41" s="1">
        <v>423</v>
      </c>
      <c r="J41" s="1">
        <v>970</v>
      </c>
      <c r="K41" s="1">
        <v>614</v>
      </c>
      <c r="L41" s="1">
        <v>351</v>
      </c>
      <c r="M41" s="1">
        <v>386</v>
      </c>
      <c r="N41" s="1">
        <v>441</v>
      </c>
      <c r="O41" s="1">
        <v>50</v>
      </c>
      <c r="P41" s="1">
        <v>874</v>
      </c>
      <c r="Q41" s="1">
        <v>472</v>
      </c>
      <c r="R41" s="1">
        <v>186</v>
      </c>
      <c r="S41" s="1">
        <f>SUM(ecommerce_sales_all_data[[#This Row],[sales_month_1]:[sales_month_12]])</f>
        <v>6357</v>
      </c>
      <c r="T41" s="3">
        <f t="shared" si="0"/>
        <v>202820.8</v>
      </c>
      <c r="U41" s="3">
        <f t="shared" si="1"/>
        <v>151558.39999999999</v>
      </c>
      <c r="V41" s="3">
        <f t="shared" si="12"/>
        <v>94278.24</v>
      </c>
      <c r="W41" s="3">
        <f t="shared" si="13"/>
        <v>216193.6</v>
      </c>
      <c r="X41" s="3">
        <f t="shared" si="14"/>
        <v>136848.32000000001</v>
      </c>
      <c r="Y41" s="3">
        <f t="shared" si="15"/>
        <v>78230.880000000005</v>
      </c>
      <c r="Z41" s="3">
        <f t="shared" si="16"/>
        <v>86031.679999999993</v>
      </c>
      <c r="AA41" s="3">
        <f t="shared" si="17"/>
        <v>98290.08</v>
      </c>
      <c r="AB41" s="3">
        <f t="shared" si="18"/>
        <v>11144</v>
      </c>
      <c r="AC41" s="3">
        <f t="shared" si="19"/>
        <v>194797.12</v>
      </c>
      <c r="AD41" s="3">
        <f t="shared" si="20"/>
        <v>105199.36</v>
      </c>
      <c r="AE41" s="3">
        <f t="shared" si="21"/>
        <v>41455.68</v>
      </c>
      <c r="AF41" s="3">
        <f>SUM(ecommerce_sales_all_data[[#This Row],[revenue_month_1]:[revenue_month_12]])</f>
        <v>1416848.1600000001</v>
      </c>
    </row>
    <row r="42" spans="1:32" x14ac:dyDescent="0.3">
      <c r="A42">
        <v>41</v>
      </c>
      <c r="B42" t="s">
        <v>65</v>
      </c>
      <c r="C42" t="s">
        <v>23</v>
      </c>
      <c r="D42" s="2">
        <v>65.41</v>
      </c>
      <c r="E42">
        <v>3.2</v>
      </c>
      <c r="F42">
        <v>148</v>
      </c>
      <c r="G42" s="1">
        <v>548</v>
      </c>
      <c r="H42" s="1">
        <v>964</v>
      </c>
      <c r="I42" s="1">
        <v>127</v>
      </c>
      <c r="J42" s="1">
        <v>295</v>
      </c>
      <c r="K42" s="1">
        <v>807</v>
      </c>
      <c r="L42" s="1">
        <v>971</v>
      </c>
      <c r="M42" s="1">
        <v>969</v>
      </c>
      <c r="N42" s="1">
        <v>495</v>
      </c>
      <c r="O42" s="1">
        <v>727</v>
      </c>
      <c r="P42" s="1">
        <v>465</v>
      </c>
      <c r="Q42" s="1">
        <v>844</v>
      </c>
      <c r="R42" s="1">
        <v>818</v>
      </c>
      <c r="S42" s="1">
        <f>SUM(ecommerce_sales_all_data[[#This Row],[sales_month_1]:[sales_month_12]])</f>
        <v>8030</v>
      </c>
      <c r="T42" s="3">
        <f t="shared" si="0"/>
        <v>35844.68</v>
      </c>
      <c r="U42" s="3">
        <f t="shared" si="1"/>
        <v>63055.24</v>
      </c>
      <c r="V42" s="3">
        <f t="shared" si="12"/>
        <v>8307.07</v>
      </c>
      <c r="W42" s="3">
        <f t="shared" si="13"/>
        <v>19295.95</v>
      </c>
      <c r="X42" s="3">
        <f t="shared" si="14"/>
        <v>52785.869999999995</v>
      </c>
      <c r="Y42" s="3">
        <f t="shared" si="15"/>
        <v>63513.109999999993</v>
      </c>
      <c r="Z42" s="3">
        <f t="shared" si="16"/>
        <v>63382.289999999994</v>
      </c>
      <c r="AA42" s="3">
        <f t="shared" si="17"/>
        <v>32377.949999999997</v>
      </c>
      <c r="AB42" s="3">
        <f t="shared" si="18"/>
        <v>47553.07</v>
      </c>
      <c r="AC42" s="3">
        <f t="shared" si="19"/>
        <v>30415.649999999998</v>
      </c>
      <c r="AD42" s="3">
        <f t="shared" si="20"/>
        <v>55206.039999999994</v>
      </c>
      <c r="AE42" s="3">
        <f t="shared" si="21"/>
        <v>53505.38</v>
      </c>
      <c r="AF42" s="3">
        <f>SUM(ecommerce_sales_all_data[[#This Row],[revenue_month_1]:[revenue_month_12]])</f>
        <v>525242.29999999993</v>
      </c>
    </row>
    <row r="43" spans="1:32" x14ac:dyDescent="0.3">
      <c r="A43">
        <v>42</v>
      </c>
      <c r="B43" t="s">
        <v>66</v>
      </c>
      <c r="C43" t="s">
        <v>26</v>
      </c>
      <c r="D43" s="2">
        <v>250.11</v>
      </c>
      <c r="E43">
        <v>4.2</v>
      </c>
      <c r="F43">
        <v>472</v>
      </c>
      <c r="G43" s="1">
        <v>140</v>
      </c>
      <c r="H43" s="1">
        <v>81</v>
      </c>
      <c r="I43" s="1">
        <v>237</v>
      </c>
      <c r="J43" s="1">
        <v>817</v>
      </c>
      <c r="K43" s="1">
        <v>831</v>
      </c>
      <c r="L43" s="1">
        <v>815</v>
      </c>
      <c r="M43" s="1">
        <v>388</v>
      </c>
      <c r="N43" s="1">
        <v>23</v>
      </c>
      <c r="O43" s="1">
        <v>175</v>
      </c>
      <c r="P43" s="1">
        <v>838</v>
      </c>
      <c r="Q43" s="1">
        <v>783</v>
      </c>
      <c r="R43" s="1">
        <v>945</v>
      </c>
      <c r="S43" s="1">
        <f>SUM(ecommerce_sales_all_data[[#This Row],[sales_month_1]:[sales_month_12]])</f>
        <v>6073</v>
      </c>
      <c r="T43" s="3">
        <f t="shared" si="0"/>
        <v>35015.4</v>
      </c>
      <c r="U43" s="3">
        <f t="shared" si="1"/>
        <v>20258.91</v>
      </c>
      <c r="V43" s="3">
        <f t="shared" si="12"/>
        <v>59276.07</v>
      </c>
      <c r="W43" s="3">
        <f t="shared" si="13"/>
        <v>204339.87000000002</v>
      </c>
      <c r="X43" s="3">
        <f t="shared" si="14"/>
        <v>207841.41</v>
      </c>
      <c r="Y43" s="3">
        <f t="shared" si="15"/>
        <v>203839.65000000002</v>
      </c>
      <c r="Z43" s="3">
        <f t="shared" si="16"/>
        <v>97042.680000000008</v>
      </c>
      <c r="AA43" s="3">
        <f t="shared" si="17"/>
        <v>5752.5300000000007</v>
      </c>
      <c r="AB43" s="3">
        <f t="shared" si="18"/>
        <v>43769.25</v>
      </c>
      <c r="AC43" s="3">
        <f t="shared" si="19"/>
        <v>209592.18000000002</v>
      </c>
      <c r="AD43" s="3">
        <f t="shared" si="20"/>
        <v>195836.13</v>
      </c>
      <c r="AE43" s="3">
        <f t="shared" si="21"/>
        <v>236353.95</v>
      </c>
      <c r="AF43" s="3">
        <f>SUM(ecommerce_sales_all_data[[#This Row],[revenue_month_1]:[revenue_month_12]])</f>
        <v>1518918.03</v>
      </c>
    </row>
    <row r="44" spans="1:32" x14ac:dyDescent="0.3">
      <c r="A44">
        <v>43</v>
      </c>
      <c r="B44" t="s">
        <v>67</v>
      </c>
      <c r="C44" t="s">
        <v>21</v>
      </c>
      <c r="D44" s="2">
        <v>22.02</v>
      </c>
      <c r="E44">
        <v>2.2999999999999998</v>
      </c>
      <c r="F44">
        <v>655</v>
      </c>
      <c r="G44" s="1">
        <v>743</v>
      </c>
      <c r="H44" s="1">
        <v>473</v>
      </c>
      <c r="I44" s="1">
        <v>919</v>
      </c>
      <c r="J44" s="1">
        <v>170</v>
      </c>
      <c r="K44" s="1">
        <v>486</v>
      </c>
      <c r="L44" s="1">
        <v>297</v>
      </c>
      <c r="M44" s="1">
        <v>217</v>
      </c>
      <c r="N44" s="1">
        <v>108</v>
      </c>
      <c r="O44" s="1">
        <v>869</v>
      </c>
      <c r="P44" s="1">
        <v>753</v>
      </c>
      <c r="Q44" s="1">
        <v>552</v>
      </c>
      <c r="R44" s="1">
        <v>131</v>
      </c>
      <c r="S44" s="1">
        <f>SUM(ecommerce_sales_all_data[[#This Row],[sales_month_1]:[sales_month_12]])</f>
        <v>5718</v>
      </c>
      <c r="T44" s="3">
        <f t="shared" si="0"/>
        <v>16360.86</v>
      </c>
      <c r="U44" s="3">
        <f t="shared" si="1"/>
        <v>10415.459999999999</v>
      </c>
      <c r="V44" s="3">
        <f t="shared" si="12"/>
        <v>20236.38</v>
      </c>
      <c r="W44" s="3">
        <f t="shared" si="13"/>
        <v>3743.4</v>
      </c>
      <c r="X44" s="3">
        <f t="shared" si="14"/>
        <v>10701.72</v>
      </c>
      <c r="Y44" s="3">
        <f t="shared" si="15"/>
        <v>6539.94</v>
      </c>
      <c r="Z44" s="3">
        <f t="shared" si="16"/>
        <v>4778.34</v>
      </c>
      <c r="AA44" s="3">
        <f t="shared" si="17"/>
        <v>2378.16</v>
      </c>
      <c r="AB44" s="3">
        <f t="shared" si="18"/>
        <v>19135.38</v>
      </c>
      <c r="AC44" s="3">
        <f t="shared" si="19"/>
        <v>16581.060000000001</v>
      </c>
      <c r="AD44" s="3">
        <f t="shared" si="20"/>
        <v>12155.039999999999</v>
      </c>
      <c r="AE44" s="3">
        <f t="shared" si="21"/>
        <v>2884.62</v>
      </c>
      <c r="AF44" s="3">
        <f>SUM(ecommerce_sales_all_data[[#This Row],[revenue_month_1]:[revenue_month_12]])</f>
        <v>125910.35999999999</v>
      </c>
    </row>
    <row r="45" spans="1:32" x14ac:dyDescent="0.3">
      <c r="A45">
        <v>44</v>
      </c>
      <c r="B45" t="s">
        <v>68</v>
      </c>
      <c r="C45" t="s">
        <v>48</v>
      </c>
      <c r="D45" s="2">
        <v>455.11</v>
      </c>
      <c r="E45">
        <v>3.5</v>
      </c>
      <c r="F45">
        <v>944</v>
      </c>
      <c r="G45" s="1">
        <v>647</v>
      </c>
      <c r="H45" s="1">
        <v>467</v>
      </c>
      <c r="I45" s="1">
        <v>354</v>
      </c>
      <c r="J45" s="1">
        <v>330</v>
      </c>
      <c r="K45" s="1">
        <v>852</v>
      </c>
      <c r="L45" s="1">
        <v>282</v>
      </c>
      <c r="M45" s="1">
        <v>700</v>
      </c>
      <c r="N45" s="1">
        <v>702</v>
      </c>
      <c r="O45" s="1">
        <v>252</v>
      </c>
      <c r="P45" s="1">
        <v>601</v>
      </c>
      <c r="Q45" s="1">
        <v>609</v>
      </c>
      <c r="R45" s="1">
        <v>871</v>
      </c>
      <c r="S45" s="1">
        <f>SUM(ecommerce_sales_all_data[[#This Row],[sales_month_1]:[sales_month_12]])</f>
        <v>6667</v>
      </c>
      <c r="T45" s="3">
        <f t="shared" si="0"/>
        <v>294456.17</v>
      </c>
      <c r="U45" s="3">
        <f t="shared" si="1"/>
        <v>212536.37</v>
      </c>
      <c r="V45" s="3">
        <f t="shared" si="12"/>
        <v>161108.94</v>
      </c>
      <c r="W45" s="3">
        <f t="shared" si="13"/>
        <v>150186.30000000002</v>
      </c>
      <c r="X45" s="3">
        <f t="shared" si="14"/>
        <v>387753.72000000003</v>
      </c>
      <c r="Y45" s="3">
        <f t="shared" si="15"/>
        <v>128341.02</v>
      </c>
      <c r="Z45" s="3">
        <f t="shared" si="16"/>
        <v>318577</v>
      </c>
      <c r="AA45" s="3">
        <f t="shared" si="17"/>
        <v>319487.22000000003</v>
      </c>
      <c r="AB45" s="3">
        <f t="shared" si="18"/>
        <v>114687.72</v>
      </c>
      <c r="AC45" s="3">
        <f t="shared" si="19"/>
        <v>273521.11</v>
      </c>
      <c r="AD45" s="3">
        <f t="shared" si="20"/>
        <v>277161.99</v>
      </c>
      <c r="AE45" s="3">
        <f t="shared" si="21"/>
        <v>396400.81</v>
      </c>
      <c r="AF45" s="3">
        <f>SUM(ecommerce_sales_all_data[[#This Row],[revenue_month_1]:[revenue_month_12]])</f>
        <v>3034218.3699999996</v>
      </c>
    </row>
    <row r="46" spans="1:32" x14ac:dyDescent="0.3">
      <c r="A46">
        <v>45</v>
      </c>
      <c r="B46" t="s">
        <v>69</v>
      </c>
      <c r="C46" t="s">
        <v>19</v>
      </c>
      <c r="D46" s="2">
        <v>133.1</v>
      </c>
      <c r="E46">
        <v>4.5</v>
      </c>
      <c r="F46">
        <v>199</v>
      </c>
      <c r="G46" s="1">
        <v>900</v>
      </c>
      <c r="H46" s="1">
        <v>424</v>
      </c>
      <c r="I46" s="1">
        <v>939</v>
      </c>
      <c r="J46" s="1">
        <v>492</v>
      </c>
      <c r="K46" s="1">
        <v>150</v>
      </c>
      <c r="L46" s="1">
        <v>585</v>
      </c>
      <c r="M46" s="1">
        <v>980</v>
      </c>
      <c r="N46" s="1">
        <v>501</v>
      </c>
      <c r="O46" s="1">
        <v>965</v>
      </c>
      <c r="P46" s="1">
        <v>583</v>
      </c>
      <c r="Q46" s="1">
        <v>694</v>
      </c>
      <c r="R46" s="1">
        <v>634</v>
      </c>
      <c r="S46" s="1">
        <f>SUM(ecommerce_sales_all_data[[#This Row],[sales_month_1]:[sales_month_12]])</f>
        <v>7847</v>
      </c>
      <c r="T46" s="3">
        <f t="shared" si="0"/>
        <v>119790</v>
      </c>
      <c r="U46" s="3">
        <f t="shared" si="1"/>
        <v>56434.399999999994</v>
      </c>
      <c r="V46" s="3">
        <f t="shared" si="12"/>
        <v>124980.9</v>
      </c>
      <c r="W46" s="3">
        <f t="shared" si="13"/>
        <v>65485.2</v>
      </c>
      <c r="X46" s="3">
        <f t="shared" si="14"/>
        <v>19965</v>
      </c>
      <c r="Y46" s="3">
        <f t="shared" si="15"/>
        <v>77863.5</v>
      </c>
      <c r="Z46" s="3">
        <f t="shared" si="16"/>
        <v>130438</v>
      </c>
      <c r="AA46" s="3">
        <f t="shared" si="17"/>
        <v>66683.099999999991</v>
      </c>
      <c r="AB46" s="3">
        <f t="shared" si="18"/>
        <v>128441.5</v>
      </c>
      <c r="AC46" s="3">
        <f t="shared" si="19"/>
        <v>77597.3</v>
      </c>
      <c r="AD46" s="3">
        <f t="shared" si="20"/>
        <v>92371.4</v>
      </c>
      <c r="AE46" s="3">
        <f t="shared" si="21"/>
        <v>84385.4</v>
      </c>
      <c r="AF46" s="3">
        <f>SUM(ecommerce_sales_all_data[[#This Row],[revenue_month_1]:[revenue_month_12]])</f>
        <v>1044435.7000000001</v>
      </c>
    </row>
    <row r="47" spans="1:32" x14ac:dyDescent="0.3">
      <c r="A47">
        <v>46</v>
      </c>
      <c r="B47" t="s">
        <v>70</v>
      </c>
      <c r="C47" t="s">
        <v>21</v>
      </c>
      <c r="D47" s="2">
        <v>332.95</v>
      </c>
      <c r="E47">
        <v>3.5</v>
      </c>
      <c r="F47">
        <v>917</v>
      </c>
      <c r="G47" s="1">
        <v>187</v>
      </c>
      <c r="H47" s="1">
        <v>944</v>
      </c>
      <c r="I47" s="1">
        <v>111</v>
      </c>
      <c r="J47" s="1">
        <v>194</v>
      </c>
      <c r="K47" s="1">
        <v>668</v>
      </c>
      <c r="L47" s="1">
        <v>109</v>
      </c>
      <c r="M47" s="1">
        <v>345</v>
      </c>
      <c r="N47" s="1">
        <v>858</v>
      </c>
      <c r="O47" s="1">
        <v>245</v>
      </c>
      <c r="P47" s="1">
        <v>837</v>
      </c>
      <c r="Q47" s="1">
        <v>639</v>
      </c>
      <c r="R47" s="1">
        <v>559</v>
      </c>
      <c r="S47" s="1">
        <f>SUM(ecommerce_sales_all_data[[#This Row],[sales_month_1]:[sales_month_12]])</f>
        <v>5696</v>
      </c>
      <c r="T47" s="3">
        <f t="shared" si="0"/>
        <v>62261.65</v>
      </c>
      <c r="U47" s="3">
        <f t="shared" si="1"/>
        <v>314304.8</v>
      </c>
      <c r="V47" s="3">
        <f t="shared" si="12"/>
        <v>36957.449999999997</v>
      </c>
      <c r="W47" s="3">
        <f t="shared" si="13"/>
        <v>64592.299999999996</v>
      </c>
      <c r="X47" s="3">
        <f t="shared" si="14"/>
        <v>222410.6</v>
      </c>
      <c r="Y47" s="3">
        <f t="shared" si="15"/>
        <v>36291.549999999996</v>
      </c>
      <c r="Z47" s="3">
        <f t="shared" si="16"/>
        <v>114867.75</v>
      </c>
      <c r="AA47" s="3">
        <f t="shared" si="17"/>
        <v>285671.09999999998</v>
      </c>
      <c r="AB47" s="3">
        <f t="shared" si="18"/>
        <v>81572.75</v>
      </c>
      <c r="AC47" s="3">
        <f t="shared" si="19"/>
        <v>278679.14999999997</v>
      </c>
      <c r="AD47" s="3">
        <f t="shared" si="20"/>
        <v>212755.05</v>
      </c>
      <c r="AE47" s="3">
        <f t="shared" si="21"/>
        <v>186119.05</v>
      </c>
      <c r="AF47" s="3">
        <f>SUM(ecommerce_sales_all_data[[#This Row],[revenue_month_1]:[revenue_month_12]])</f>
        <v>1896483.2000000002</v>
      </c>
    </row>
    <row r="48" spans="1:32" x14ac:dyDescent="0.3">
      <c r="A48">
        <v>47</v>
      </c>
      <c r="B48" t="s">
        <v>71</v>
      </c>
      <c r="C48" t="s">
        <v>48</v>
      </c>
      <c r="D48" s="2">
        <v>159.30000000000001</v>
      </c>
      <c r="E48">
        <v>1.9</v>
      </c>
      <c r="F48">
        <v>426</v>
      </c>
      <c r="G48" s="1">
        <v>127</v>
      </c>
      <c r="H48" s="1">
        <v>730</v>
      </c>
      <c r="I48" s="1">
        <v>827</v>
      </c>
      <c r="J48" s="1">
        <v>11</v>
      </c>
      <c r="K48" s="1">
        <v>205</v>
      </c>
      <c r="L48" s="1">
        <v>179</v>
      </c>
      <c r="M48" s="1">
        <v>229</v>
      </c>
      <c r="N48" s="1">
        <v>24</v>
      </c>
      <c r="O48" s="1">
        <v>738</v>
      </c>
      <c r="P48" s="1">
        <v>29</v>
      </c>
      <c r="Q48" s="1">
        <v>228</v>
      </c>
      <c r="R48" s="1">
        <v>799</v>
      </c>
      <c r="S48" s="1">
        <f>SUM(ecommerce_sales_all_data[[#This Row],[sales_month_1]:[sales_month_12]])</f>
        <v>4126</v>
      </c>
      <c r="T48" s="3">
        <f t="shared" si="0"/>
        <v>20231.100000000002</v>
      </c>
      <c r="U48" s="3">
        <f t="shared" si="1"/>
        <v>116289.00000000001</v>
      </c>
      <c r="V48" s="3">
        <f t="shared" si="12"/>
        <v>131741.1</v>
      </c>
      <c r="W48" s="3">
        <f t="shared" si="13"/>
        <v>1752.3000000000002</v>
      </c>
      <c r="X48" s="3">
        <f t="shared" si="14"/>
        <v>32656.500000000004</v>
      </c>
      <c r="Y48" s="3">
        <f t="shared" si="15"/>
        <v>28514.7</v>
      </c>
      <c r="Z48" s="3">
        <f t="shared" si="16"/>
        <v>36479.700000000004</v>
      </c>
      <c r="AA48" s="3">
        <f t="shared" si="17"/>
        <v>3823.2000000000003</v>
      </c>
      <c r="AB48" s="3">
        <f t="shared" si="18"/>
        <v>117563.40000000001</v>
      </c>
      <c r="AC48" s="3">
        <f t="shared" si="19"/>
        <v>4619.7000000000007</v>
      </c>
      <c r="AD48" s="3">
        <f t="shared" si="20"/>
        <v>36320.400000000001</v>
      </c>
      <c r="AE48" s="3">
        <f t="shared" si="21"/>
        <v>127280.70000000001</v>
      </c>
      <c r="AF48" s="3">
        <f>SUM(ecommerce_sales_all_data[[#This Row],[revenue_month_1]:[revenue_month_12]])</f>
        <v>657271.80000000005</v>
      </c>
    </row>
    <row r="49" spans="1:32" x14ac:dyDescent="0.3">
      <c r="A49">
        <v>48</v>
      </c>
      <c r="B49" t="s">
        <v>72</v>
      </c>
      <c r="C49" t="s">
        <v>23</v>
      </c>
      <c r="D49" s="2">
        <v>262.43</v>
      </c>
      <c r="E49">
        <v>1.1000000000000001</v>
      </c>
      <c r="F49">
        <v>666</v>
      </c>
      <c r="G49" s="1">
        <v>200</v>
      </c>
      <c r="H49" s="1">
        <v>688</v>
      </c>
      <c r="I49" s="1">
        <v>445</v>
      </c>
      <c r="J49" s="1">
        <v>194</v>
      </c>
      <c r="K49" s="1">
        <v>985</v>
      </c>
      <c r="L49" s="1">
        <v>937</v>
      </c>
      <c r="M49" s="1">
        <v>254</v>
      </c>
      <c r="N49" s="1">
        <v>186</v>
      </c>
      <c r="O49" s="1">
        <v>105</v>
      </c>
      <c r="P49" s="1">
        <v>358</v>
      </c>
      <c r="Q49" s="1">
        <v>316</v>
      </c>
      <c r="R49" s="1">
        <v>375</v>
      </c>
      <c r="S49" s="1">
        <f>SUM(ecommerce_sales_all_data[[#This Row],[sales_month_1]:[sales_month_12]])</f>
        <v>5043</v>
      </c>
      <c r="T49" s="3">
        <f t="shared" si="0"/>
        <v>52486</v>
      </c>
      <c r="U49" s="3">
        <f t="shared" si="1"/>
        <v>180551.84</v>
      </c>
      <c r="V49" s="3">
        <f t="shared" si="12"/>
        <v>116781.35</v>
      </c>
      <c r="W49" s="3">
        <f t="shared" si="13"/>
        <v>50911.42</v>
      </c>
      <c r="X49" s="3">
        <f t="shared" si="14"/>
        <v>258493.55000000002</v>
      </c>
      <c r="Y49" s="3">
        <f t="shared" si="15"/>
        <v>245896.91</v>
      </c>
      <c r="Z49" s="3">
        <f t="shared" si="16"/>
        <v>66657.22</v>
      </c>
      <c r="AA49" s="3">
        <f t="shared" si="17"/>
        <v>48811.98</v>
      </c>
      <c r="AB49" s="3">
        <f t="shared" si="18"/>
        <v>27555.15</v>
      </c>
      <c r="AC49" s="3">
        <f t="shared" si="19"/>
        <v>93949.94</v>
      </c>
      <c r="AD49" s="3">
        <f t="shared" si="20"/>
        <v>82927.88</v>
      </c>
      <c r="AE49" s="3">
        <f t="shared" si="21"/>
        <v>98411.25</v>
      </c>
      <c r="AF49" s="3">
        <f>SUM(ecommerce_sales_all_data[[#This Row],[revenue_month_1]:[revenue_month_12]])</f>
        <v>1323434.4900000002</v>
      </c>
    </row>
    <row r="50" spans="1:32" x14ac:dyDescent="0.3">
      <c r="A50">
        <v>49</v>
      </c>
      <c r="B50" t="s">
        <v>73</v>
      </c>
      <c r="C50" t="s">
        <v>35</v>
      </c>
      <c r="D50" s="2">
        <v>275.62</v>
      </c>
      <c r="E50">
        <v>4.5</v>
      </c>
      <c r="F50">
        <v>492</v>
      </c>
      <c r="G50" s="1">
        <v>126</v>
      </c>
      <c r="H50" s="1">
        <v>203</v>
      </c>
      <c r="I50" s="1">
        <v>342</v>
      </c>
      <c r="J50" s="1">
        <v>489</v>
      </c>
      <c r="K50" s="1">
        <v>178</v>
      </c>
      <c r="L50" s="1">
        <v>543</v>
      </c>
      <c r="M50" s="1">
        <v>235</v>
      </c>
      <c r="N50" s="1">
        <v>287</v>
      </c>
      <c r="O50" s="1">
        <v>192</v>
      </c>
      <c r="P50" s="1">
        <v>918</v>
      </c>
      <c r="Q50" s="1">
        <v>597</v>
      </c>
      <c r="R50" s="1">
        <v>690</v>
      </c>
      <c r="S50" s="1">
        <f>SUM(ecommerce_sales_all_data[[#This Row],[sales_month_1]:[sales_month_12]])</f>
        <v>4800</v>
      </c>
      <c r="T50" s="3">
        <f t="shared" si="0"/>
        <v>34728.120000000003</v>
      </c>
      <c r="U50" s="3">
        <f t="shared" si="1"/>
        <v>55950.86</v>
      </c>
      <c r="V50" s="3">
        <f t="shared" si="12"/>
        <v>94262.040000000008</v>
      </c>
      <c r="W50" s="3">
        <f t="shared" si="13"/>
        <v>134778.18</v>
      </c>
      <c r="X50" s="3">
        <f t="shared" si="14"/>
        <v>49060.36</v>
      </c>
      <c r="Y50" s="3">
        <f t="shared" si="15"/>
        <v>149661.66</v>
      </c>
      <c r="Z50" s="3">
        <f t="shared" si="16"/>
        <v>64770.700000000004</v>
      </c>
      <c r="AA50" s="3">
        <f t="shared" si="17"/>
        <v>79102.94</v>
      </c>
      <c r="AB50" s="3">
        <f t="shared" si="18"/>
        <v>52919.040000000001</v>
      </c>
      <c r="AC50" s="3">
        <f t="shared" si="19"/>
        <v>253019.16</v>
      </c>
      <c r="AD50" s="3">
        <f t="shared" si="20"/>
        <v>164545.14000000001</v>
      </c>
      <c r="AE50" s="3">
        <f t="shared" si="21"/>
        <v>190177.80000000002</v>
      </c>
      <c r="AF50" s="3">
        <f>SUM(ecommerce_sales_all_data[[#This Row],[revenue_month_1]:[revenue_month_12]])</f>
        <v>1322976</v>
      </c>
    </row>
    <row r="51" spans="1:32" x14ac:dyDescent="0.3">
      <c r="A51">
        <v>50</v>
      </c>
      <c r="B51" t="s">
        <v>74</v>
      </c>
      <c r="C51" t="s">
        <v>35</v>
      </c>
      <c r="D51" s="2">
        <v>96.5</v>
      </c>
      <c r="E51">
        <v>1.1000000000000001</v>
      </c>
      <c r="F51">
        <v>888</v>
      </c>
      <c r="G51" s="1">
        <v>256</v>
      </c>
      <c r="H51" s="1">
        <v>582</v>
      </c>
      <c r="I51" s="1">
        <v>144</v>
      </c>
      <c r="J51" s="1">
        <v>794</v>
      </c>
      <c r="K51" s="1">
        <v>196</v>
      </c>
      <c r="L51" s="1">
        <v>745</v>
      </c>
      <c r="M51" s="1">
        <v>25</v>
      </c>
      <c r="N51" s="1">
        <v>627</v>
      </c>
      <c r="O51" s="1">
        <v>315</v>
      </c>
      <c r="P51" s="1">
        <v>287</v>
      </c>
      <c r="Q51" s="1">
        <v>767</v>
      </c>
      <c r="R51" s="1">
        <v>691</v>
      </c>
      <c r="S51" s="1">
        <f>SUM(ecommerce_sales_all_data[[#This Row],[sales_month_1]:[sales_month_12]])</f>
        <v>5429</v>
      </c>
      <c r="T51" s="3">
        <f t="shared" si="0"/>
        <v>24704</v>
      </c>
      <c r="U51" s="3">
        <f t="shared" si="1"/>
        <v>56163</v>
      </c>
      <c r="V51" s="3">
        <f t="shared" si="12"/>
        <v>13896</v>
      </c>
      <c r="W51" s="3">
        <f t="shared" si="13"/>
        <v>76621</v>
      </c>
      <c r="X51" s="3">
        <f t="shared" si="14"/>
        <v>18914</v>
      </c>
      <c r="Y51" s="3">
        <f t="shared" si="15"/>
        <v>71892.5</v>
      </c>
      <c r="Z51" s="3">
        <f t="shared" si="16"/>
        <v>2412.5</v>
      </c>
      <c r="AA51" s="3">
        <f t="shared" si="17"/>
        <v>60505.5</v>
      </c>
      <c r="AB51" s="3">
        <f t="shared" si="18"/>
        <v>30397.5</v>
      </c>
      <c r="AC51" s="3">
        <f t="shared" si="19"/>
        <v>27695.5</v>
      </c>
      <c r="AD51" s="3">
        <f t="shared" si="20"/>
        <v>74015.5</v>
      </c>
      <c r="AE51" s="3">
        <f t="shared" si="21"/>
        <v>66681.5</v>
      </c>
      <c r="AF51" s="3">
        <f>SUM(ecommerce_sales_all_data[[#This Row],[revenue_month_1]:[revenue_month_12]])</f>
        <v>523898.5</v>
      </c>
    </row>
    <row r="52" spans="1:32" x14ac:dyDescent="0.3">
      <c r="A52">
        <v>51</v>
      </c>
      <c r="B52" t="s">
        <v>75</v>
      </c>
      <c r="C52" t="s">
        <v>35</v>
      </c>
      <c r="D52" s="2">
        <v>484.94</v>
      </c>
      <c r="E52">
        <v>4.5</v>
      </c>
      <c r="F52">
        <v>896</v>
      </c>
      <c r="G52" s="1">
        <v>675</v>
      </c>
      <c r="H52" s="1">
        <v>386</v>
      </c>
      <c r="I52" s="1">
        <v>64</v>
      </c>
      <c r="J52" s="1">
        <v>880</v>
      </c>
      <c r="K52" s="1">
        <v>734</v>
      </c>
      <c r="L52" s="1">
        <v>793</v>
      </c>
      <c r="M52" s="1">
        <v>583</v>
      </c>
      <c r="N52" s="1">
        <v>337</v>
      </c>
      <c r="O52" s="1">
        <v>301</v>
      </c>
      <c r="P52" s="1">
        <v>85</v>
      </c>
      <c r="Q52" s="1">
        <v>720</v>
      </c>
      <c r="R52" s="1">
        <v>98</v>
      </c>
      <c r="S52" s="1">
        <f>SUM(ecommerce_sales_all_data[[#This Row],[sales_month_1]:[sales_month_12]])</f>
        <v>5656</v>
      </c>
      <c r="T52" s="3">
        <f t="shared" si="0"/>
        <v>327334.5</v>
      </c>
      <c r="U52" s="3">
        <f t="shared" si="1"/>
        <v>187186.84</v>
      </c>
      <c r="V52" s="3">
        <f t="shared" si="12"/>
        <v>31036.16</v>
      </c>
      <c r="W52" s="3">
        <f t="shared" si="13"/>
        <v>426747.2</v>
      </c>
      <c r="X52" s="3">
        <f t="shared" si="14"/>
        <v>355945.96</v>
      </c>
      <c r="Y52" s="3">
        <f t="shared" si="15"/>
        <v>384557.42</v>
      </c>
      <c r="Z52" s="3">
        <f t="shared" si="16"/>
        <v>282720.02</v>
      </c>
      <c r="AA52" s="3">
        <f t="shared" si="17"/>
        <v>163424.78</v>
      </c>
      <c r="AB52" s="3">
        <f t="shared" si="18"/>
        <v>145966.94</v>
      </c>
      <c r="AC52" s="3">
        <f t="shared" si="19"/>
        <v>41219.9</v>
      </c>
      <c r="AD52" s="3">
        <f t="shared" si="20"/>
        <v>349156.8</v>
      </c>
      <c r="AE52" s="3">
        <f t="shared" si="21"/>
        <v>47524.12</v>
      </c>
      <c r="AF52" s="3">
        <f>SUM(ecommerce_sales_all_data[[#This Row],[revenue_month_1]:[revenue_month_12]])</f>
        <v>2742820.6399999997</v>
      </c>
    </row>
    <row r="53" spans="1:32" x14ac:dyDescent="0.3">
      <c r="A53">
        <v>52</v>
      </c>
      <c r="B53" t="s">
        <v>76</v>
      </c>
      <c r="C53" t="s">
        <v>19</v>
      </c>
      <c r="D53" s="2">
        <v>388.69</v>
      </c>
      <c r="E53">
        <v>3.1</v>
      </c>
      <c r="F53">
        <v>142</v>
      </c>
      <c r="G53" s="1">
        <v>546</v>
      </c>
      <c r="H53" s="1">
        <v>777</v>
      </c>
      <c r="I53" s="1">
        <v>246</v>
      </c>
      <c r="J53" s="1">
        <v>181</v>
      </c>
      <c r="K53" s="1">
        <v>88</v>
      </c>
      <c r="L53" s="1">
        <v>24</v>
      </c>
      <c r="M53" s="1">
        <v>260</v>
      </c>
      <c r="N53" s="1">
        <v>877</v>
      </c>
      <c r="O53" s="1">
        <v>547</v>
      </c>
      <c r="P53" s="1">
        <v>233</v>
      </c>
      <c r="Q53" s="1">
        <v>726</v>
      </c>
      <c r="R53" s="1">
        <v>841</v>
      </c>
      <c r="S53" s="1">
        <f>SUM(ecommerce_sales_all_data[[#This Row],[sales_month_1]:[sales_month_12]])</f>
        <v>5346</v>
      </c>
      <c r="T53" s="3">
        <f t="shared" si="0"/>
        <v>212224.74</v>
      </c>
      <c r="U53" s="3">
        <f t="shared" si="1"/>
        <v>302012.13</v>
      </c>
      <c r="V53" s="3">
        <f t="shared" si="12"/>
        <v>95617.74</v>
      </c>
      <c r="W53" s="3">
        <f t="shared" si="13"/>
        <v>70352.89</v>
      </c>
      <c r="X53" s="3">
        <f t="shared" si="14"/>
        <v>34204.720000000001</v>
      </c>
      <c r="Y53" s="3">
        <f t="shared" si="15"/>
        <v>9328.56</v>
      </c>
      <c r="Z53" s="3">
        <f t="shared" si="16"/>
        <v>101059.4</v>
      </c>
      <c r="AA53" s="3">
        <f t="shared" si="17"/>
        <v>340881.13</v>
      </c>
      <c r="AB53" s="3">
        <f t="shared" si="18"/>
        <v>212613.43</v>
      </c>
      <c r="AC53" s="3">
        <f t="shared" si="19"/>
        <v>90564.77</v>
      </c>
      <c r="AD53" s="3">
        <f t="shared" si="20"/>
        <v>282188.94</v>
      </c>
      <c r="AE53" s="3">
        <f t="shared" si="21"/>
        <v>326888.28999999998</v>
      </c>
      <c r="AF53" s="3">
        <f>SUM(ecommerce_sales_all_data[[#This Row],[revenue_month_1]:[revenue_month_12]])</f>
        <v>2077936.74</v>
      </c>
    </row>
    <row r="54" spans="1:32" x14ac:dyDescent="0.3">
      <c r="A54">
        <v>53</v>
      </c>
      <c r="B54" t="s">
        <v>77</v>
      </c>
      <c r="C54" t="s">
        <v>48</v>
      </c>
      <c r="D54" s="2">
        <v>470.05</v>
      </c>
      <c r="E54">
        <v>4.8</v>
      </c>
      <c r="F54">
        <v>313</v>
      </c>
      <c r="G54" s="1">
        <v>193</v>
      </c>
      <c r="H54" s="1">
        <v>97</v>
      </c>
      <c r="I54" s="1">
        <v>734</v>
      </c>
      <c r="J54" s="1">
        <v>961</v>
      </c>
      <c r="K54" s="1">
        <v>798</v>
      </c>
      <c r="L54" s="1">
        <v>842</v>
      </c>
      <c r="M54" s="1">
        <v>765</v>
      </c>
      <c r="N54" s="1">
        <v>913</v>
      </c>
      <c r="O54" s="1">
        <v>953</v>
      </c>
      <c r="P54" s="1">
        <v>746</v>
      </c>
      <c r="Q54" s="1">
        <v>885</v>
      </c>
      <c r="R54" s="1">
        <v>33</v>
      </c>
      <c r="S54" s="1">
        <f>SUM(ecommerce_sales_all_data[[#This Row],[sales_month_1]:[sales_month_12]])</f>
        <v>7920</v>
      </c>
      <c r="T54" s="3">
        <f t="shared" si="0"/>
        <v>90719.650000000009</v>
      </c>
      <c r="U54" s="3">
        <f t="shared" si="1"/>
        <v>45594.85</v>
      </c>
      <c r="V54" s="3">
        <f t="shared" si="12"/>
        <v>345016.7</v>
      </c>
      <c r="W54" s="3">
        <f t="shared" si="13"/>
        <v>451718.05</v>
      </c>
      <c r="X54" s="3">
        <f t="shared" si="14"/>
        <v>375099.9</v>
      </c>
      <c r="Y54" s="3">
        <f t="shared" si="15"/>
        <v>395782.10000000003</v>
      </c>
      <c r="Z54" s="3">
        <f t="shared" si="16"/>
        <v>359588.25</v>
      </c>
      <c r="AA54" s="3">
        <f t="shared" si="17"/>
        <v>429155.65</v>
      </c>
      <c r="AB54" s="3">
        <f t="shared" si="18"/>
        <v>447957.65</v>
      </c>
      <c r="AC54" s="3">
        <f t="shared" si="19"/>
        <v>350657.3</v>
      </c>
      <c r="AD54" s="3">
        <f t="shared" si="20"/>
        <v>415994.25</v>
      </c>
      <c r="AE54" s="3">
        <f t="shared" si="21"/>
        <v>15511.65</v>
      </c>
      <c r="AF54" s="3">
        <f>SUM(ecommerce_sales_all_data[[#This Row],[revenue_month_1]:[revenue_month_12]])</f>
        <v>3722795.9999999995</v>
      </c>
    </row>
    <row r="55" spans="1:32" x14ac:dyDescent="0.3">
      <c r="A55">
        <v>54</v>
      </c>
      <c r="B55" t="s">
        <v>78</v>
      </c>
      <c r="C55" t="s">
        <v>21</v>
      </c>
      <c r="D55" s="2">
        <v>447.94</v>
      </c>
      <c r="E55">
        <v>4.2</v>
      </c>
      <c r="F55">
        <v>165</v>
      </c>
      <c r="G55" s="1">
        <v>702</v>
      </c>
      <c r="H55" s="1">
        <v>344</v>
      </c>
      <c r="I55" s="1">
        <v>990</v>
      </c>
      <c r="J55" s="1">
        <v>816</v>
      </c>
      <c r="K55" s="1">
        <v>433</v>
      </c>
      <c r="L55" s="1">
        <v>790</v>
      </c>
      <c r="M55" s="1">
        <v>270</v>
      </c>
      <c r="N55" s="1">
        <v>36</v>
      </c>
      <c r="O55" s="1">
        <v>715</v>
      </c>
      <c r="P55" s="1">
        <v>312</v>
      </c>
      <c r="Q55" s="1">
        <v>611</v>
      </c>
      <c r="R55" s="1">
        <v>931</v>
      </c>
      <c r="S55" s="1">
        <f>SUM(ecommerce_sales_all_data[[#This Row],[sales_month_1]:[sales_month_12]])</f>
        <v>6950</v>
      </c>
      <c r="T55" s="3">
        <f t="shared" si="0"/>
        <v>314453.88</v>
      </c>
      <c r="U55" s="3">
        <f t="shared" si="1"/>
        <v>154091.35999999999</v>
      </c>
      <c r="V55" s="3">
        <f t="shared" si="12"/>
        <v>443460.6</v>
      </c>
      <c r="W55" s="3">
        <f t="shared" si="13"/>
        <v>365519.04</v>
      </c>
      <c r="X55" s="3">
        <f t="shared" si="14"/>
        <v>193958.02</v>
      </c>
      <c r="Y55" s="3">
        <f t="shared" si="15"/>
        <v>353872.6</v>
      </c>
      <c r="Z55" s="3">
        <f t="shared" si="16"/>
        <v>120943.8</v>
      </c>
      <c r="AA55" s="3">
        <f t="shared" si="17"/>
        <v>16125.84</v>
      </c>
      <c r="AB55" s="3">
        <f t="shared" si="18"/>
        <v>320277.09999999998</v>
      </c>
      <c r="AC55" s="3">
        <f t="shared" si="19"/>
        <v>139757.28</v>
      </c>
      <c r="AD55" s="3">
        <f t="shared" si="20"/>
        <v>273691.34000000003</v>
      </c>
      <c r="AE55" s="3">
        <f t="shared" si="21"/>
        <v>417032.14</v>
      </c>
      <c r="AF55" s="3">
        <f>SUM(ecommerce_sales_all_data[[#This Row],[revenue_month_1]:[revenue_month_12]])</f>
        <v>3113183</v>
      </c>
    </row>
    <row r="56" spans="1:32" x14ac:dyDescent="0.3">
      <c r="A56">
        <v>55</v>
      </c>
      <c r="B56" t="s">
        <v>79</v>
      </c>
      <c r="C56" t="s">
        <v>26</v>
      </c>
      <c r="D56" s="2">
        <v>300.95999999999998</v>
      </c>
      <c r="E56">
        <v>5</v>
      </c>
      <c r="F56">
        <v>314</v>
      </c>
      <c r="G56" s="1">
        <v>103</v>
      </c>
      <c r="H56" s="1">
        <v>802</v>
      </c>
      <c r="I56" s="1">
        <v>489</v>
      </c>
      <c r="J56" s="1">
        <v>655</v>
      </c>
      <c r="K56" s="1">
        <v>787</v>
      </c>
      <c r="L56" s="1">
        <v>737</v>
      </c>
      <c r="M56" s="1">
        <v>122</v>
      </c>
      <c r="N56" s="1">
        <v>793</v>
      </c>
      <c r="O56" s="1">
        <v>933</v>
      </c>
      <c r="P56" s="1">
        <v>364</v>
      </c>
      <c r="Q56" s="1">
        <v>560</v>
      </c>
      <c r="R56" s="1">
        <v>581</v>
      </c>
      <c r="S56" s="1">
        <f>SUM(ecommerce_sales_all_data[[#This Row],[sales_month_1]:[sales_month_12]])</f>
        <v>6926</v>
      </c>
      <c r="T56" s="3">
        <f t="shared" si="0"/>
        <v>30998.879999999997</v>
      </c>
      <c r="U56" s="3">
        <f t="shared" si="1"/>
        <v>241369.91999999998</v>
      </c>
      <c r="V56" s="3">
        <f t="shared" si="12"/>
        <v>147169.44</v>
      </c>
      <c r="W56" s="3">
        <f t="shared" si="13"/>
        <v>197128.8</v>
      </c>
      <c r="X56" s="3">
        <f t="shared" si="14"/>
        <v>236855.52</v>
      </c>
      <c r="Y56" s="3">
        <f t="shared" si="15"/>
        <v>221807.52</v>
      </c>
      <c r="Z56" s="3">
        <f t="shared" si="16"/>
        <v>36717.119999999995</v>
      </c>
      <c r="AA56" s="3">
        <f t="shared" si="17"/>
        <v>238661.27999999997</v>
      </c>
      <c r="AB56" s="3">
        <f t="shared" si="18"/>
        <v>280795.68</v>
      </c>
      <c r="AC56" s="3">
        <f t="shared" si="19"/>
        <v>109549.43999999999</v>
      </c>
      <c r="AD56" s="3">
        <f t="shared" si="20"/>
        <v>168537.59999999998</v>
      </c>
      <c r="AE56" s="3">
        <f t="shared" si="21"/>
        <v>174857.75999999998</v>
      </c>
      <c r="AF56" s="3">
        <f>SUM(ecommerce_sales_all_data[[#This Row],[revenue_month_1]:[revenue_month_12]])</f>
        <v>2084448.9600000002</v>
      </c>
    </row>
    <row r="57" spans="1:32" x14ac:dyDescent="0.3">
      <c r="A57">
        <v>56</v>
      </c>
      <c r="B57" t="s">
        <v>80</v>
      </c>
      <c r="C57" t="s">
        <v>19</v>
      </c>
      <c r="D57" s="2">
        <v>461.33</v>
      </c>
      <c r="E57">
        <v>2.4</v>
      </c>
      <c r="F57">
        <v>21</v>
      </c>
      <c r="G57" s="1">
        <v>534</v>
      </c>
      <c r="H57" s="1">
        <v>207</v>
      </c>
      <c r="I57" s="1">
        <v>824</v>
      </c>
      <c r="J57" s="1">
        <v>897</v>
      </c>
      <c r="K57" s="1">
        <v>747</v>
      </c>
      <c r="L57" s="1">
        <v>56</v>
      </c>
      <c r="M57" s="1">
        <v>655</v>
      </c>
      <c r="N57" s="1">
        <v>136</v>
      </c>
      <c r="O57" s="1">
        <v>778</v>
      </c>
      <c r="P57" s="1">
        <v>776</v>
      </c>
      <c r="Q57" s="1">
        <v>200</v>
      </c>
      <c r="R57" s="1">
        <v>170</v>
      </c>
      <c r="S57" s="1">
        <f>SUM(ecommerce_sales_all_data[[#This Row],[sales_month_1]:[sales_month_12]])</f>
        <v>5980</v>
      </c>
      <c r="T57" s="3">
        <f t="shared" si="0"/>
        <v>246350.22</v>
      </c>
      <c r="U57" s="3">
        <f t="shared" si="1"/>
        <v>95495.31</v>
      </c>
      <c r="V57" s="3">
        <f t="shared" si="12"/>
        <v>380135.92</v>
      </c>
      <c r="W57" s="3">
        <f t="shared" si="13"/>
        <v>413813.01</v>
      </c>
      <c r="X57" s="3">
        <f t="shared" si="14"/>
        <v>344613.51</v>
      </c>
      <c r="Y57" s="3">
        <f t="shared" si="15"/>
        <v>25834.48</v>
      </c>
      <c r="Z57" s="3">
        <f t="shared" si="16"/>
        <v>302171.14999999997</v>
      </c>
      <c r="AA57" s="3">
        <f t="shared" si="17"/>
        <v>62740.88</v>
      </c>
      <c r="AB57" s="3">
        <f t="shared" si="18"/>
        <v>358914.74</v>
      </c>
      <c r="AC57" s="3">
        <f t="shared" si="19"/>
        <v>357992.08</v>
      </c>
      <c r="AD57" s="3">
        <f t="shared" si="20"/>
        <v>92266</v>
      </c>
      <c r="AE57" s="3">
        <f t="shared" si="21"/>
        <v>78426.099999999991</v>
      </c>
      <c r="AF57" s="3">
        <f>SUM(ecommerce_sales_all_data[[#This Row],[revenue_month_1]:[revenue_month_12]])</f>
        <v>2758753.4</v>
      </c>
    </row>
    <row r="58" spans="1:32" x14ac:dyDescent="0.3">
      <c r="A58">
        <v>57</v>
      </c>
      <c r="B58" t="s">
        <v>81</v>
      </c>
      <c r="C58" t="s">
        <v>19</v>
      </c>
      <c r="D58" s="2">
        <v>48.8</v>
      </c>
      <c r="E58">
        <v>4.0999999999999996</v>
      </c>
      <c r="F58">
        <v>82</v>
      </c>
      <c r="G58" s="1">
        <v>264</v>
      </c>
      <c r="H58" s="1">
        <v>513</v>
      </c>
      <c r="I58" s="1">
        <v>438</v>
      </c>
      <c r="J58" s="1">
        <v>315</v>
      </c>
      <c r="K58" s="1">
        <v>182</v>
      </c>
      <c r="L58" s="1">
        <v>179</v>
      </c>
      <c r="M58" s="1">
        <v>256</v>
      </c>
      <c r="N58" s="1">
        <v>507</v>
      </c>
      <c r="O58" s="1">
        <v>267</v>
      </c>
      <c r="P58" s="1">
        <v>798</v>
      </c>
      <c r="Q58" s="1">
        <v>947</v>
      </c>
      <c r="R58" s="1">
        <v>365</v>
      </c>
      <c r="S58" s="1">
        <f>SUM(ecommerce_sales_all_data[[#This Row],[sales_month_1]:[sales_month_12]])</f>
        <v>5031</v>
      </c>
      <c r="T58" s="3">
        <f t="shared" si="0"/>
        <v>12883.199999999999</v>
      </c>
      <c r="U58" s="3">
        <f t="shared" si="1"/>
        <v>25034.399999999998</v>
      </c>
      <c r="V58" s="3">
        <f t="shared" si="12"/>
        <v>21374.399999999998</v>
      </c>
      <c r="W58" s="3">
        <f t="shared" si="13"/>
        <v>15372</v>
      </c>
      <c r="X58" s="3">
        <f t="shared" si="14"/>
        <v>8881.6</v>
      </c>
      <c r="Y58" s="3">
        <f t="shared" si="15"/>
        <v>8735.1999999999989</v>
      </c>
      <c r="Z58" s="3">
        <f t="shared" si="16"/>
        <v>12492.8</v>
      </c>
      <c r="AA58" s="3">
        <f t="shared" si="17"/>
        <v>24741.599999999999</v>
      </c>
      <c r="AB58" s="3">
        <f t="shared" si="18"/>
        <v>13029.599999999999</v>
      </c>
      <c r="AC58" s="3">
        <f t="shared" si="19"/>
        <v>38942.399999999994</v>
      </c>
      <c r="AD58" s="3">
        <f t="shared" si="20"/>
        <v>46213.599999999999</v>
      </c>
      <c r="AE58" s="3">
        <f t="shared" si="21"/>
        <v>17812</v>
      </c>
      <c r="AF58" s="3">
        <f>SUM(ecommerce_sales_all_data[[#This Row],[revenue_month_1]:[revenue_month_12]])</f>
        <v>245512.80000000002</v>
      </c>
    </row>
    <row r="59" spans="1:32" x14ac:dyDescent="0.3">
      <c r="A59">
        <v>58</v>
      </c>
      <c r="B59" t="s">
        <v>82</v>
      </c>
      <c r="C59" t="s">
        <v>35</v>
      </c>
      <c r="D59" s="2">
        <v>102.01</v>
      </c>
      <c r="E59">
        <v>2.6</v>
      </c>
      <c r="F59">
        <v>581</v>
      </c>
      <c r="G59" s="1">
        <v>801</v>
      </c>
      <c r="H59" s="1">
        <v>635</v>
      </c>
      <c r="I59" s="1">
        <v>105</v>
      </c>
      <c r="J59" s="1">
        <v>693</v>
      </c>
      <c r="K59" s="1">
        <v>208</v>
      </c>
      <c r="L59" s="1">
        <v>231</v>
      </c>
      <c r="M59" s="1">
        <v>655</v>
      </c>
      <c r="N59" s="1">
        <v>226</v>
      </c>
      <c r="O59" s="1">
        <v>169</v>
      </c>
      <c r="P59" s="1">
        <v>838</v>
      </c>
      <c r="Q59" s="1">
        <v>257</v>
      </c>
      <c r="R59" s="1">
        <v>783</v>
      </c>
      <c r="S59" s="1">
        <f>SUM(ecommerce_sales_all_data[[#This Row],[sales_month_1]:[sales_month_12]])</f>
        <v>5601</v>
      </c>
      <c r="T59" s="3">
        <f t="shared" si="0"/>
        <v>81710.010000000009</v>
      </c>
      <c r="U59" s="3">
        <f t="shared" si="1"/>
        <v>64776.350000000006</v>
      </c>
      <c r="V59" s="3">
        <f t="shared" si="12"/>
        <v>10711.050000000001</v>
      </c>
      <c r="W59" s="3">
        <f t="shared" si="13"/>
        <v>70692.930000000008</v>
      </c>
      <c r="X59" s="3">
        <f t="shared" si="14"/>
        <v>21218.080000000002</v>
      </c>
      <c r="Y59" s="3">
        <f t="shared" si="15"/>
        <v>23564.31</v>
      </c>
      <c r="Z59" s="3">
        <f t="shared" si="16"/>
        <v>66816.55</v>
      </c>
      <c r="AA59" s="3">
        <f t="shared" si="17"/>
        <v>23054.260000000002</v>
      </c>
      <c r="AB59" s="3">
        <f t="shared" si="18"/>
        <v>17239.690000000002</v>
      </c>
      <c r="AC59" s="3">
        <f t="shared" si="19"/>
        <v>85484.38</v>
      </c>
      <c r="AD59" s="3">
        <f t="shared" si="20"/>
        <v>26216.57</v>
      </c>
      <c r="AE59" s="3">
        <f t="shared" si="21"/>
        <v>79873.83</v>
      </c>
      <c r="AF59" s="3">
        <f>SUM(ecommerce_sales_all_data[[#This Row],[revenue_month_1]:[revenue_month_12]])</f>
        <v>571358.01</v>
      </c>
    </row>
    <row r="60" spans="1:32" x14ac:dyDescent="0.3">
      <c r="A60">
        <v>59</v>
      </c>
      <c r="B60" t="s">
        <v>83</v>
      </c>
      <c r="C60" t="s">
        <v>26</v>
      </c>
      <c r="D60" s="2">
        <v>27.39</v>
      </c>
      <c r="E60">
        <v>2.9</v>
      </c>
      <c r="F60">
        <v>131</v>
      </c>
      <c r="G60" s="1">
        <v>941</v>
      </c>
      <c r="H60" s="1">
        <v>791</v>
      </c>
      <c r="I60" s="1">
        <v>180</v>
      </c>
      <c r="J60" s="1">
        <v>29</v>
      </c>
      <c r="K60" s="1">
        <v>492</v>
      </c>
      <c r="L60" s="1">
        <v>893</v>
      </c>
      <c r="M60" s="1">
        <v>420</v>
      </c>
      <c r="N60" s="1">
        <v>319</v>
      </c>
      <c r="O60" s="1">
        <v>550</v>
      </c>
      <c r="P60" s="1">
        <v>904</v>
      </c>
      <c r="Q60" s="1">
        <v>479</v>
      </c>
      <c r="R60" s="1">
        <v>58</v>
      </c>
      <c r="S60" s="1">
        <f>SUM(ecommerce_sales_all_data[[#This Row],[sales_month_1]:[sales_month_12]])</f>
        <v>6056</v>
      </c>
      <c r="T60" s="3">
        <f t="shared" si="0"/>
        <v>25773.99</v>
      </c>
      <c r="U60" s="3">
        <f t="shared" si="1"/>
        <v>21665.49</v>
      </c>
      <c r="V60" s="3">
        <f t="shared" si="12"/>
        <v>4930.2</v>
      </c>
      <c r="W60" s="3">
        <f t="shared" si="13"/>
        <v>794.31000000000006</v>
      </c>
      <c r="X60" s="3">
        <f t="shared" si="14"/>
        <v>13475.880000000001</v>
      </c>
      <c r="Y60" s="3">
        <f t="shared" si="15"/>
        <v>24459.27</v>
      </c>
      <c r="Z60" s="3">
        <f t="shared" si="16"/>
        <v>11503.800000000001</v>
      </c>
      <c r="AA60" s="3">
        <f t="shared" si="17"/>
        <v>8737.41</v>
      </c>
      <c r="AB60" s="3">
        <f t="shared" si="18"/>
        <v>15064.5</v>
      </c>
      <c r="AC60" s="3">
        <f t="shared" si="19"/>
        <v>24760.560000000001</v>
      </c>
      <c r="AD60" s="3">
        <f t="shared" si="20"/>
        <v>13119.81</v>
      </c>
      <c r="AE60" s="3">
        <f t="shared" si="21"/>
        <v>1588.6200000000001</v>
      </c>
      <c r="AF60" s="3">
        <f>SUM(ecommerce_sales_all_data[[#This Row],[revenue_month_1]:[revenue_month_12]])</f>
        <v>165873.84</v>
      </c>
    </row>
    <row r="61" spans="1:32" x14ac:dyDescent="0.3">
      <c r="A61">
        <v>60</v>
      </c>
      <c r="B61" t="s">
        <v>84</v>
      </c>
      <c r="C61" t="s">
        <v>35</v>
      </c>
      <c r="D61" s="2">
        <v>166.04</v>
      </c>
      <c r="E61">
        <v>3.5</v>
      </c>
      <c r="F61">
        <v>599</v>
      </c>
      <c r="G61" s="1">
        <v>973</v>
      </c>
      <c r="H61" s="1">
        <v>585</v>
      </c>
      <c r="I61" s="1">
        <v>183</v>
      </c>
      <c r="J61" s="1">
        <v>595</v>
      </c>
      <c r="K61" s="1">
        <v>129</v>
      </c>
      <c r="L61" s="1">
        <v>342</v>
      </c>
      <c r="M61" s="1">
        <v>258</v>
      </c>
      <c r="N61" s="1">
        <v>839</v>
      </c>
      <c r="O61" s="1">
        <v>454</v>
      </c>
      <c r="P61" s="1">
        <v>268</v>
      </c>
      <c r="Q61" s="1">
        <v>887</v>
      </c>
      <c r="R61" s="1">
        <v>180</v>
      </c>
      <c r="S61" s="1">
        <f>SUM(ecommerce_sales_all_data[[#This Row],[sales_month_1]:[sales_month_12]])</f>
        <v>5693</v>
      </c>
      <c r="T61" s="3">
        <f t="shared" si="0"/>
        <v>161556.91999999998</v>
      </c>
      <c r="U61" s="3">
        <f t="shared" si="1"/>
        <v>97133.4</v>
      </c>
      <c r="V61" s="3">
        <f t="shared" si="12"/>
        <v>30385.32</v>
      </c>
      <c r="W61" s="3">
        <f t="shared" si="13"/>
        <v>98793.799999999988</v>
      </c>
      <c r="X61" s="3">
        <f t="shared" si="14"/>
        <v>21419.16</v>
      </c>
      <c r="Y61" s="3">
        <f t="shared" si="15"/>
        <v>56785.68</v>
      </c>
      <c r="Z61" s="3">
        <f t="shared" si="16"/>
        <v>42838.32</v>
      </c>
      <c r="AA61" s="3">
        <f t="shared" si="17"/>
        <v>139307.56</v>
      </c>
      <c r="AB61" s="3">
        <f t="shared" si="18"/>
        <v>75382.16</v>
      </c>
      <c r="AC61" s="3">
        <f t="shared" si="19"/>
        <v>44498.720000000001</v>
      </c>
      <c r="AD61" s="3">
        <f t="shared" si="20"/>
        <v>147277.47999999998</v>
      </c>
      <c r="AE61" s="3">
        <f t="shared" si="21"/>
        <v>29887.199999999997</v>
      </c>
      <c r="AF61" s="3">
        <f>SUM(ecommerce_sales_all_data[[#This Row],[revenue_month_1]:[revenue_month_12]])</f>
        <v>945265.71999999986</v>
      </c>
    </row>
    <row r="62" spans="1:32" x14ac:dyDescent="0.3">
      <c r="A62">
        <v>61</v>
      </c>
      <c r="B62" t="s">
        <v>85</v>
      </c>
      <c r="C62" t="s">
        <v>19</v>
      </c>
      <c r="D62" s="2">
        <v>197.4</v>
      </c>
      <c r="E62">
        <v>4.5</v>
      </c>
      <c r="F62">
        <v>730</v>
      </c>
      <c r="G62" s="1">
        <v>383</v>
      </c>
      <c r="H62" s="1">
        <v>165</v>
      </c>
      <c r="I62" s="1">
        <v>225</v>
      </c>
      <c r="J62" s="1">
        <v>677</v>
      </c>
      <c r="K62" s="1">
        <v>664</v>
      </c>
      <c r="L62" s="1">
        <v>476</v>
      </c>
      <c r="M62" s="1">
        <v>947</v>
      </c>
      <c r="N62" s="1">
        <v>915</v>
      </c>
      <c r="O62" s="1">
        <v>650</v>
      </c>
      <c r="P62" s="1">
        <v>697</v>
      </c>
      <c r="Q62" s="1">
        <v>177</v>
      </c>
      <c r="R62" s="1">
        <v>18</v>
      </c>
      <c r="S62" s="1">
        <f>SUM(ecommerce_sales_all_data[[#This Row],[sales_month_1]:[sales_month_12]])</f>
        <v>5994</v>
      </c>
      <c r="T62" s="3">
        <f t="shared" si="0"/>
        <v>75604.2</v>
      </c>
      <c r="U62" s="3">
        <f t="shared" si="1"/>
        <v>32571</v>
      </c>
      <c r="V62" s="3">
        <f t="shared" si="12"/>
        <v>44415</v>
      </c>
      <c r="W62" s="3">
        <f t="shared" si="13"/>
        <v>133639.80000000002</v>
      </c>
      <c r="X62" s="3">
        <f t="shared" si="14"/>
        <v>131073.60000000001</v>
      </c>
      <c r="Y62" s="3">
        <f t="shared" si="15"/>
        <v>93962.400000000009</v>
      </c>
      <c r="Z62" s="3">
        <f t="shared" si="16"/>
        <v>186937.80000000002</v>
      </c>
      <c r="AA62" s="3">
        <f t="shared" si="17"/>
        <v>180621</v>
      </c>
      <c r="AB62" s="3">
        <f t="shared" si="18"/>
        <v>128310</v>
      </c>
      <c r="AC62" s="3">
        <f t="shared" si="19"/>
        <v>137587.80000000002</v>
      </c>
      <c r="AD62" s="3">
        <f t="shared" si="20"/>
        <v>34939.800000000003</v>
      </c>
      <c r="AE62" s="3">
        <f t="shared" si="21"/>
        <v>3553.2000000000003</v>
      </c>
      <c r="AF62" s="3">
        <f>SUM(ecommerce_sales_all_data[[#This Row],[revenue_month_1]:[revenue_month_12]])</f>
        <v>1183215.6000000001</v>
      </c>
    </row>
    <row r="63" spans="1:32" x14ac:dyDescent="0.3">
      <c r="A63">
        <v>62</v>
      </c>
      <c r="B63" t="s">
        <v>86</v>
      </c>
      <c r="C63" t="s">
        <v>21</v>
      </c>
      <c r="D63" s="2">
        <v>139.32</v>
      </c>
      <c r="E63">
        <v>4.9000000000000004</v>
      </c>
      <c r="F63">
        <v>933</v>
      </c>
      <c r="G63" s="1">
        <v>259</v>
      </c>
      <c r="H63" s="1">
        <v>21</v>
      </c>
      <c r="I63" s="1">
        <v>776</v>
      </c>
      <c r="J63" s="1">
        <v>795</v>
      </c>
      <c r="K63" s="1">
        <v>12</v>
      </c>
      <c r="L63" s="1">
        <v>798</v>
      </c>
      <c r="M63" s="1">
        <v>46</v>
      </c>
      <c r="N63" s="1">
        <v>181</v>
      </c>
      <c r="O63" s="1">
        <v>291</v>
      </c>
      <c r="P63" s="1">
        <v>130</v>
      </c>
      <c r="Q63" s="1">
        <v>756</v>
      </c>
      <c r="R63" s="1">
        <v>225</v>
      </c>
      <c r="S63" s="1">
        <f>SUM(ecommerce_sales_all_data[[#This Row],[sales_month_1]:[sales_month_12]])</f>
        <v>4290</v>
      </c>
      <c r="T63" s="3">
        <f t="shared" si="0"/>
        <v>36083.879999999997</v>
      </c>
      <c r="U63" s="3">
        <f t="shared" si="1"/>
        <v>2925.72</v>
      </c>
      <c r="V63" s="3">
        <f t="shared" si="12"/>
        <v>108112.31999999999</v>
      </c>
      <c r="W63" s="3">
        <f t="shared" si="13"/>
        <v>110759.4</v>
      </c>
      <c r="X63" s="3">
        <f t="shared" si="14"/>
        <v>1671.84</v>
      </c>
      <c r="Y63" s="3">
        <f t="shared" si="15"/>
        <v>111177.36</v>
      </c>
      <c r="Z63" s="3">
        <f t="shared" si="16"/>
        <v>6408.7199999999993</v>
      </c>
      <c r="AA63" s="3">
        <f t="shared" si="17"/>
        <v>25216.92</v>
      </c>
      <c r="AB63" s="3">
        <f t="shared" si="18"/>
        <v>40542.119999999995</v>
      </c>
      <c r="AC63" s="3">
        <f t="shared" si="19"/>
        <v>18111.599999999999</v>
      </c>
      <c r="AD63" s="3">
        <f t="shared" si="20"/>
        <v>105325.92</v>
      </c>
      <c r="AE63" s="3">
        <f t="shared" si="21"/>
        <v>31347</v>
      </c>
      <c r="AF63" s="3">
        <f>SUM(ecommerce_sales_all_data[[#This Row],[revenue_month_1]:[revenue_month_12]])</f>
        <v>597682.79999999993</v>
      </c>
    </row>
    <row r="64" spans="1:32" x14ac:dyDescent="0.3">
      <c r="A64">
        <v>63</v>
      </c>
      <c r="B64" t="s">
        <v>87</v>
      </c>
      <c r="C64" t="s">
        <v>35</v>
      </c>
      <c r="D64" s="2">
        <v>415.23</v>
      </c>
      <c r="E64">
        <v>4.0999999999999996</v>
      </c>
      <c r="F64">
        <v>984</v>
      </c>
      <c r="G64" s="1">
        <v>413</v>
      </c>
      <c r="H64" s="1">
        <v>153</v>
      </c>
      <c r="I64" s="1">
        <v>789</v>
      </c>
      <c r="J64" s="1">
        <v>792</v>
      </c>
      <c r="K64" s="1">
        <v>633</v>
      </c>
      <c r="L64" s="1">
        <v>575</v>
      </c>
      <c r="M64" s="1">
        <v>862</v>
      </c>
      <c r="N64" s="1">
        <v>873</v>
      </c>
      <c r="O64" s="1">
        <v>563</v>
      </c>
      <c r="P64" s="1">
        <v>802</v>
      </c>
      <c r="Q64" s="1">
        <v>122</v>
      </c>
      <c r="R64" s="1">
        <v>472</v>
      </c>
      <c r="S64" s="1">
        <f>SUM(ecommerce_sales_all_data[[#This Row],[sales_month_1]:[sales_month_12]])</f>
        <v>7049</v>
      </c>
      <c r="T64" s="3">
        <f t="shared" si="0"/>
        <v>171489.99000000002</v>
      </c>
      <c r="U64" s="3">
        <f t="shared" si="1"/>
        <v>63530.19</v>
      </c>
      <c r="V64" s="3">
        <f t="shared" si="12"/>
        <v>327616.47000000003</v>
      </c>
      <c r="W64" s="3">
        <f t="shared" si="13"/>
        <v>328862.16000000003</v>
      </c>
      <c r="X64" s="3">
        <f t="shared" si="14"/>
        <v>262840.59000000003</v>
      </c>
      <c r="Y64" s="3">
        <f t="shared" si="15"/>
        <v>238757.25</v>
      </c>
      <c r="Z64" s="3">
        <f t="shared" si="16"/>
        <v>357928.26</v>
      </c>
      <c r="AA64" s="3">
        <f t="shared" si="17"/>
        <v>362495.79000000004</v>
      </c>
      <c r="AB64" s="3">
        <f t="shared" si="18"/>
        <v>233774.49000000002</v>
      </c>
      <c r="AC64" s="3">
        <f t="shared" si="19"/>
        <v>333014.46000000002</v>
      </c>
      <c r="AD64" s="3">
        <f t="shared" si="20"/>
        <v>50658.060000000005</v>
      </c>
      <c r="AE64" s="3">
        <f t="shared" si="21"/>
        <v>195988.56</v>
      </c>
      <c r="AF64" s="3">
        <f>SUM(ecommerce_sales_all_data[[#This Row],[revenue_month_1]:[revenue_month_12]])</f>
        <v>2926956.2700000005</v>
      </c>
    </row>
    <row r="65" spans="1:32" x14ac:dyDescent="0.3">
      <c r="A65">
        <v>64</v>
      </c>
      <c r="B65" t="s">
        <v>88</v>
      </c>
      <c r="C65" t="s">
        <v>35</v>
      </c>
      <c r="D65" s="2">
        <v>181.59</v>
      </c>
      <c r="E65">
        <v>2.7</v>
      </c>
      <c r="F65">
        <v>305</v>
      </c>
      <c r="G65" s="1">
        <v>990</v>
      </c>
      <c r="H65" s="1">
        <v>938</v>
      </c>
      <c r="I65" s="1">
        <v>908</v>
      </c>
      <c r="J65" s="1">
        <v>95</v>
      </c>
      <c r="K65" s="1">
        <v>870</v>
      </c>
      <c r="L65" s="1">
        <v>454</v>
      </c>
      <c r="M65" s="1">
        <v>524</v>
      </c>
      <c r="N65" s="1">
        <v>85</v>
      </c>
      <c r="O65" s="1">
        <v>798</v>
      </c>
      <c r="P65" s="1">
        <v>992</v>
      </c>
      <c r="Q65" s="1">
        <v>341</v>
      </c>
      <c r="R65" s="1">
        <v>94</v>
      </c>
      <c r="S65" s="1">
        <f>SUM(ecommerce_sales_all_data[[#This Row],[sales_month_1]:[sales_month_12]])</f>
        <v>7089</v>
      </c>
      <c r="T65" s="3">
        <f t="shared" si="0"/>
        <v>179774.1</v>
      </c>
      <c r="U65" s="3">
        <f t="shared" si="1"/>
        <v>170331.42</v>
      </c>
      <c r="V65" s="3">
        <f t="shared" si="12"/>
        <v>164883.72</v>
      </c>
      <c r="W65" s="3">
        <f t="shared" si="13"/>
        <v>17251.05</v>
      </c>
      <c r="X65" s="3">
        <f t="shared" si="14"/>
        <v>157983.30000000002</v>
      </c>
      <c r="Y65" s="3">
        <f t="shared" si="15"/>
        <v>82441.86</v>
      </c>
      <c r="Z65" s="3">
        <f t="shared" si="16"/>
        <v>95153.16</v>
      </c>
      <c r="AA65" s="3">
        <f t="shared" si="17"/>
        <v>15435.15</v>
      </c>
      <c r="AB65" s="3">
        <f t="shared" si="18"/>
        <v>144908.82</v>
      </c>
      <c r="AC65" s="3">
        <f t="shared" si="19"/>
        <v>180137.28</v>
      </c>
      <c r="AD65" s="3">
        <f t="shared" si="20"/>
        <v>61922.19</v>
      </c>
      <c r="AE65" s="3">
        <f t="shared" si="21"/>
        <v>17069.46</v>
      </c>
      <c r="AF65" s="3">
        <f>SUM(ecommerce_sales_all_data[[#This Row],[revenue_month_1]:[revenue_month_12]])</f>
        <v>1287291.51</v>
      </c>
    </row>
    <row r="66" spans="1:32" x14ac:dyDescent="0.3">
      <c r="A66">
        <v>65</v>
      </c>
      <c r="B66" t="s">
        <v>89</v>
      </c>
      <c r="C66" t="s">
        <v>35</v>
      </c>
      <c r="D66" s="2">
        <v>144.06</v>
      </c>
      <c r="E66">
        <v>2.7</v>
      </c>
      <c r="F66">
        <v>915</v>
      </c>
      <c r="G66" s="1">
        <v>357</v>
      </c>
      <c r="H66" s="1">
        <v>438</v>
      </c>
      <c r="I66" s="1">
        <v>88</v>
      </c>
      <c r="J66" s="1">
        <v>380</v>
      </c>
      <c r="K66" s="1">
        <v>731</v>
      </c>
      <c r="L66" s="1">
        <v>231</v>
      </c>
      <c r="M66" s="1">
        <v>887</v>
      </c>
      <c r="N66" s="1">
        <v>466</v>
      </c>
      <c r="O66" s="1">
        <v>800</v>
      </c>
      <c r="P66" s="1">
        <v>788</v>
      </c>
      <c r="Q66" s="1">
        <v>170</v>
      </c>
      <c r="R66" s="1">
        <v>880</v>
      </c>
      <c r="S66" s="1">
        <f>SUM(ecommerce_sales_all_data[[#This Row],[sales_month_1]:[sales_month_12]])</f>
        <v>6216</v>
      </c>
      <c r="T66" s="3">
        <f t="shared" ref="T66:T129" si="22">G66*$D66</f>
        <v>51429.42</v>
      </c>
      <c r="U66" s="3">
        <f t="shared" ref="U66:U129" si="23">H66*$D66</f>
        <v>63098.28</v>
      </c>
      <c r="V66" s="3">
        <f t="shared" si="12"/>
        <v>12677.28</v>
      </c>
      <c r="W66" s="3">
        <f t="shared" si="13"/>
        <v>54742.8</v>
      </c>
      <c r="X66" s="3">
        <f t="shared" si="14"/>
        <v>105307.86</v>
      </c>
      <c r="Y66" s="3">
        <f t="shared" si="15"/>
        <v>33277.86</v>
      </c>
      <c r="Z66" s="3">
        <f t="shared" si="16"/>
        <v>127781.22</v>
      </c>
      <c r="AA66" s="3">
        <f t="shared" si="17"/>
        <v>67131.960000000006</v>
      </c>
      <c r="AB66" s="3">
        <f t="shared" si="18"/>
        <v>115248</v>
      </c>
      <c r="AC66" s="3">
        <f t="shared" si="19"/>
        <v>113519.28</v>
      </c>
      <c r="AD66" s="3">
        <f t="shared" si="20"/>
        <v>24490.2</v>
      </c>
      <c r="AE66" s="3">
        <f t="shared" si="21"/>
        <v>126772.8</v>
      </c>
      <c r="AF66" s="3">
        <f>SUM(ecommerce_sales_all_data[[#This Row],[revenue_month_1]:[revenue_month_12]])</f>
        <v>895476.96</v>
      </c>
    </row>
    <row r="67" spans="1:32" x14ac:dyDescent="0.3">
      <c r="A67">
        <v>66</v>
      </c>
      <c r="B67" t="s">
        <v>90</v>
      </c>
      <c r="C67" t="s">
        <v>19</v>
      </c>
      <c r="D67" s="2">
        <v>273.63</v>
      </c>
      <c r="E67">
        <v>4</v>
      </c>
      <c r="F67">
        <v>371</v>
      </c>
      <c r="G67" s="1">
        <v>74</v>
      </c>
      <c r="H67" s="1">
        <v>294</v>
      </c>
      <c r="I67" s="1">
        <v>687</v>
      </c>
      <c r="J67" s="1">
        <v>777</v>
      </c>
      <c r="K67" s="1">
        <v>105</v>
      </c>
      <c r="L67" s="1">
        <v>288</v>
      </c>
      <c r="M67" s="1">
        <v>207</v>
      </c>
      <c r="N67" s="1">
        <v>925</v>
      </c>
      <c r="O67" s="1">
        <v>140</v>
      </c>
      <c r="P67" s="1">
        <v>831</v>
      </c>
      <c r="Q67" s="1">
        <v>844</v>
      </c>
      <c r="R67" s="1">
        <v>296</v>
      </c>
      <c r="S67" s="1">
        <f>SUM(ecommerce_sales_all_data[[#This Row],[sales_month_1]:[sales_month_12]])</f>
        <v>5468</v>
      </c>
      <c r="T67" s="3">
        <f t="shared" si="22"/>
        <v>20248.62</v>
      </c>
      <c r="U67" s="3">
        <f t="shared" si="23"/>
        <v>80447.22</v>
      </c>
      <c r="V67" s="3">
        <f t="shared" ref="V67:V130" si="24">I67*$D67</f>
        <v>187983.81</v>
      </c>
      <c r="W67" s="3">
        <f t="shared" ref="W67:W130" si="25">J67*$D67</f>
        <v>212610.51</v>
      </c>
      <c r="X67" s="3">
        <f t="shared" ref="X67:X130" si="26">K67*$D67</f>
        <v>28731.149999999998</v>
      </c>
      <c r="Y67" s="3">
        <f t="shared" ref="Y67:Y130" si="27">L67*$D67</f>
        <v>78805.440000000002</v>
      </c>
      <c r="Z67" s="3">
        <f t="shared" ref="Z67:Z130" si="28">M67*$D67</f>
        <v>56641.409999999996</v>
      </c>
      <c r="AA67" s="3">
        <f t="shared" ref="AA67:AA130" si="29">N67*$D67</f>
        <v>253107.75</v>
      </c>
      <c r="AB67" s="3">
        <f t="shared" ref="AB67:AB130" si="30">O67*$D67</f>
        <v>38308.199999999997</v>
      </c>
      <c r="AC67" s="3">
        <f t="shared" ref="AC67:AC130" si="31">P67*$D67</f>
        <v>227386.53</v>
      </c>
      <c r="AD67" s="3">
        <f t="shared" ref="AD67:AD130" si="32">Q67*$D67</f>
        <v>230943.72</v>
      </c>
      <c r="AE67" s="3">
        <f t="shared" ref="AE67:AE130" si="33">R67*$D67</f>
        <v>80994.48</v>
      </c>
      <c r="AF67" s="3">
        <f>SUM(ecommerce_sales_all_data[[#This Row],[revenue_month_1]:[revenue_month_12]])</f>
        <v>1496208.8399999999</v>
      </c>
    </row>
    <row r="68" spans="1:32" x14ac:dyDescent="0.3">
      <c r="A68">
        <v>67</v>
      </c>
      <c r="B68" t="s">
        <v>91</v>
      </c>
      <c r="C68" t="s">
        <v>21</v>
      </c>
      <c r="D68" s="2">
        <v>74.760000000000005</v>
      </c>
      <c r="E68">
        <v>2</v>
      </c>
      <c r="F68">
        <v>857</v>
      </c>
      <c r="G68" s="1">
        <v>354</v>
      </c>
      <c r="H68" s="1">
        <v>218</v>
      </c>
      <c r="I68" s="1">
        <v>529</v>
      </c>
      <c r="J68" s="1">
        <v>443</v>
      </c>
      <c r="K68" s="1">
        <v>374</v>
      </c>
      <c r="L68" s="1">
        <v>212</v>
      </c>
      <c r="M68" s="1">
        <v>310</v>
      </c>
      <c r="N68" s="1">
        <v>52</v>
      </c>
      <c r="O68" s="1">
        <v>145</v>
      </c>
      <c r="P68" s="1">
        <v>350</v>
      </c>
      <c r="Q68" s="1">
        <v>647</v>
      </c>
      <c r="R68" s="1">
        <v>592</v>
      </c>
      <c r="S68" s="1">
        <f>SUM(ecommerce_sales_all_data[[#This Row],[sales_month_1]:[sales_month_12]])</f>
        <v>4226</v>
      </c>
      <c r="T68" s="3">
        <f t="shared" si="22"/>
        <v>26465.040000000001</v>
      </c>
      <c r="U68" s="3">
        <f t="shared" si="23"/>
        <v>16297.68</v>
      </c>
      <c r="V68" s="3">
        <f t="shared" si="24"/>
        <v>39548.04</v>
      </c>
      <c r="W68" s="3">
        <f t="shared" si="25"/>
        <v>33118.68</v>
      </c>
      <c r="X68" s="3">
        <f t="shared" si="26"/>
        <v>27960.240000000002</v>
      </c>
      <c r="Y68" s="3">
        <f t="shared" si="27"/>
        <v>15849.12</v>
      </c>
      <c r="Z68" s="3">
        <f t="shared" si="28"/>
        <v>23175.600000000002</v>
      </c>
      <c r="AA68" s="3">
        <f t="shared" si="29"/>
        <v>3887.5200000000004</v>
      </c>
      <c r="AB68" s="3">
        <f t="shared" si="30"/>
        <v>10840.2</v>
      </c>
      <c r="AC68" s="3">
        <f t="shared" si="31"/>
        <v>26166</v>
      </c>
      <c r="AD68" s="3">
        <f t="shared" si="32"/>
        <v>48369.72</v>
      </c>
      <c r="AE68" s="3">
        <f t="shared" si="33"/>
        <v>44257.920000000006</v>
      </c>
      <c r="AF68" s="3">
        <f>SUM(ecommerce_sales_all_data[[#This Row],[revenue_month_1]:[revenue_month_12]])</f>
        <v>315935.75999999995</v>
      </c>
    </row>
    <row r="69" spans="1:32" x14ac:dyDescent="0.3">
      <c r="A69">
        <v>68</v>
      </c>
      <c r="B69" t="s">
        <v>92</v>
      </c>
      <c r="C69" t="s">
        <v>26</v>
      </c>
      <c r="D69" s="2">
        <v>402.09</v>
      </c>
      <c r="E69">
        <v>1.4</v>
      </c>
      <c r="F69">
        <v>853</v>
      </c>
      <c r="G69" s="1">
        <v>583</v>
      </c>
      <c r="H69" s="1">
        <v>668</v>
      </c>
      <c r="I69" s="1">
        <v>370</v>
      </c>
      <c r="J69" s="1">
        <v>297</v>
      </c>
      <c r="K69" s="1">
        <v>581</v>
      </c>
      <c r="L69" s="1">
        <v>257</v>
      </c>
      <c r="M69" s="1">
        <v>746</v>
      </c>
      <c r="N69" s="1">
        <v>859</v>
      </c>
      <c r="O69" s="1">
        <v>424</v>
      </c>
      <c r="P69" s="1">
        <v>179</v>
      </c>
      <c r="Q69" s="1">
        <v>58</v>
      </c>
      <c r="R69" s="1">
        <v>174</v>
      </c>
      <c r="S69" s="1">
        <f>SUM(ecommerce_sales_all_data[[#This Row],[sales_month_1]:[sales_month_12]])</f>
        <v>5196</v>
      </c>
      <c r="T69" s="3">
        <f t="shared" si="22"/>
        <v>234418.46999999997</v>
      </c>
      <c r="U69" s="3">
        <f t="shared" si="23"/>
        <v>268596.12</v>
      </c>
      <c r="V69" s="3">
        <f t="shared" si="24"/>
        <v>148773.29999999999</v>
      </c>
      <c r="W69" s="3">
        <f t="shared" si="25"/>
        <v>119420.73</v>
      </c>
      <c r="X69" s="3">
        <f t="shared" si="26"/>
        <v>233614.28999999998</v>
      </c>
      <c r="Y69" s="3">
        <f t="shared" si="27"/>
        <v>103337.12999999999</v>
      </c>
      <c r="Z69" s="3">
        <f t="shared" si="28"/>
        <v>299959.13999999996</v>
      </c>
      <c r="AA69" s="3">
        <f t="shared" si="29"/>
        <v>345395.31</v>
      </c>
      <c r="AB69" s="3">
        <f t="shared" si="30"/>
        <v>170486.16</v>
      </c>
      <c r="AC69" s="3">
        <f t="shared" si="31"/>
        <v>71974.11</v>
      </c>
      <c r="AD69" s="3">
        <f t="shared" si="32"/>
        <v>23321.219999999998</v>
      </c>
      <c r="AE69" s="3">
        <f t="shared" si="33"/>
        <v>69963.659999999989</v>
      </c>
      <c r="AF69" s="3">
        <f>SUM(ecommerce_sales_all_data[[#This Row],[revenue_month_1]:[revenue_month_12]])</f>
        <v>2089259.6399999997</v>
      </c>
    </row>
    <row r="70" spans="1:32" x14ac:dyDescent="0.3">
      <c r="A70">
        <v>69</v>
      </c>
      <c r="B70" t="s">
        <v>93</v>
      </c>
      <c r="C70" t="s">
        <v>29</v>
      </c>
      <c r="D70" s="2">
        <v>41.9</v>
      </c>
      <c r="E70">
        <v>2.4</v>
      </c>
      <c r="F70">
        <v>384</v>
      </c>
      <c r="G70" s="1">
        <v>770</v>
      </c>
      <c r="H70" s="1">
        <v>494</v>
      </c>
      <c r="I70" s="1">
        <v>971</v>
      </c>
      <c r="J70" s="1">
        <v>807</v>
      </c>
      <c r="K70" s="1">
        <v>706</v>
      </c>
      <c r="L70" s="1">
        <v>529</v>
      </c>
      <c r="M70" s="1">
        <v>148</v>
      </c>
      <c r="N70" s="1">
        <v>866</v>
      </c>
      <c r="O70" s="1">
        <v>313</v>
      </c>
      <c r="P70" s="1">
        <v>801</v>
      </c>
      <c r="Q70" s="1">
        <v>704</v>
      </c>
      <c r="R70" s="1">
        <v>221</v>
      </c>
      <c r="S70" s="1">
        <f>SUM(ecommerce_sales_all_data[[#This Row],[sales_month_1]:[sales_month_12]])</f>
        <v>7330</v>
      </c>
      <c r="T70" s="3">
        <f t="shared" si="22"/>
        <v>32263</v>
      </c>
      <c r="U70" s="3">
        <f t="shared" si="23"/>
        <v>20698.599999999999</v>
      </c>
      <c r="V70" s="3">
        <f t="shared" si="24"/>
        <v>40684.9</v>
      </c>
      <c r="W70" s="3">
        <f t="shared" si="25"/>
        <v>33813.299999999996</v>
      </c>
      <c r="X70" s="3">
        <f t="shared" si="26"/>
        <v>29581.399999999998</v>
      </c>
      <c r="Y70" s="3">
        <f t="shared" si="27"/>
        <v>22165.1</v>
      </c>
      <c r="Z70" s="3">
        <f t="shared" si="28"/>
        <v>6201.2</v>
      </c>
      <c r="AA70" s="3">
        <f t="shared" si="29"/>
        <v>36285.4</v>
      </c>
      <c r="AB70" s="3">
        <f t="shared" si="30"/>
        <v>13114.699999999999</v>
      </c>
      <c r="AC70" s="3">
        <f t="shared" si="31"/>
        <v>33561.9</v>
      </c>
      <c r="AD70" s="3">
        <f t="shared" si="32"/>
        <v>29497.599999999999</v>
      </c>
      <c r="AE70" s="3">
        <f t="shared" si="33"/>
        <v>9259.9</v>
      </c>
      <c r="AF70" s="3">
        <f>SUM(ecommerce_sales_all_data[[#This Row],[revenue_month_1]:[revenue_month_12]])</f>
        <v>307127</v>
      </c>
    </row>
    <row r="71" spans="1:32" x14ac:dyDescent="0.3">
      <c r="A71">
        <v>70</v>
      </c>
      <c r="B71" t="s">
        <v>94</v>
      </c>
      <c r="C71" t="s">
        <v>26</v>
      </c>
      <c r="D71" s="2">
        <v>493.51</v>
      </c>
      <c r="E71">
        <v>2.1</v>
      </c>
      <c r="F71">
        <v>908</v>
      </c>
      <c r="G71" s="1">
        <v>909</v>
      </c>
      <c r="H71" s="1">
        <v>229</v>
      </c>
      <c r="I71" s="1">
        <v>935</v>
      </c>
      <c r="J71" s="1">
        <v>736</v>
      </c>
      <c r="K71" s="1">
        <v>697</v>
      </c>
      <c r="L71" s="1">
        <v>686</v>
      </c>
      <c r="M71" s="1">
        <v>833</v>
      </c>
      <c r="N71" s="1">
        <v>234</v>
      </c>
      <c r="O71" s="1">
        <v>183</v>
      </c>
      <c r="P71" s="1">
        <v>479</v>
      </c>
      <c r="Q71" s="1">
        <v>464</v>
      </c>
      <c r="R71" s="1">
        <v>614</v>
      </c>
      <c r="S71" s="1">
        <f>SUM(ecommerce_sales_all_data[[#This Row],[sales_month_1]:[sales_month_12]])</f>
        <v>6999</v>
      </c>
      <c r="T71" s="3">
        <f t="shared" si="22"/>
        <v>448600.58999999997</v>
      </c>
      <c r="U71" s="3">
        <f t="shared" si="23"/>
        <v>113013.79</v>
      </c>
      <c r="V71" s="3">
        <f t="shared" si="24"/>
        <v>461431.85</v>
      </c>
      <c r="W71" s="3">
        <f t="shared" si="25"/>
        <v>363223.36</v>
      </c>
      <c r="X71" s="3">
        <f t="shared" si="26"/>
        <v>343976.47</v>
      </c>
      <c r="Y71" s="3">
        <f t="shared" si="27"/>
        <v>338547.86</v>
      </c>
      <c r="Z71" s="3">
        <f t="shared" si="28"/>
        <v>411093.83</v>
      </c>
      <c r="AA71" s="3">
        <f t="shared" si="29"/>
        <v>115481.34</v>
      </c>
      <c r="AB71" s="3">
        <f t="shared" si="30"/>
        <v>90312.33</v>
      </c>
      <c r="AC71" s="3">
        <f t="shared" si="31"/>
        <v>236391.29</v>
      </c>
      <c r="AD71" s="3">
        <f t="shared" si="32"/>
        <v>228988.63999999998</v>
      </c>
      <c r="AE71" s="3">
        <f t="shared" si="33"/>
        <v>303015.14</v>
      </c>
      <c r="AF71" s="3">
        <f>SUM(ecommerce_sales_all_data[[#This Row],[revenue_month_1]:[revenue_month_12]])</f>
        <v>3454076.49</v>
      </c>
    </row>
    <row r="72" spans="1:32" x14ac:dyDescent="0.3">
      <c r="A72">
        <v>71</v>
      </c>
      <c r="B72" t="s">
        <v>95</v>
      </c>
      <c r="C72" t="s">
        <v>21</v>
      </c>
      <c r="D72" s="2">
        <v>387.26</v>
      </c>
      <c r="E72">
        <v>2.2000000000000002</v>
      </c>
      <c r="F72">
        <v>445</v>
      </c>
      <c r="G72" s="1">
        <v>187</v>
      </c>
      <c r="H72" s="1">
        <v>19</v>
      </c>
      <c r="I72" s="1">
        <v>912</v>
      </c>
      <c r="J72" s="1">
        <v>844</v>
      </c>
      <c r="K72" s="1">
        <v>98</v>
      </c>
      <c r="L72" s="1">
        <v>928</v>
      </c>
      <c r="M72" s="1">
        <v>437</v>
      </c>
      <c r="N72" s="1">
        <v>958</v>
      </c>
      <c r="O72" s="1">
        <v>663</v>
      </c>
      <c r="P72" s="1">
        <v>888</v>
      </c>
      <c r="Q72" s="1">
        <v>779</v>
      </c>
      <c r="R72" s="1">
        <v>53</v>
      </c>
      <c r="S72" s="1">
        <f>SUM(ecommerce_sales_all_data[[#This Row],[sales_month_1]:[sales_month_12]])</f>
        <v>6766</v>
      </c>
      <c r="T72" s="3">
        <f t="shared" si="22"/>
        <v>72417.62</v>
      </c>
      <c r="U72" s="3">
        <f t="shared" si="23"/>
        <v>7357.94</v>
      </c>
      <c r="V72" s="3">
        <f t="shared" si="24"/>
        <v>353181.12</v>
      </c>
      <c r="W72" s="3">
        <f t="shared" si="25"/>
        <v>326847.44</v>
      </c>
      <c r="X72" s="3">
        <f t="shared" si="26"/>
        <v>37951.479999999996</v>
      </c>
      <c r="Y72" s="3">
        <f t="shared" si="27"/>
        <v>359377.27999999997</v>
      </c>
      <c r="Z72" s="3">
        <f t="shared" si="28"/>
        <v>169232.62</v>
      </c>
      <c r="AA72" s="3">
        <f t="shared" si="29"/>
        <v>370995.08</v>
      </c>
      <c r="AB72" s="3">
        <f t="shared" si="30"/>
        <v>256753.38</v>
      </c>
      <c r="AC72" s="3">
        <f t="shared" si="31"/>
        <v>343886.88</v>
      </c>
      <c r="AD72" s="3">
        <f t="shared" si="32"/>
        <v>301675.53999999998</v>
      </c>
      <c r="AE72" s="3">
        <f t="shared" si="33"/>
        <v>20524.78</v>
      </c>
      <c r="AF72" s="3">
        <f>SUM(ecommerce_sales_all_data[[#This Row],[revenue_month_1]:[revenue_month_12]])</f>
        <v>2620201.1599999997</v>
      </c>
    </row>
    <row r="73" spans="1:32" x14ac:dyDescent="0.3">
      <c r="A73">
        <v>72</v>
      </c>
      <c r="B73" t="s">
        <v>96</v>
      </c>
      <c r="C73" t="s">
        <v>23</v>
      </c>
      <c r="D73" s="2">
        <v>103.36</v>
      </c>
      <c r="E73">
        <v>1.9</v>
      </c>
      <c r="F73">
        <v>425</v>
      </c>
      <c r="G73" s="1">
        <v>972</v>
      </c>
      <c r="H73" s="1">
        <v>986</v>
      </c>
      <c r="I73" s="1">
        <v>398</v>
      </c>
      <c r="J73" s="1">
        <v>360</v>
      </c>
      <c r="K73" s="1">
        <v>593</v>
      </c>
      <c r="L73" s="1">
        <v>228</v>
      </c>
      <c r="M73" s="1">
        <v>154</v>
      </c>
      <c r="N73" s="1">
        <v>778</v>
      </c>
      <c r="O73" s="1">
        <v>712</v>
      </c>
      <c r="P73" s="1">
        <v>162</v>
      </c>
      <c r="Q73" s="1">
        <v>259</v>
      </c>
      <c r="R73" s="1">
        <v>694</v>
      </c>
      <c r="S73" s="1">
        <f>SUM(ecommerce_sales_all_data[[#This Row],[sales_month_1]:[sales_month_12]])</f>
        <v>6296</v>
      </c>
      <c r="T73" s="3">
        <f t="shared" si="22"/>
        <v>100465.92</v>
      </c>
      <c r="U73" s="3">
        <f t="shared" si="23"/>
        <v>101912.96000000001</v>
      </c>
      <c r="V73" s="3">
        <f t="shared" si="24"/>
        <v>41137.279999999999</v>
      </c>
      <c r="W73" s="3">
        <f t="shared" si="25"/>
        <v>37209.599999999999</v>
      </c>
      <c r="X73" s="3">
        <f t="shared" si="26"/>
        <v>61292.480000000003</v>
      </c>
      <c r="Y73" s="3">
        <f t="shared" si="27"/>
        <v>23566.079999999998</v>
      </c>
      <c r="Z73" s="3">
        <f t="shared" si="28"/>
        <v>15917.44</v>
      </c>
      <c r="AA73" s="3">
        <f t="shared" si="29"/>
        <v>80414.080000000002</v>
      </c>
      <c r="AB73" s="3">
        <f t="shared" si="30"/>
        <v>73592.319999999992</v>
      </c>
      <c r="AC73" s="3">
        <f t="shared" si="31"/>
        <v>16744.32</v>
      </c>
      <c r="AD73" s="3">
        <f t="shared" si="32"/>
        <v>26770.240000000002</v>
      </c>
      <c r="AE73" s="3">
        <f t="shared" si="33"/>
        <v>71731.839999999997</v>
      </c>
      <c r="AF73" s="3">
        <f>SUM(ecommerce_sales_all_data[[#This Row],[revenue_month_1]:[revenue_month_12]])</f>
        <v>650754.55999999994</v>
      </c>
    </row>
    <row r="74" spans="1:32" x14ac:dyDescent="0.3">
      <c r="A74">
        <v>73</v>
      </c>
      <c r="B74" t="s">
        <v>97</v>
      </c>
      <c r="C74" t="s">
        <v>35</v>
      </c>
      <c r="D74" s="2">
        <v>7.73</v>
      </c>
      <c r="E74">
        <v>1.2</v>
      </c>
      <c r="F74">
        <v>161</v>
      </c>
      <c r="G74" s="1">
        <v>684</v>
      </c>
      <c r="H74" s="1">
        <v>552</v>
      </c>
      <c r="I74" s="1">
        <v>105</v>
      </c>
      <c r="J74" s="1">
        <v>373</v>
      </c>
      <c r="K74" s="1">
        <v>586</v>
      </c>
      <c r="L74" s="1">
        <v>225</v>
      </c>
      <c r="M74" s="1">
        <v>677</v>
      </c>
      <c r="N74" s="1">
        <v>798</v>
      </c>
      <c r="O74" s="1">
        <v>127</v>
      </c>
      <c r="P74" s="1">
        <v>782</v>
      </c>
      <c r="Q74" s="1">
        <v>372</v>
      </c>
      <c r="R74" s="1">
        <v>862</v>
      </c>
      <c r="S74" s="1">
        <f>SUM(ecommerce_sales_all_data[[#This Row],[sales_month_1]:[sales_month_12]])</f>
        <v>6143</v>
      </c>
      <c r="T74" s="3">
        <f t="shared" si="22"/>
        <v>5287.3200000000006</v>
      </c>
      <c r="U74" s="3">
        <f t="shared" si="23"/>
        <v>4266.96</v>
      </c>
      <c r="V74" s="3">
        <f t="shared" si="24"/>
        <v>811.65000000000009</v>
      </c>
      <c r="W74" s="3">
        <f t="shared" si="25"/>
        <v>2883.29</v>
      </c>
      <c r="X74" s="3">
        <f t="shared" si="26"/>
        <v>4529.7800000000007</v>
      </c>
      <c r="Y74" s="3">
        <f t="shared" si="27"/>
        <v>1739.25</v>
      </c>
      <c r="Z74" s="3">
        <f t="shared" si="28"/>
        <v>5233.21</v>
      </c>
      <c r="AA74" s="3">
        <f t="shared" si="29"/>
        <v>6168.54</v>
      </c>
      <c r="AB74" s="3">
        <f t="shared" si="30"/>
        <v>981.71</v>
      </c>
      <c r="AC74" s="3">
        <f t="shared" si="31"/>
        <v>6044.8600000000006</v>
      </c>
      <c r="AD74" s="3">
        <f t="shared" si="32"/>
        <v>2875.56</v>
      </c>
      <c r="AE74" s="3">
        <f t="shared" si="33"/>
        <v>6663.26</v>
      </c>
      <c r="AF74" s="3">
        <f>SUM(ecommerce_sales_all_data[[#This Row],[revenue_month_1]:[revenue_month_12]])</f>
        <v>47485.39</v>
      </c>
    </row>
    <row r="75" spans="1:32" x14ac:dyDescent="0.3">
      <c r="A75">
        <v>74</v>
      </c>
      <c r="B75" t="s">
        <v>98</v>
      </c>
      <c r="C75" t="s">
        <v>26</v>
      </c>
      <c r="D75" s="2">
        <v>408.65</v>
      </c>
      <c r="E75">
        <v>1.1000000000000001</v>
      </c>
      <c r="F75">
        <v>178</v>
      </c>
      <c r="G75" s="1">
        <v>991</v>
      </c>
      <c r="H75" s="1">
        <v>949</v>
      </c>
      <c r="I75" s="1">
        <v>270</v>
      </c>
      <c r="J75" s="1">
        <v>553</v>
      </c>
      <c r="K75" s="1">
        <v>885</v>
      </c>
      <c r="L75" s="1">
        <v>595</v>
      </c>
      <c r="M75" s="1">
        <v>89</v>
      </c>
      <c r="N75" s="1">
        <v>432</v>
      </c>
      <c r="O75" s="1">
        <v>286</v>
      </c>
      <c r="P75" s="1">
        <v>887</v>
      </c>
      <c r="Q75" s="1">
        <v>972</v>
      </c>
      <c r="R75" s="1">
        <v>402</v>
      </c>
      <c r="S75" s="1">
        <f>SUM(ecommerce_sales_all_data[[#This Row],[sales_month_1]:[sales_month_12]])</f>
        <v>7311</v>
      </c>
      <c r="T75" s="3">
        <f t="shared" si="22"/>
        <v>404972.14999999997</v>
      </c>
      <c r="U75" s="3">
        <f t="shared" si="23"/>
        <v>387808.85</v>
      </c>
      <c r="V75" s="3">
        <f t="shared" si="24"/>
        <v>110335.5</v>
      </c>
      <c r="W75" s="3">
        <f t="shared" si="25"/>
        <v>225983.44999999998</v>
      </c>
      <c r="X75" s="3">
        <f t="shared" si="26"/>
        <v>361655.25</v>
      </c>
      <c r="Y75" s="3">
        <f t="shared" si="27"/>
        <v>243146.75</v>
      </c>
      <c r="Z75" s="3">
        <f t="shared" si="28"/>
        <v>36369.85</v>
      </c>
      <c r="AA75" s="3">
        <f t="shared" si="29"/>
        <v>176536.8</v>
      </c>
      <c r="AB75" s="3">
        <f t="shared" si="30"/>
        <v>116873.9</v>
      </c>
      <c r="AC75" s="3">
        <f t="shared" si="31"/>
        <v>362472.55</v>
      </c>
      <c r="AD75" s="3">
        <f t="shared" si="32"/>
        <v>397207.8</v>
      </c>
      <c r="AE75" s="3">
        <f t="shared" si="33"/>
        <v>164277.29999999999</v>
      </c>
      <c r="AF75" s="3">
        <f>SUM(ecommerce_sales_all_data[[#This Row],[revenue_month_1]:[revenue_month_12]])</f>
        <v>2987640.1499999994</v>
      </c>
    </row>
    <row r="76" spans="1:32" x14ac:dyDescent="0.3">
      <c r="A76">
        <v>75</v>
      </c>
      <c r="B76" t="s">
        <v>99</v>
      </c>
      <c r="C76" t="s">
        <v>23</v>
      </c>
      <c r="D76" s="2">
        <v>354.89</v>
      </c>
      <c r="E76">
        <v>5</v>
      </c>
      <c r="F76">
        <v>629</v>
      </c>
      <c r="G76" s="1">
        <v>289</v>
      </c>
      <c r="H76" s="1">
        <v>147</v>
      </c>
      <c r="I76" s="1">
        <v>974</v>
      </c>
      <c r="J76" s="1">
        <v>302</v>
      </c>
      <c r="K76" s="1">
        <v>851</v>
      </c>
      <c r="L76" s="1">
        <v>802</v>
      </c>
      <c r="M76" s="1">
        <v>697</v>
      </c>
      <c r="N76" s="1">
        <v>495</v>
      </c>
      <c r="O76" s="1">
        <v>822</v>
      </c>
      <c r="P76" s="1">
        <v>95</v>
      </c>
      <c r="Q76" s="1">
        <v>94</v>
      </c>
      <c r="R76" s="1">
        <v>317</v>
      </c>
      <c r="S76" s="1">
        <f>SUM(ecommerce_sales_all_data[[#This Row],[sales_month_1]:[sales_month_12]])</f>
        <v>5885</v>
      </c>
      <c r="T76" s="3">
        <f t="shared" si="22"/>
        <v>102563.20999999999</v>
      </c>
      <c r="U76" s="3">
        <f t="shared" si="23"/>
        <v>52168.829999999994</v>
      </c>
      <c r="V76" s="3">
        <f t="shared" si="24"/>
        <v>345662.86</v>
      </c>
      <c r="W76" s="3">
        <f t="shared" si="25"/>
        <v>107176.78</v>
      </c>
      <c r="X76" s="3">
        <f t="shared" si="26"/>
        <v>302011.39</v>
      </c>
      <c r="Y76" s="3">
        <f t="shared" si="27"/>
        <v>284621.77999999997</v>
      </c>
      <c r="Z76" s="3">
        <f t="shared" si="28"/>
        <v>247358.33</v>
      </c>
      <c r="AA76" s="3">
        <f t="shared" si="29"/>
        <v>175670.55</v>
      </c>
      <c r="AB76" s="3">
        <f t="shared" si="30"/>
        <v>291719.58</v>
      </c>
      <c r="AC76" s="3">
        <f t="shared" si="31"/>
        <v>33714.549999999996</v>
      </c>
      <c r="AD76" s="3">
        <f t="shared" si="32"/>
        <v>33359.659999999996</v>
      </c>
      <c r="AE76" s="3">
        <f t="shared" si="33"/>
        <v>112500.12999999999</v>
      </c>
      <c r="AF76" s="3">
        <f>SUM(ecommerce_sales_all_data[[#This Row],[revenue_month_1]:[revenue_month_12]])</f>
        <v>2088527.65</v>
      </c>
    </row>
    <row r="77" spans="1:32" x14ac:dyDescent="0.3">
      <c r="A77">
        <v>76</v>
      </c>
      <c r="B77" t="s">
        <v>100</v>
      </c>
      <c r="C77" t="s">
        <v>23</v>
      </c>
      <c r="D77" s="2">
        <v>365.86</v>
      </c>
      <c r="E77">
        <v>2.7</v>
      </c>
      <c r="F77">
        <v>708</v>
      </c>
      <c r="G77" s="1">
        <v>44</v>
      </c>
      <c r="H77" s="1">
        <v>107</v>
      </c>
      <c r="I77" s="1">
        <v>830</v>
      </c>
      <c r="J77" s="1">
        <v>420</v>
      </c>
      <c r="K77" s="1">
        <v>191</v>
      </c>
      <c r="L77" s="1">
        <v>434</v>
      </c>
      <c r="M77" s="1">
        <v>829</v>
      </c>
      <c r="N77" s="1">
        <v>998</v>
      </c>
      <c r="O77" s="1">
        <v>252</v>
      </c>
      <c r="P77" s="1">
        <v>773</v>
      </c>
      <c r="Q77" s="1">
        <v>124</v>
      </c>
      <c r="R77" s="1">
        <v>866</v>
      </c>
      <c r="S77" s="1">
        <f>SUM(ecommerce_sales_all_data[[#This Row],[sales_month_1]:[sales_month_12]])</f>
        <v>5868</v>
      </c>
      <c r="T77" s="3">
        <f t="shared" si="22"/>
        <v>16097.84</v>
      </c>
      <c r="U77" s="3">
        <f t="shared" si="23"/>
        <v>39147.020000000004</v>
      </c>
      <c r="V77" s="3">
        <f t="shared" si="24"/>
        <v>303663.8</v>
      </c>
      <c r="W77" s="3">
        <f t="shared" si="25"/>
        <v>153661.20000000001</v>
      </c>
      <c r="X77" s="3">
        <f t="shared" si="26"/>
        <v>69879.260000000009</v>
      </c>
      <c r="Y77" s="3">
        <f t="shared" si="27"/>
        <v>158783.24000000002</v>
      </c>
      <c r="Z77" s="3">
        <f t="shared" si="28"/>
        <v>303297.94</v>
      </c>
      <c r="AA77" s="3">
        <f t="shared" si="29"/>
        <v>365128.28</v>
      </c>
      <c r="AB77" s="3">
        <f t="shared" si="30"/>
        <v>92196.72</v>
      </c>
      <c r="AC77" s="3">
        <f t="shared" si="31"/>
        <v>282809.78000000003</v>
      </c>
      <c r="AD77" s="3">
        <f t="shared" si="32"/>
        <v>45366.64</v>
      </c>
      <c r="AE77" s="3">
        <f t="shared" si="33"/>
        <v>316834.76</v>
      </c>
      <c r="AF77" s="3">
        <f>SUM(ecommerce_sales_all_data[[#This Row],[revenue_month_1]:[revenue_month_12]])</f>
        <v>2146866.48</v>
      </c>
    </row>
    <row r="78" spans="1:32" x14ac:dyDescent="0.3">
      <c r="A78">
        <v>77</v>
      </c>
      <c r="B78" t="s">
        <v>101</v>
      </c>
      <c r="C78" t="s">
        <v>21</v>
      </c>
      <c r="D78" s="2">
        <v>386.78</v>
      </c>
      <c r="E78">
        <v>2.5</v>
      </c>
      <c r="F78">
        <v>895</v>
      </c>
      <c r="G78" s="1">
        <v>572</v>
      </c>
      <c r="H78" s="1">
        <v>402</v>
      </c>
      <c r="I78" s="1">
        <v>502</v>
      </c>
      <c r="J78" s="1">
        <v>245</v>
      </c>
      <c r="K78" s="1">
        <v>324</v>
      </c>
      <c r="L78" s="1">
        <v>881</v>
      </c>
      <c r="M78" s="1">
        <v>357</v>
      </c>
      <c r="N78" s="1">
        <v>99</v>
      </c>
      <c r="O78" s="1">
        <v>1000</v>
      </c>
      <c r="P78" s="1">
        <v>509</v>
      </c>
      <c r="Q78" s="1">
        <v>40</v>
      </c>
      <c r="R78" s="1">
        <v>348</v>
      </c>
      <c r="S78" s="1">
        <f>SUM(ecommerce_sales_all_data[[#This Row],[sales_month_1]:[sales_month_12]])</f>
        <v>5279</v>
      </c>
      <c r="T78" s="3">
        <f t="shared" si="22"/>
        <v>221238.15999999997</v>
      </c>
      <c r="U78" s="3">
        <f t="shared" si="23"/>
        <v>155485.56</v>
      </c>
      <c r="V78" s="3">
        <f t="shared" si="24"/>
        <v>194163.56</v>
      </c>
      <c r="W78" s="3">
        <f t="shared" si="25"/>
        <v>94761.099999999991</v>
      </c>
      <c r="X78" s="3">
        <f t="shared" si="26"/>
        <v>125316.71999999999</v>
      </c>
      <c r="Y78" s="3">
        <f t="shared" si="27"/>
        <v>340753.18</v>
      </c>
      <c r="Z78" s="3">
        <f t="shared" si="28"/>
        <v>138080.46</v>
      </c>
      <c r="AA78" s="3">
        <f t="shared" si="29"/>
        <v>38291.219999999994</v>
      </c>
      <c r="AB78" s="3">
        <f t="shared" si="30"/>
        <v>386780</v>
      </c>
      <c r="AC78" s="3">
        <f t="shared" si="31"/>
        <v>196871.02</v>
      </c>
      <c r="AD78" s="3">
        <f t="shared" si="32"/>
        <v>15471.199999999999</v>
      </c>
      <c r="AE78" s="3">
        <f t="shared" si="33"/>
        <v>134599.44</v>
      </c>
      <c r="AF78" s="3">
        <f>SUM(ecommerce_sales_all_data[[#This Row],[revenue_month_1]:[revenue_month_12]])</f>
        <v>2041811.6199999999</v>
      </c>
    </row>
    <row r="79" spans="1:32" x14ac:dyDescent="0.3">
      <c r="A79">
        <v>78</v>
      </c>
      <c r="B79" t="s">
        <v>102</v>
      </c>
      <c r="C79" t="s">
        <v>21</v>
      </c>
      <c r="D79" s="2">
        <v>41.65</v>
      </c>
      <c r="E79">
        <v>3.7</v>
      </c>
      <c r="F79">
        <v>490</v>
      </c>
      <c r="G79" s="1">
        <v>82</v>
      </c>
      <c r="H79" s="1">
        <v>595</v>
      </c>
      <c r="I79" s="1">
        <v>678</v>
      </c>
      <c r="J79" s="1">
        <v>719</v>
      </c>
      <c r="K79" s="1">
        <v>978</v>
      </c>
      <c r="L79" s="1">
        <v>757</v>
      </c>
      <c r="M79" s="1">
        <v>173</v>
      </c>
      <c r="N79" s="1">
        <v>989</v>
      </c>
      <c r="O79" s="1">
        <v>777</v>
      </c>
      <c r="P79" s="1">
        <v>364</v>
      </c>
      <c r="Q79" s="1">
        <v>890</v>
      </c>
      <c r="R79" s="1">
        <v>442</v>
      </c>
      <c r="S79" s="1">
        <f>SUM(ecommerce_sales_all_data[[#This Row],[sales_month_1]:[sales_month_12]])</f>
        <v>7444</v>
      </c>
      <c r="T79" s="3">
        <f t="shared" si="22"/>
        <v>3415.2999999999997</v>
      </c>
      <c r="U79" s="3">
        <f t="shared" si="23"/>
        <v>24781.75</v>
      </c>
      <c r="V79" s="3">
        <f t="shared" si="24"/>
        <v>28238.7</v>
      </c>
      <c r="W79" s="3">
        <f t="shared" si="25"/>
        <v>29946.35</v>
      </c>
      <c r="X79" s="3">
        <f t="shared" si="26"/>
        <v>40733.699999999997</v>
      </c>
      <c r="Y79" s="3">
        <f t="shared" si="27"/>
        <v>31529.05</v>
      </c>
      <c r="Z79" s="3">
        <f t="shared" si="28"/>
        <v>7205.45</v>
      </c>
      <c r="AA79" s="3">
        <f t="shared" si="29"/>
        <v>41191.85</v>
      </c>
      <c r="AB79" s="3">
        <f t="shared" si="30"/>
        <v>32362.05</v>
      </c>
      <c r="AC79" s="3">
        <f t="shared" si="31"/>
        <v>15160.6</v>
      </c>
      <c r="AD79" s="3">
        <f t="shared" si="32"/>
        <v>37068.5</v>
      </c>
      <c r="AE79" s="3">
        <f t="shared" si="33"/>
        <v>18409.3</v>
      </c>
      <c r="AF79" s="3">
        <f>SUM(ecommerce_sales_all_data[[#This Row],[revenue_month_1]:[revenue_month_12]])</f>
        <v>310042.60000000003</v>
      </c>
    </row>
    <row r="80" spans="1:32" x14ac:dyDescent="0.3">
      <c r="A80">
        <v>79</v>
      </c>
      <c r="B80" t="s">
        <v>103</v>
      </c>
      <c r="C80" t="s">
        <v>35</v>
      </c>
      <c r="D80" s="2">
        <v>182.44</v>
      </c>
      <c r="E80">
        <v>1.9</v>
      </c>
      <c r="F80">
        <v>327</v>
      </c>
      <c r="G80" s="1">
        <v>122</v>
      </c>
      <c r="H80" s="1">
        <v>482</v>
      </c>
      <c r="I80" s="1">
        <v>524</v>
      </c>
      <c r="J80" s="1">
        <v>236</v>
      </c>
      <c r="K80" s="1">
        <v>725</v>
      </c>
      <c r="L80" s="1">
        <v>401</v>
      </c>
      <c r="M80" s="1">
        <v>216</v>
      </c>
      <c r="N80" s="1">
        <v>598</v>
      </c>
      <c r="O80" s="1">
        <v>699</v>
      </c>
      <c r="P80" s="1">
        <v>980</v>
      </c>
      <c r="Q80" s="1">
        <v>253</v>
      </c>
      <c r="R80" s="1">
        <v>832</v>
      </c>
      <c r="S80" s="1">
        <f>SUM(ecommerce_sales_all_data[[#This Row],[sales_month_1]:[sales_month_12]])</f>
        <v>6068</v>
      </c>
      <c r="T80" s="3">
        <f t="shared" si="22"/>
        <v>22257.68</v>
      </c>
      <c r="U80" s="3">
        <f t="shared" si="23"/>
        <v>87936.08</v>
      </c>
      <c r="V80" s="3">
        <f t="shared" si="24"/>
        <v>95598.56</v>
      </c>
      <c r="W80" s="3">
        <f t="shared" si="25"/>
        <v>43055.839999999997</v>
      </c>
      <c r="X80" s="3">
        <f t="shared" si="26"/>
        <v>132269</v>
      </c>
      <c r="Y80" s="3">
        <f t="shared" si="27"/>
        <v>73158.44</v>
      </c>
      <c r="Z80" s="3">
        <f t="shared" si="28"/>
        <v>39407.040000000001</v>
      </c>
      <c r="AA80" s="3">
        <f t="shared" si="29"/>
        <v>109099.12</v>
      </c>
      <c r="AB80" s="3">
        <f t="shared" si="30"/>
        <v>127525.56</v>
      </c>
      <c r="AC80" s="3">
        <f t="shared" si="31"/>
        <v>178791.2</v>
      </c>
      <c r="AD80" s="3">
        <f t="shared" si="32"/>
        <v>46157.32</v>
      </c>
      <c r="AE80" s="3">
        <f t="shared" si="33"/>
        <v>151790.07999999999</v>
      </c>
      <c r="AF80" s="3">
        <f>SUM(ecommerce_sales_all_data[[#This Row],[revenue_month_1]:[revenue_month_12]])</f>
        <v>1107045.92</v>
      </c>
    </row>
    <row r="81" spans="1:32" x14ac:dyDescent="0.3">
      <c r="A81">
        <v>80</v>
      </c>
      <c r="B81" t="s">
        <v>104</v>
      </c>
      <c r="C81" t="s">
        <v>29</v>
      </c>
      <c r="D81" s="2">
        <v>62.36</v>
      </c>
      <c r="E81">
        <v>4.8</v>
      </c>
      <c r="F81">
        <v>598</v>
      </c>
      <c r="G81" s="1">
        <v>357</v>
      </c>
      <c r="H81" s="1">
        <v>366</v>
      </c>
      <c r="I81" s="1">
        <v>848</v>
      </c>
      <c r="J81" s="1">
        <v>533</v>
      </c>
      <c r="K81" s="1">
        <v>826</v>
      </c>
      <c r="L81" s="1">
        <v>621</v>
      </c>
      <c r="M81" s="1">
        <v>906</v>
      </c>
      <c r="N81" s="1">
        <v>402</v>
      </c>
      <c r="O81" s="1">
        <v>385</v>
      </c>
      <c r="P81" s="1">
        <v>352</v>
      </c>
      <c r="Q81" s="1">
        <v>6</v>
      </c>
      <c r="R81" s="1">
        <v>579</v>
      </c>
      <c r="S81" s="1">
        <f>SUM(ecommerce_sales_all_data[[#This Row],[sales_month_1]:[sales_month_12]])</f>
        <v>6181</v>
      </c>
      <c r="T81" s="3">
        <f t="shared" si="22"/>
        <v>22262.52</v>
      </c>
      <c r="U81" s="3">
        <f t="shared" si="23"/>
        <v>22823.759999999998</v>
      </c>
      <c r="V81" s="3">
        <f t="shared" si="24"/>
        <v>52881.279999999999</v>
      </c>
      <c r="W81" s="3">
        <f t="shared" si="25"/>
        <v>33237.879999999997</v>
      </c>
      <c r="X81" s="3">
        <f t="shared" si="26"/>
        <v>51509.36</v>
      </c>
      <c r="Y81" s="3">
        <f t="shared" si="27"/>
        <v>38725.56</v>
      </c>
      <c r="Z81" s="3">
        <f t="shared" si="28"/>
        <v>56498.159999999996</v>
      </c>
      <c r="AA81" s="3">
        <f t="shared" si="29"/>
        <v>25068.720000000001</v>
      </c>
      <c r="AB81" s="3">
        <f t="shared" si="30"/>
        <v>24008.6</v>
      </c>
      <c r="AC81" s="3">
        <f t="shared" si="31"/>
        <v>21950.720000000001</v>
      </c>
      <c r="AD81" s="3">
        <f t="shared" si="32"/>
        <v>374.15999999999997</v>
      </c>
      <c r="AE81" s="3">
        <f t="shared" si="33"/>
        <v>36106.44</v>
      </c>
      <c r="AF81" s="3">
        <f>SUM(ecommerce_sales_all_data[[#This Row],[revenue_month_1]:[revenue_month_12]])</f>
        <v>385447.15999999992</v>
      </c>
    </row>
    <row r="82" spans="1:32" x14ac:dyDescent="0.3">
      <c r="A82">
        <v>81</v>
      </c>
      <c r="B82" t="s">
        <v>105</v>
      </c>
      <c r="C82" t="s">
        <v>48</v>
      </c>
      <c r="D82" s="2">
        <v>432.24</v>
      </c>
      <c r="E82">
        <v>4.0999999999999996</v>
      </c>
      <c r="F82">
        <v>289</v>
      </c>
      <c r="G82" s="1">
        <v>527</v>
      </c>
      <c r="H82" s="1">
        <v>833</v>
      </c>
      <c r="I82" s="1">
        <v>31</v>
      </c>
      <c r="J82" s="1">
        <v>184</v>
      </c>
      <c r="K82" s="1">
        <v>955</v>
      </c>
      <c r="L82" s="1">
        <v>765</v>
      </c>
      <c r="M82" s="1">
        <v>455</v>
      </c>
      <c r="N82" s="1">
        <v>395</v>
      </c>
      <c r="O82" s="1">
        <v>229</v>
      </c>
      <c r="P82" s="1">
        <v>799</v>
      </c>
      <c r="Q82" s="1">
        <v>470</v>
      </c>
      <c r="R82" s="1">
        <v>539</v>
      </c>
      <c r="S82" s="1">
        <f>SUM(ecommerce_sales_all_data[[#This Row],[sales_month_1]:[sales_month_12]])</f>
        <v>6182</v>
      </c>
      <c r="T82" s="3">
        <f t="shared" si="22"/>
        <v>227790.48</v>
      </c>
      <c r="U82" s="3">
        <f t="shared" si="23"/>
        <v>360055.92</v>
      </c>
      <c r="V82" s="3">
        <f t="shared" si="24"/>
        <v>13399.44</v>
      </c>
      <c r="W82" s="3">
        <f t="shared" si="25"/>
        <v>79532.160000000003</v>
      </c>
      <c r="X82" s="3">
        <f t="shared" si="26"/>
        <v>412789.2</v>
      </c>
      <c r="Y82" s="3">
        <f t="shared" si="27"/>
        <v>330663.60000000003</v>
      </c>
      <c r="Z82" s="3">
        <f t="shared" si="28"/>
        <v>196669.2</v>
      </c>
      <c r="AA82" s="3">
        <f t="shared" si="29"/>
        <v>170734.80000000002</v>
      </c>
      <c r="AB82" s="3">
        <f t="shared" si="30"/>
        <v>98982.96</v>
      </c>
      <c r="AC82" s="3">
        <f t="shared" si="31"/>
        <v>345359.76</v>
      </c>
      <c r="AD82" s="3">
        <f t="shared" si="32"/>
        <v>203152.80000000002</v>
      </c>
      <c r="AE82" s="3">
        <f t="shared" si="33"/>
        <v>232977.36000000002</v>
      </c>
      <c r="AF82" s="3">
        <f>SUM(ecommerce_sales_all_data[[#This Row],[revenue_month_1]:[revenue_month_12]])</f>
        <v>2672107.6799999997</v>
      </c>
    </row>
    <row r="83" spans="1:32" x14ac:dyDescent="0.3">
      <c r="A83">
        <v>82</v>
      </c>
      <c r="B83" t="s">
        <v>106</v>
      </c>
      <c r="C83" t="s">
        <v>19</v>
      </c>
      <c r="D83" s="2">
        <v>313.52999999999997</v>
      </c>
      <c r="E83">
        <v>1.4</v>
      </c>
      <c r="F83">
        <v>593</v>
      </c>
      <c r="G83" s="1">
        <v>65</v>
      </c>
      <c r="H83" s="1">
        <v>413</v>
      </c>
      <c r="I83" s="1">
        <v>392</v>
      </c>
      <c r="J83" s="1">
        <v>467</v>
      </c>
      <c r="K83" s="1">
        <v>466</v>
      </c>
      <c r="L83" s="1">
        <v>87</v>
      </c>
      <c r="M83" s="1">
        <v>775</v>
      </c>
      <c r="N83" s="1">
        <v>526</v>
      </c>
      <c r="O83" s="1">
        <v>270</v>
      </c>
      <c r="P83" s="1">
        <v>435</v>
      </c>
      <c r="Q83" s="1">
        <v>727</v>
      </c>
      <c r="R83" s="1">
        <v>785</v>
      </c>
      <c r="S83" s="1">
        <f>SUM(ecommerce_sales_all_data[[#This Row],[sales_month_1]:[sales_month_12]])</f>
        <v>5408</v>
      </c>
      <c r="T83" s="3">
        <f t="shared" si="22"/>
        <v>20379.449999999997</v>
      </c>
      <c r="U83" s="3">
        <f t="shared" si="23"/>
        <v>129487.88999999998</v>
      </c>
      <c r="V83" s="3">
        <f t="shared" si="24"/>
        <v>122903.76</v>
      </c>
      <c r="W83" s="3">
        <f t="shared" si="25"/>
        <v>146418.50999999998</v>
      </c>
      <c r="X83" s="3">
        <f t="shared" si="26"/>
        <v>146104.97999999998</v>
      </c>
      <c r="Y83" s="3">
        <f t="shared" si="27"/>
        <v>27277.109999999997</v>
      </c>
      <c r="Z83" s="3">
        <f t="shared" si="28"/>
        <v>242985.74999999997</v>
      </c>
      <c r="AA83" s="3">
        <f t="shared" si="29"/>
        <v>164916.78</v>
      </c>
      <c r="AB83" s="3">
        <f t="shared" si="30"/>
        <v>84653.099999999991</v>
      </c>
      <c r="AC83" s="3">
        <f t="shared" si="31"/>
        <v>136385.54999999999</v>
      </c>
      <c r="AD83" s="3">
        <f t="shared" si="32"/>
        <v>227936.30999999997</v>
      </c>
      <c r="AE83" s="3">
        <f t="shared" si="33"/>
        <v>246121.05</v>
      </c>
      <c r="AF83" s="3">
        <f>SUM(ecommerce_sales_all_data[[#This Row],[revenue_month_1]:[revenue_month_12]])</f>
        <v>1695570.2400000002</v>
      </c>
    </row>
    <row r="84" spans="1:32" x14ac:dyDescent="0.3">
      <c r="A84">
        <v>83</v>
      </c>
      <c r="B84" t="s">
        <v>107</v>
      </c>
      <c r="C84" t="s">
        <v>26</v>
      </c>
      <c r="D84" s="2">
        <v>168.79</v>
      </c>
      <c r="E84">
        <v>2.7</v>
      </c>
      <c r="F84">
        <v>664</v>
      </c>
      <c r="G84" s="1">
        <v>935</v>
      </c>
      <c r="H84" s="1">
        <v>308</v>
      </c>
      <c r="I84" s="1">
        <v>39</v>
      </c>
      <c r="J84" s="1">
        <v>753</v>
      </c>
      <c r="K84" s="1">
        <v>893</v>
      </c>
      <c r="L84" s="1">
        <v>583</v>
      </c>
      <c r="M84" s="1">
        <v>608</v>
      </c>
      <c r="N84" s="1">
        <v>414</v>
      </c>
      <c r="O84" s="1">
        <v>770</v>
      </c>
      <c r="P84" s="1">
        <v>82</v>
      </c>
      <c r="Q84" s="1">
        <v>510</v>
      </c>
      <c r="R84" s="1">
        <v>281</v>
      </c>
      <c r="S84" s="1">
        <f>SUM(ecommerce_sales_all_data[[#This Row],[sales_month_1]:[sales_month_12]])</f>
        <v>6176</v>
      </c>
      <c r="T84" s="3">
        <f t="shared" si="22"/>
        <v>157818.65</v>
      </c>
      <c r="U84" s="3">
        <f t="shared" si="23"/>
        <v>51987.32</v>
      </c>
      <c r="V84" s="3">
        <f t="shared" si="24"/>
        <v>6582.8099999999995</v>
      </c>
      <c r="W84" s="3">
        <f t="shared" si="25"/>
        <v>127098.87</v>
      </c>
      <c r="X84" s="3">
        <f t="shared" si="26"/>
        <v>150729.47</v>
      </c>
      <c r="Y84" s="3">
        <f t="shared" si="27"/>
        <v>98404.569999999992</v>
      </c>
      <c r="Z84" s="3">
        <f t="shared" si="28"/>
        <v>102624.31999999999</v>
      </c>
      <c r="AA84" s="3">
        <f t="shared" si="29"/>
        <v>69879.06</v>
      </c>
      <c r="AB84" s="3">
        <f t="shared" si="30"/>
        <v>129968.29999999999</v>
      </c>
      <c r="AC84" s="3">
        <f t="shared" si="31"/>
        <v>13840.779999999999</v>
      </c>
      <c r="AD84" s="3">
        <f t="shared" si="32"/>
        <v>86082.9</v>
      </c>
      <c r="AE84" s="3">
        <f t="shared" si="33"/>
        <v>47429.99</v>
      </c>
      <c r="AF84" s="3">
        <f>SUM(ecommerce_sales_all_data[[#This Row],[revenue_month_1]:[revenue_month_12]])</f>
        <v>1042447.0399999999</v>
      </c>
    </row>
    <row r="85" spans="1:32" x14ac:dyDescent="0.3">
      <c r="A85">
        <v>84</v>
      </c>
      <c r="B85" t="s">
        <v>108</v>
      </c>
      <c r="C85" t="s">
        <v>21</v>
      </c>
      <c r="D85" s="2">
        <v>36.46</v>
      </c>
      <c r="E85">
        <v>4.5</v>
      </c>
      <c r="F85">
        <v>573</v>
      </c>
      <c r="G85" s="1">
        <v>656</v>
      </c>
      <c r="H85" s="1">
        <v>801</v>
      </c>
      <c r="I85" s="1">
        <v>659</v>
      </c>
      <c r="J85" s="1">
        <v>362</v>
      </c>
      <c r="K85" s="1">
        <v>366</v>
      </c>
      <c r="L85" s="1">
        <v>892</v>
      </c>
      <c r="M85" s="1">
        <v>628</v>
      </c>
      <c r="N85" s="1">
        <v>938</v>
      </c>
      <c r="O85" s="1">
        <v>810</v>
      </c>
      <c r="P85" s="1">
        <v>224</v>
      </c>
      <c r="Q85" s="1">
        <v>580</v>
      </c>
      <c r="R85" s="1">
        <v>359</v>
      </c>
      <c r="S85" s="1">
        <f>SUM(ecommerce_sales_all_data[[#This Row],[sales_month_1]:[sales_month_12]])</f>
        <v>7275</v>
      </c>
      <c r="T85" s="3">
        <f t="shared" si="22"/>
        <v>23917.760000000002</v>
      </c>
      <c r="U85" s="3">
        <f t="shared" si="23"/>
        <v>29204.46</v>
      </c>
      <c r="V85" s="3">
        <f t="shared" si="24"/>
        <v>24027.14</v>
      </c>
      <c r="W85" s="3">
        <f t="shared" si="25"/>
        <v>13198.52</v>
      </c>
      <c r="X85" s="3">
        <f t="shared" si="26"/>
        <v>13344.36</v>
      </c>
      <c r="Y85" s="3">
        <f t="shared" si="27"/>
        <v>32522.32</v>
      </c>
      <c r="Z85" s="3">
        <f t="shared" si="28"/>
        <v>22896.880000000001</v>
      </c>
      <c r="AA85" s="3">
        <f t="shared" si="29"/>
        <v>34199.480000000003</v>
      </c>
      <c r="AB85" s="3">
        <f t="shared" si="30"/>
        <v>29532.600000000002</v>
      </c>
      <c r="AC85" s="3">
        <f t="shared" si="31"/>
        <v>8167.04</v>
      </c>
      <c r="AD85" s="3">
        <f t="shared" si="32"/>
        <v>21146.799999999999</v>
      </c>
      <c r="AE85" s="3">
        <f t="shared" si="33"/>
        <v>13089.14</v>
      </c>
      <c r="AF85" s="3">
        <f>SUM(ecommerce_sales_all_data[[#This Row],[revenue_month_1]:[revenue_month_12]])</f>
        <v>265246.5</v>
      </c>
    </row>
    <row r="86" spans="1:32" x14ac:dyDescent="0.3">
      <c r="A86">
        <v>85</v>
      </c>
      <c r="B86" t="s">
        <v>109</v>
      </c>
      <c r="C86" t="s">
        <v>26</v>
      </c>
      <c r="D86" s="2">
        <v>158.94</v>
      </c>
      <c r="E86">
        <v>4.8</v>
      </c>
      <c r="F86">
        <v>573</v>
      </c>
      <c r="G86" s="1">
        <v>374</v>
      </c>
      <c r="H86" s="1">
        <v>917</v>
      </c>
      <c r="I86" s="1">
        <v>217</v>
      </c>
      <c r="J86" s="1">
        <v>282</v>
      </c>
      <c r="K86" s="1">
        <v>317</v>
      </c>
      <c r="L86" s="1">
        <v>541</v>
      </c>
      <c r="M86" s="1">
        <v>198</v>
      </c>
      <c r="N86" s="1">
        <v>612</v>
      </c>
      <c r="O86" s="1">
        <v>414</v>
      </c>
      <c r="P86" s="1">
        <v>411</v>
      </c>
      <c r="Q86" s="1">
        <v>68</v>
      </c>
      <c r="R86" s="1">
        <v>914</v>
      </c>
      <c r="S86" s="1">
        <f>SUM(ecommerce_sales_all_data[[#This Row],[sales_month_1]:[sales_month_12]])</f>
        <v>5265</v>
      </c>
      <c r="T86" s="3">
        <f t="shared" si="22"/>
        <v>59443.56</v>
      </c>
      <c r="U86" s="3">
        <f t="shared" si="23"/>
        <v>145747.98000000001</v>
      </c>
      <c r="V86" s="3">
        <f t="shared" si="24"/>
        <v>34489.979999999996</v>
      </c>
      <c r="W86" s="3">
        <f t="shared" si="25"/>
        <v>44821.08</v>
      </c>
      <c r="X86" s="3">
        <f t="shared" si="26"/>
        <v>50383.979999999996</v>
      </c>
      <c r="Y86" s="3">
        <f t="shared" si="27"/>
        <v>85986.54</v>
      </c>
      <c r="Z86" s="3">
        <f t="shared" si="28"/>
        <v>31470.12</v>
      </c>
      <c r="AA86" s="3">
        <f t="shared" si="29"/>
        <v>97271.28</v>
      </c>
      <c r="AB86" s="3">
        <f t="shared" si="30"/>
        <v>65801.16</v>
      </c>
      <c r="AC86" s="3">
        <f t="shared" si="31"/>
        <v>65324.34</v>
      </c>
      <c r="AD86" s="3">
        <f t="shared" si="32"/>
        <v>10807.92</v>
      </c>
      <c r="AE86" s="3">
        <f t="shared" si="33"/>
        <v>145271.16</v>
      </c>
      <c r="AF86" s="3">
        <f>SUM(ecommerce_sales_all_data[[#This Row],[revenue_month_1]:[revenue_month_12]])</f>
        <v>836819.10000000009</v>
      </c>
    </row>
    <row r="87" spans="1:32" x14ac:dyDescent="0.3">
      <c r="A87">
        <v>86</v>
      </c>
      <c r="B87" t="s">
        <v>110</v>
      </c>
      <c r="C87" t="s">
        <v>48</v>
      </c>
      <c r="D87" s="2">
        <v>165.97</v>
      </c>
      <c r="E87">
        <v>2.9</v>
      </c>
      <c r="F87">
        <v>354</v>
      </c>
      <c r="G87" s="1">
        <v>161</v>
      </c>
      <c r="H87" s="1">
        <v>834</v>
      </c>
      <c r="I87" s="1">
        <v>730</v>
      </c>
      <c r="J87" s="1">
        <v>552</v>
      </c>
      <c r="K87" s="1">
        <v>143</v>
      </c>
      <c r="L87" s="1">
        <v>683</v>
      </c>
      <c r="M87" s="1">
        <v>831</v>
      </c>
      <c r="N87" s="1">
        <v>676</v>
      </c>
      <c r="O87" s="1">
        <v>197</v>
      </c>
      <c r="P87" s="1">
        <v>734</v>
      </c>
      <c r="Q87" s="1">
        <v>80</v>
      </c>
      <c r="R87" s="1">
        <v>822</v>
      </c>
      <c r="S87" s="1">
        <f>SUM(ecommerce_sales_all_data[[#This Row],[sales_month_1]:[sales_month_12]])</f>
        <v>6443</v>
      </c>
      <c r="T87" s="3">
        <f t="shared" si="22"/>
        <v>26721.17</v>
      </c>
      <c r="U87" s="3">
        <f t="shared" si="23"/>
        <v>138418.98000000001</v>
      </c>
      <c r="V87" s="3">
        <f t="shared" si="24"/>
        <v>121158.1</v>
      </c>
      <c r="W87" s="3">
        <f t="shared" si="25"/>
        <v>91615.44</v>
      </c>
      <c r="X87" s="3">
        <f t="shared" si="26"/>
        <v>23733.71</v>
      </c>
      <c r="Y87" s="3">
        <f t="shared" si="27"/>
        <v>113357.51</v>
      </c>
      <c r="Z87" s="3">
        <f t="shared" si="28"/>
        <v>137921.07</v>
      </c>
      <c r="AA87" s="3">
        <f t="shared" si="29"/>
        <v>112195.72</v>
      </c>
      <c r="AB87" s="3">
        <f t="shared" si="30"/>
        <v>32696.09</v>
      </c>
      <c r="AC87" s="3">
        <f t="shared" si="31"/>
        <v>121821.98</v>
      </c>
      <c r="AD87" s="3">
        <f t="shared" si="32"/>
        <v>13277.6</v>
      </c>
      <c r="AE87" s="3">
        <f t="shared" si="33"/>
        <v>136427.34</v>
      </c>
      <c r="AF87" s="3">
        <f>SUM(ecommerce_sales_all_data[[#This Row],[revenue_month_1]:[revenue_month_12]])</f>
        <v>1069344.71</v>
      </c>
    </row>
    <row r="88" spans="1:32" x14ac:dyDescent="0.3">
      <c r="A88">
        <v>87</v>
      </c>
      <c r="B88" t="s">
        <v>111</v>
      </c>
      <c r="C88" t="s">
        <v>48</v>
      </c>
      <c r="D88" s="2">
        <v>366.16</v>
      </c>
      <c r="E88">
        <v>3.5</v>
      </c>
      <c r="F88">
        <v>28</v>
      </c>
      <c r="G88" s="1">
        <v>745</v>
      </c>
      <c r="H88" s="1">
        <v>133</v>
      </c>
      <c r="I88" s="1">
        <v>980</v>
      </c>
      <c r="J88" s="1">
        <v>335</v>
      </c>
      <c r="K88" s="1">
        <v>383</v>
      </c>
      <c r="L88" s="1">
        <v>308</v>
      </c>
      <c r="M88" s="1">
        <v>485</v>
      </c>
      <c r="N88" s="1">
        <v>462</v>
      </c>
      <c r="O88" s="1">
        <v>322</v>
      </c>
      <c r="P88" s="1">
        <v>980</v>
      </c>
      <c r="Q88" s="1">
        <v>541</v>
      </c>
      <c r="R88" s="1">
        <v>630</v>
      </c>
      <c r="S88" s="1">
        <f>SUM(ecommerce_sales_all_data[[#This Row],[sales_month_1]:[sales_month_12]])</f>
        <v>6304</v>
      </c>
      <c r="T88" s="3">
        <f t="shared" si="22"/>
        <v>272789.2</v>
      </c>
      <c r="U88" s="3">
        <f t="shared" si="23"/>
        <v>48699.280000000006</v>
      </c>
      <c r="V88" s="3">
        <f t="shared" si="24"/>
        <v>358836.80000000005</v>
      </c>
      <c r="W88" s="3">
        <f t="shared" si="25"/>
        <v>122663.6</v>
      </c>
      <c r="X88" s="3">
        <f t="shared" si="26"/>
        <v>140239.28</v>
      </c>
      <c r="Y88" s="3">
        <f t="shared" si="27"/>
        <v>112777.28000000001</v>
      </c>
      <c r="Z88" s="3">
        <f t="shared" si="28"/>
        <v>177587.6</v>
      </c>
      <c r="AA88" s="3">
        <f t="shared" si="29"/>
        <v>169165.92</v>
      </c>
      <c r="AB88" s="3">
        <f t="shared" si="30"/>
        <v>117903.52</v>
      </c>
      <c r="AC88" s="3">
        <f t="shared" si="31"/>
        <v>358836.80000000005</v>
      </c>
      <c r="AD88" s="3">
        <f t="shared" si="32"/>
        <v>198092.56000000003</v>
      </c>
      <c r="AE88" s="3">
        <f t="shared" si="33"/>
        <v>230680.80000000002</v>
      </c>
      <c r="AF88" s="3">
        <f>SUM(ecommerce_sales_all_data[[#This Row],[revenue_month_1]:[revenue_month_12]])</f>
        <v>2308272.64</v>
      </c>
    </row>
    <row r="89" spans="1:32" x14ac:dyDescent="0.3">
      <c r="A89">
        <v>88</v>
      </c>
      <c r="B89" t="s">
        <v>112</v>
      </c>
      <c r="C89" t="s">
        <v>35</v>
      </c>
      <c r="D89" s="2">
        <v>320.58999999999997</v>
      </c>
      <c r="E89">
        <v>1.7</v>
      </c>
      <c r="F89">
        <v>954</v>
      </c>
      <c r="G89" s="1">
        <v>379</v>
      </c>
      <c r="H89" s="1">
        <v>718</v>
      </c>
      <c r="I89" s="1">
        <v>81</v>
      </c>
      <c r="J89" s="1">
        <v>161</v>
      </c>
      <c r="K89" s="1">
        <v>215</v>
      </c>
      <c r="L89" s="1">
        <v>905</v>
      </c>
      <c r="M89" s="1">
        <v>532</v>
      </c>
      <c r="N89" s="1">
        <v>540</v>
      </c>
      <c r="O89" s="1">
        <v>55</v>
      </c>
      <c r="P89" s="1">
        <v>117</v>
      </c>
      <c r="Q89" s="1">
        <v>584</v>
      </c>
      <c r="R89" s="1">
        <v>891</v>
      </c>
      <c r="S89" s="1">
        <f>SUM(ecommerce_sales_all_data[[#This Row],[sales_month_1]:[sales_month_12]])</f>
        <v>5178</v>
      </c>
      <c r="T89" s="3">
        <f t="shared" si="22"/>
        <v>121503.60999999999</v>
      </c>
      <c r="U89" s="3">
        <f t="shared" si="23"/>
        <v>230183.62</v>
      </c>
      <c r="V89" s="3">
        <f t="shared" si="24"/>
        <v>25967.789999999997</v>
      </c>
      <c r="W89" s="3">
        <f t="shared" si="25"/>
        <v>51614.99</v>
      </c>
      <c r="X89" s="3">
        <f t="shared" si="26"/>
        <v>68926.849999999991</v>
      </c>
      <c r="Y89" s="3">
        <f t="shared" si="27"/>
        <v>290133.94999999995</v>
      </c>
      <c r="Z89" s="3">
        <f t="shared" si="28"/>
        <v>170553.87999999998</v>
      </c>
      <c r="AA89" s="3">
        <f t="shared" si="29"/>
        <v>173118.59999999998</v>
      </c>
      <c r="AB89" s="3">
        <f t="shared" si="30"/>
        <v>17632.449999999997</v>
      </c>
      <c r="AC89" s="3">
        <f t="shared" si="31"/>
        <v>37509.03</v>
      </c>
      <c r="AD89" s="3">
        <f t="shared" si="32"/>
        <v>187224.56</v>
      </c>
      <c r="AE89" s="3">
        <f t="shared" si="33"/>
        <v>285645.69</v>
      </c>
      <c r="AF89" s="3">
        <f>SUM(ecommerce_sales_all_data[[#This Row],[revenue_month_1]:[revenue_month_12]])</f>
        <v>1660015.0199999998</v>
      </c>
    </row>
    <row r="90" spans="1:32" x14ac:dyDescent="0.3">
      <c r="A90">
        <v>89</v>
      </c>
      <c r="B90" t="s">
        <v>113</v>
      </c>
      <c r="C90" t="s">
        <v>23</v>
      </c>
      <c r="D90" s="2">
        <v>444.17</v>
      </c>
      <c r="E90">
        <v>5</v>
      </c>
      <c r="F90">
        <v>43</v>
      </c>
      <c r="G90" s="1">
        <v>655</v>
      </c>
      <c r="H90" s="1">
        <v>282</v>
      </c>
      <c r="I90" s="1">
        <v>844</v>
      </c>
      <c r="J90" s="1">
        <v>159</v>
      </c>
      <c r="K90" s="1">
        <v>360</v>
      </c>
      <c r="L90" s="1">
        <v>342</v>
      </c>
      <c r="M90" s="1">
        <v>199</v>
      </c>
      <c r="N90" s="1">
        <v>625</v>
      </c>
      <c r="O90" s="1">
        <v>830</v>
      </c>
      <c r="P90" s="1">
        <v>481</v>
      </c>
      <c r="Q90" s="1">
        <v>261</v>
      </c>
      <c r="R90" s="1">
        <v>952</v>
      </c>
      <c r="S90" s="1">
        <f>SUM(ecommerce_sales_all_data[[#This Row],[sales_month_1]:[sales_month_12]])</f>
        <v>5990</v>
      </c>
      <c r="T90" s="3">
        <f t="shared" si="22"/>
        <v>290931.35000000003</v>
      </c>
      <c r="U90" s="3">
        <f t="shared" si="23"/>
        <v>125255.94</v>
      </c>
      <c r="V90" s="3">
        <f t="shared" si="24"/>
        <v>374879.48000000004</v>
      </c>
      <c r="W90" s="3">
        <f t="shared" si="25"/>
        <v>70623.03</v>
      </c>
      <c r="X90" s="3">
        <f t="shared" si="26"/>
        <v>159901.20000000001</v>
      </c>
      <c r="Y90" s="3">
        <f t="shared" si="27"/>
        <v>151906.14000000001</v>
      </c>
      <c r="Z90" s="3">
        <f t="shared" si="28"/>
        <v>88389.83</v>
      </c>
      <c r="AA90" s="3">
        <f t="shared" si="29"/>
        <v>277606.25</v>
      </c>
      <c r="AB90" s="3">
        <f t="shared" si="30"/>
        <v>368661.10000000003</v>
      </c>
      <c r="AC90" s="3">
        <f t="shared" si="31"/>
        <v>213645.77000000002</v>
      </c>
      <c r="AD90" s="3">
        <f t="shared" si="32"/>
        <v>115928.37000000001</v>
      </c>
      <c r="AE90" s="3">
        <f t="shared" si="33"/>
        <v>422849.84</v>
      </c>
      <c r="AF90" s="3">
        <f>SUM(ecommerce_sales_all_data[[#This Row],[revenue_month_1]:[revenue_month_12]])</f>
        <v>2660578.3000000003</v>
      </c>
    </row>
    <row r="91" spans="1:32" x14ac:dyDescent="0.3">
      <c r="A91">
        <v>90</v>
      </c>
      <c r="B91" t="s">
        <v>114</v>
      </c>
      <c r="C91" t="s">
        <v>35</v>
      </c>
      <c r="D91" s="2">
        <v>238.75</v>
      </c>
      <c r="E91">
        <v>1.9</v>
      </c>
      <c r="F91">
        <v>681</v>
      </c>
      <c r="G91" s="1">
        <v>357</v>
      </c>
      <c r="H91" s="1">
        <v>777</v>
      </c>
      <c r="I91" s="1">
        <v>719</v>
      </c>
      <c r="J91" s="1">
        <v>473</v>
      </c>
      <c r="K91" s="1">
        <v>323</v>
      </c>
      <c r="L91" s="1">
        <v>435</v>
      </c>
      <c r="M91" s="1">
        <v>370</v>
      </c>
      <c r="N91" s="1">
        <v>618</v>
      </c>
      <c r="O91" s="1">
        <v>202</v>
      </c>
      <c r="P91" s="1">
        <v>191</v>
      </c>
      <c r="Q91" s="1">
        <v>88</v>
      </c>
      <c r="R91" s="1">
        <v>645</v>
      </c>
      <c r="S91" s="1">
        <f>SUM(ecommerce_sales_all_data[[#This Row],[sales_month_1]:[sales_month_12]])</f>
        <v>5198</v>
      </c>
      <c r="T91" s="3">
        <f t="shared" si="22"/>
        <v>85233.75</v>
      </c>
      <c r="U91" s="3">
        <f t="shared" si="23"/>
        <v>185508.75</v>
      </c>
      <c r="V91" s="3">
        <f t="shared" si="24"/>
        <v>171661.25</v>
      </c>
      <c r="W91" s="3">
        <f t="shared" si="25"/>
        <v>112928.75</v>
      </c>
      <c r="X91" s="3">
        <f t="shared" si="26"/>
        <v>77116.25</v>
      </c>
      <c r="Y91" s="3">
        <f t="shared" si="27"/>
        <v>103856.25</v>
      </c>
      <c r="Z91" s="3">
        <f t="shared" si="28"/>
        <v>88337.5</v>
      </c>
      <c r="AA91" s="3">
        <f t="shared" si="29"/>
        <v>147547.5</v>
      </c>
      <c r="AB91" s="3">
        <f t="shared" si="30"/>
        <v>48227.5</v>
      </c>
      <c r="AC91" s="3">
        <f t="shared" si="31"/>
        <v>45601.25</v>
      </c>
      <c r="AD91" s="3">
        <f t="shared" si="32"/>
        <v>21010</v>
      </c>
      <c r="AE91" s="3">
        <f t="shared" si="33"/>
        <v>153993.75</v>
      </c>
      <c r="AF91" s="3">
        <f>SUM(ecommerce_sales_all_data[[#This Row],[revenue_month_1]:[revenue_month_12]])</f>
        <v>1241022.5</v>
      </c>
    </row>
    <row r="92" spans="1:32" x14ac:dyDescent="0.3">
      <c r="A92">
        <v>91</v>
      </c>
      <c r="B92" t="s">
        <v>115</v>
      </c>
      <c r="C92" t="s">
        <v>19</v>
      </c>
      <c r="D92" s="2">
        <v>64.2</v>
      </c>
      <c r="E92">
        <v>4.8</v>
      </c>
      <c r="F92">
        <v>423</v>
      </c>
      <c r="G92" s="1">
        <v>187</v>
      </c>
      <c r="H92" s="1">
        <v>72</v>
      </c>
      <c r="I92" s="1">
        <v>200</v>
      </c>
      <c r="J92" s="1">
        <v>600</v>
      </c>
      <c r="K92" s="1">
        <v>14</v>
      </c>
      <c r="L92" s="1">
        <v>176</v>
      </c>
      <c r="M92" s="1">
        <v>958</v>
      </c>
      <c r="N92" s="1">
        <v>921</v>
      </c>
      <c r="O92" s="1">
        <v>782</v>
      </c>
      <c r="P92" s="1">
        <v>590</v>
      </c>
      <c r="Q92" s="1">
        <v>914</v>
      </c>
      <c r="R92" s="1">
        <v>640</v>
      </c>
      <c r="S92" s="1">
        <f>SUM(ecommerce_sales_all_data[[#This Row],[sales_month_1]:[sales_month_12]])</f>
        <v>6054</v>
      </c>
      <c r="T92" s="3">
        <f t="shared" si="22"/>
        <v>12005.4</v>
      </c>
      <c r="U92" s="3">
        <f t="shared" si="23"/>
        <v>4622.4000000000005</v>
      </c>
      <c r="V92" s="3">
        <f t="shared" si="24"/>
        <v>12840</v>
      </c>
      <c r="W92" s="3">
        <f t="shared" si="25"/>
        <v>38520</v>
      </c>
      <c r="X92" s="3">
        <f t="shared" si="26"/>
        <v>898.80000000000007</v>
      </c>
      <c r="Y92" s="3">
        <f t="shared" si="27"/>
        <v>11299.2</v>
      </c>
      <c r="Z92" s="3">
        <f t="shared" si="28"/>
        <v>61503.600000000006</v>
      </c>
      <c r="AA92" s="3">
        <f t="shared" si="29"/>
        <v>59128.200000000004</v>
      </c>
      <c r="AB92" s="3">
        <f t="shared" si="30"/>
        <v>50204.4</v>
      </c>
      <c r="AC92" s="3">
        <f t="shared" si="31"/>
        <v>37878</v>
      </c>
      <c r="AD92" s="3">
        <f t="shared" si="32"/>
        <v>58678.8</v>
      </c>
      <c r="AE92" s="3">
        <f t="shared" si="33"/>
        <v>41088</v>
      </c>
      <c r="AF92" s="3">
        <f>SUM(ecommerce_sales_all_data[[#This Row],[revenue_month_1]:[revenue_month_12]])</f>
        <v>388666.8</v>
      </c>
    </row>
    <row r="93" spans="1:32" x14ac:dyDescent="0.3">
      <c r="A93">
        <v>92</v>
      </c>
      <c r="B93" t="s">
        <v>116</v>
      </c>
      <c r="C93" t="s">
        <v>29</v>
      </c>
      <c r="D93" s="2">
        <v>358.06</v>
      </c>
      <c r="E93">
        <v>3.6</v>
      </c>
      <c r="F93">
        <v>598</v>
      </c>
      <c r="G93" s="1">
        <v>321</v>
      </c>
      <c r="H93" s="1">
        <v>480</v>
      </c>
      <c r="I93" s="1">
        <v>446</v>
      </c>
      <c r="J93" s="1">
        <v>321</v>
      </c>
      <c r="K93" s="1">
        <v>216</v>
      </c>
      <c r="L93" s="1">
        <v>138</v>
      </c>
      <c r="M93" s="1">
        <v>852</v>
      </c>
      <c r="N93" s="1">
        <v>363</v>
      </c>
      <c r="O93" s="1">
        <v>620</v>
      </c>
      <c r="P93" s="1">
        <v>589</v>
      </c>
      <c r="Q93" s="1">
        <v>207</v>
      </c>
      <c r="R93" s="1">
        <v>7</v>
      </c>
      <c r="S93" s="1">
        <f>SUM(ecommerce_sales_all_data[[#This Row],[sales_month_1]:[sales_month_12]])</f>
        <v>4560</v>
      </c>
      <c r="T93" s="3">
        <f t="shared" si="22"/>
        <v>114937.26</v>
      </c>
      <c r="U93" s="3">
        <f t="shared" si="23"/>
        <v>171868.79999999999</v>
      </c>
      <c r="V93" s="3">
        <f t="shared" si="24"/>
        <v>159694.76</v>
      </c>
      <c r="W93" s="3">
        <f t="shared" si="25"/>
        <v>114937.26</v>
      </c>
      <c r="X93" s="3">
        <f t="shared" si="26"/>
        <v>77340.960000000006</v>
      </c>
      <c r="Y93" s="3">
        <f t="shared" si="27"/>
        <v>49412.28</v>
      </c>
      <c r="Z93" s="3">
        <f t="shared" si="28"/>
        <v>305067.12</v>
      </c>
      <c r="AA93" s="3">
        <f t="shared" si="29"/>
        <v>129975.78</v>
      </c>
      <c r="AB93" s="3">
        <f t="shared" si="30"/>
        <v>221997.2</v>
      </c>
      <c r="AC93" s="3">
        <f t="shared" si="31"/>
        <v>210897.34</v>
      </c>
      <c r="AD93" s="3">
        <f t="shared" si="32"/>
        <v>74118.42</v>
      </c>
      <c r="AE93" s="3">
        <f t="shared" si="33"/>
        <v>2506.42</v>
      </c>
      <c r="AF93" s="3">
        <f>SUM(ecommerce_sales_all_data[[#This Row],[revenue_month_1]:[revenue_month_12]])</f>
        <v>1632753.5999999999</v>
      </c>
    </row>
    <row r="94" spans="1:32" x14ac:dyDescent="0.3">
      <c r="A94">
        <v>93</v>
      </c>
      <c r="B94" t="s">
        <v>117</v>
      </c>
      <c r="C94" t="s">
        <v>26</v>
      </c>
      <c r="D94" s="2">
        <v>381.59</v>
      </c>
      <c r="E94">
        <v>3.4</v>
      </c>
      <c r="F94">
        <v>177</v>
      </c>
      <c r="G94" s="1">
        <v>449</v>
      </c>
      <c r="H94" s="1">
        <v>351</v>
      </c>
      <c r="I94" s="1">
        <v>843</v>
      </c>
      <c r="J94" s="1">
        <v>11</v>
      </c>
      <c r="K94" s="1">
        <v>491</v>
      </c>
      <c r="L94" s="1">
        <v>193</v>
      </c>
      <c r="M94" s="1">
        <v>447</v>
      </c>
      <c r="N94" s="1">
        <v>129</v>
      </c>
      <c r="O94" s="1">
        <v>627</v>
      </c>
      <c r="P94" s="1">
        <v>658</v>
      </c>
      <c r="Q94" s="1">
        <v>212</v>
      </c>
      <c r="R94" s="1">
        <v>992</v>
      </c>
      <c r="S94" s="1">
        <f>SUM(ecommerce_sales_all_data[[#This Row],[sales_month_1]:[sales_month_12]])</f>
        <v>5403</v>
      </c>
      <c r="T94" s="3">
        <f t="shared" si="22"/>
        <v>171333.90999999997</v>
      </c>
      <c r="U94" s="3">
        <f t="shared" si="23"/>
        <v>133938.09</v>
      </c>
      <c r="V94" s="3">
        <f t="shared" si="24"/>
        <v>321680.37</v>
      </c>
      <c r="W94" s="3">
        <f t="shared" si="25"/>
        <v>4197.49</v>
      </c>
      <c r="X94" s="3">
        <f t="shared" si="26"/>
        <v>187360.68999999997</v>
      </c>
      <c r="Y94" s="3">
        <f t="shared" si="27"/>
        <v>73646.87</v>
      </c>
      <c r="Z94" s="3">
        <f t="shared" si="28"/>
        <v>170570.72999999998</v>
      </c>
      <c r="AA94" s="3">
        <f t="shared" si="29"/>
        <v>49225.109999999993</v>
      </c>
      <c r="AB94" s="3">
        <f t="shared" si="30"/>
        <v>239256.93</v>
      </c>
      <c r="AC94" s="3">
        <f t="shared" si="31"/>
        <v>251086.21999999997</v>
      </c>
      <c r="AD94" s="3">
        <f t="shared" si="32"/>
        <v>80897.08</v>
      </c>
      <c r="AE94" s="3">
        <f t="shared" si="33"/>
        <v>378537.27999999997</v>
      </c>
      <c r="AF94" s="3">
        <f>SUM(ecommerce_sales_all_data[[#This Row],[revenue_month_1]:[revenue_month_12]])</f>
        <v>2061730.77</v>
      </c>
    </row>
    <row r="95" spans="1:32" x14ac:dyDescent="0.3">
      <c r="A95">
        <v>94</v>
      </c>
      <c r="B95" t="s">
        <v>118</v>
      </c>
      <c r="C95" t="s">
        <v>19</v>
      </c>
      <c r="D95" s="2">
        <v>282.83</v>
      </c>
      <c r="E95">
        <v>3.1</v>
      </c>
      <c r="F95">
        <v>529</v>
      </c>
      <c r="G95" s="1">
        <v>473</v>
      </c>
      <c r="H95" s="1">
        <v>559</v>
      </c>
      <c r="I95" s="1">
        <v>427</v>
      </c>
      <c r="J95" s="1">
        <v>423</v>
      </c>
      <c r="K95" s="1">
        <v>950</v>
      </c>
      <c r="L95" s="1">
        <v>185</v>
      </c>
      <c r="M95" s="1">
        <v>247</v>
      </c>
      <c r="N95" s="1">
        <v>83</v>
      </c>
      <c r="O95" s="1">
        <v>603</v>
      </c>
      <c r="P95" s="1">
        <v>106</v>
      </c>
      <c r="Q95" s="1">
        <v>833</v>
      </c>
      <c r="R95" s="1">
        <v>562</v>
      </c>
      <c r="S95" s="1">
        <f>SUM(ecommerce_sales_all_data[[#This Row],[sales_month_1]:[sales_month_12]])</f>
        <v>5451</v>
      </c>
      <c r="T95" s="3">
        <f t="shared" si="22"/>
        <v>133778.59</v>
      </c>
      <c r="U95" s="3">
        <f t="shared" si="23"/>
        <v>158101.97</v>
      </c>
      <c r="V95" s="3">
        <f t="shared" si="24"/>
        <v>120768.40999999999</v>
      </c>
      <c r="W95" s="3">
        <f t="shared" si="25"/>
        <v>119637.09</v>
      </c>
      <c r="X95" s="3">
        <f t="shared" si="26"/>
        <v>268688.5</v>
      </c>
      <c r="Y95" s="3">
        <f t="shared" si="27"/>
        <v>52323.549999999996</v>
      </c>
      <c r="Z95" s="3">
        <f t="shared" si="28"/>
        <v>69859.009999999995</v>
      </c>
      <c r="AA95" s="3">
        <f t="shared" si="29"/>
        <v>23474.89</v>
      </c>
      <c r="AB95" s="3">
        <f t="shared" si="30"/>
        <v>170546.49</v>
      </c>
      <c r="AC95" s="3">
        <f t="shared" si="31"/>
        <v>29979.98</v>
      </c>
      <c r="AD95" s="3">
        <f t="shared" si="32"/>
        <v>235597.38999999998</v>
      </c>
      <c r="AE95" s="3">
        <f t="shared" si="33"/>
        <v>158950.46</v>
      </c>
      <c r="AF95" s="3">
        <f>SUM(ecommerce_sales_all_data[[#This Row],[revenue_month_1]:[revenue_month_12]])</f>
        <v>1541706.3299999998</v>
      </c>
    </row>
    <row r="96" spans="1:32" x14ac:dyDescent="0.3">
      <c r="A96">
        <v>95</v>
      </c>
      <c r="B96" t="s">
        <v>119</v>
      </c>
      <c r="C96" t="s">
        <v>29</v>
      </c>
      <c r="D96" s="2">
        <v>386.63</v>
      </c>
      <c r="E96">
        <v>1.9</v>
      </c>
      <c r="F96">
        <v>610</v>
      </c>
      <c r="G96" s="1">
        <v>12</v>
      </c>
      <c r="H96" s="1">
        <v>325</v>
      </c>
      <c r="I96" s="1">
        <v>37</v>
      </c>
      <c r="J96" s="1">
        <v>72</v>
      </c>
      <c r="K96" s="1">
        <v>546</v>
      </c>
      <c r="L96" s="1">
        <v>217</v>
      </c>
      <c r="M96" s="1">
        <v>787</v>
      </c>
      <c r="N96" s="1">
        <v>270</v>
      </c>
      <c r="O96" s="1">
        <v>137</v>
      </c>
      <c r="P96" s="1">
        <v>381</v>
      </c>
      <c r="Q96" s="1">
        <v>265</v>
      </c>
      <c r="R96" s="1">
        <v>490</v>
      </c>
      <c r="S96" s="1">
        <f>SUM(ecommerce_sales_all_data[[#This Row],[sales_month_1]:[sales_month_12]])</f>
        <v>3539</v>
      </c>
      <c r="T96" s="3">
        <f t="shared" si="22"/>
        <v>4639.5599999999995</v>
      </c>
      <c r="U96" s="3">
        <f t="shared" si="23"/>
        <v>125654.75</v>
      </c>
      <c r="V96" s="3">
        <f t="shared" si="24"/>
        <v>14305.31</v>
      </c>
      <c r="W96" s="3">
        <f t="shared" si="25"/>
        <v>27837.360000000001</v>
      </c>
      <c r="X96" s="3">
        <f t="shared" si="26"/>
        <v>211099.98</v>
      </c>
      <c r="Y96" s="3">
        <f t="shared" si="27"/>
        <v>83898.709999999992</v>
      </c>
      <c r="Z96" s="3">
        <f t="shared" si="28"/>
        <v>304277.81</v>
      </c>
      <c r="AA96" s="3">
        <f t="shared" si="29"/>
        <v>104390.1</v>
      </c>
      <c r="AB96" s="3">
        <f t="shared" si="30"/>
        <v>52968.31</v>
      </c>
      <c r="AC96" s="3">
        <f t="shared" si="31"/>
        <v>147306.03</v>
      </c>
      <c r="AD96" s="3">
        <f t="shared" si="32"/>
        <v>102456.95</v>
      </c>
      <c r="AE96" s="3">
        <f t="shared" si="33"/>
        <v>189448.7</v>
      </c>
      <c r="AF96" s="3">
        <f>SUM(ecommerce_sales_all_data[[#This Row],[revenue_month_1]:[revenue_month_12]])</f>
        <v>1368283.5699999998</v>
      </c>
    </row>
    <row r="97" spans="1:32" x14ac:dyDescent="0.3">
      <c r="A97">
        <v>96</v>
      </c>
      <c r="B97" t="s">
        <v>120</v>
      </c>
      <c r="C97" t="s">
        <v>26</v>
      </c>
      <c r="D97" s="2">
        <v>249.43</v>
      </c>
      <c r="E97">
        <v>1.7</v>
      </c>
      <c r="F97">
        <v>966</v>
      </c>
      <c r="G97" s="1">
        <v>183</v>
      </c>
      <c r="H97" s="1">
        <v>744</v>
      </c>
      <c r="I97" s="1">
        <v>210</v>
      </c>
      <c r="J97" s="1">
        <v>587</v>
      </c>
      <c r="K97" s="1">
        <v>182</v>
      </c>
      <c r="L97" s="1">
        <v>163</v>
      </c>
      <c r="M97" s="1">
        <v>263</v>
      </c>
      <c r="N97" s="1">
        <v>243</v>
      </c>
      <c r="O97" s="1">
        <v>421</v>
      </c>
      <c r="P97" s="1">
        <v>782</v>
      </c>
      <c r="Q97" s="1">
        <v>911</v>
      </c>
      <c r="R97" s="1">
        <v>340</v>
      </c>
      <c r="S97" s="1">
        <f>SUM(ecommerce_sales_all_data[[#This Row],[sales_month_1]:[sales_month_12]])</f>
        <v>5029</v>
      </c>
      <c r="T97" s="3">
        <f t="shared" si="22"/>
        <v>45645.69</v>
      </c>
      <c r="U97" s="3">
        <f t="shared" si="23"/>
        <v>185575.92</v>
      </c>
      <c r="V97" s="3">
        <f t="shared" si="24"/>
        <v>52380.3</v>
      </c>
      <c r="W97" s="3">
        <f t="shared" si="25"/>
        <v>146415.41</v>
      </c>
      <c r="X97" s="3">
        <f t="shared" si="26"/>
        <v>45396.26</v>
      </c>
      <c r="Y97" s="3">
        <f t="shared" si="27"/>
        <v>40657.090000000004</v>
      </c>
      <c r="Z97" s="3">
        <f t="shared" si="28"/>
        <v>65600.09</v>
      </c>
      <c r="AA97" s="3">
        <f t="shared" si="29"/>
        <v>60611.490000000005</v>
      </c>
      <c r="AB97" s="3">
        <f t="shared" si="30"/>
        <v>105010.03</v>
      </c>
      <c r="AC97" s="3">
        <f t="shared" si="31"/>
        <v>195054.26</v>
      </c>
      <c r="AD97" s="3">
        <f t="shared" si="32"/>
        <v>227230.73</v>
      </c>
      <c r="AE97" s="3">
        <f t="shared" si="33"/>
        <v>84806.2</v>
      </c>
      <c r="AF97" s="3">
        <f>SUM(ecommerce_sales_all_data[[#This Row],[revenue_month_1]:[revenue_month_12]])</f>
        <v>1254383.4700000002</v>
      </c>
    </row>
    <row r="98" spans="1:32" x14ac:dyDescent="0.3">
      <c r="A98">
        <v>97</v>
      </c>
      <c r="B98" t="s">
        <v>121</v>
      </c>
      <c r="C98" t="s">
        <v>19</v>
      </c>
      <c r="D98" s="2">
        <v>263.75</v>
      </c>
      <c r="E98">
        <v>1.9</v>
      </c>
      <c r="F98">
        <v>494</v>
      </c>
      <c r="G98" s="1">
        <v>110</v>
      </c>
      <c r="H98" s="1">
        <v>442</v>
      </c>
      <c r="I98" s="1">
        <v>443</v>
      </c>
      <c r="J98" s="1">
        <v>857</v>
      </c>
      <c r="K98" s="1">
        <v>269</v>
      </c>
      <c r="L98" s="1">
        <v>160</v>
      </c>
      <c r="M98" s="1">
        <v>57</v>
      </c>
      <c r="N98" s="1">
        <v>387</v>
      </c>
      <c r="O98" s="1">
        <v>814</v>
      </c>
      <c r="P98" s="1">
        <v>389</v>
      </c>
      <c r="Q98" s="1">
        <v>292</v>
      </c>
      <c r="R98" s="1">
        <v>471</v>
      </c>
      <c r="S98" s="1">
        <f>SUM(ecommerce_sales_all_data[[#This Row],[sales_month_1]:[sales_month_12]])</f>
        <v>4691</v>
      </c>
      <c r="T98" s="3">
        <f t="shared" si="22"/>
        <v>29012.5</v>
      </c>
      <c r="U98" s="3">
        <f t="shared" si="23"/>
        <v>116577.5</v>
      </c>
      <c r="V98" s="3">
        <f t="shared" si="24"/>
        <v>116841.25</v>
      </c>
      <c r="W98" s="3">
        <f t="shared" si="25"/>
        <v>226033.75</v>
      </c>
      <c r="X98" s="3">
        <f t="shared" si="26"/>
        <v>70948.75</v>
      </c>
      <c r="Y98" s="3">
        <f t="shared" si="27"/>
        <v>42200</v>
      </c>
      <c r="Z98" s="3">
        <f t="shared" si="28"/>
        <v>15033.75</v>
      </c>
      <c r="AA98" s="3">
        <f t="shared" si="29"/>
        <v>102071.25</v>
      </c>
      <c r="AB98" s="3">
        <f t="shared" si="30"/>
        <v>214692.5</v>
      </c>
      <c r="AC98" s="3">
        <f t="shared" si="31"/>
        <v>102598.75</v>
      </c>
      <c r="AD98" s="3">
        <f t="shared" si="32"/>
        <v>77015</v>
      </c>
      <c r="AE98" s="3">
        <f t="shared" si="33"/>
        <v>124226.25</v>
      </c>
      <c r="AF98" s="3">
        <f>SUM(ecommerce_sales_all_data[[#This Row],[revenue_month_1]:[revenue_month_12]])</f>
        <v>1237251.25</v>
      </c>
    </row>
    <row r="99" spans="1:32" x14ac:dyDescent="0.3">
      <c r="A99">
        <v>98</v>
      </c>
      <c r="B99" t="s">
        <v>122</v>
      </c>
      <c r="C99" t="s">
        <v>21</v>
      </c>
      <c r="D99" s="2">
        <v>216.63</v>
      </c>
      <c r="E99">
        <v>1.7</v>
      </c>
      <c r="F99">
        <v>198</v>
      </c>
      <c r="G99" s="1">
        <v>926</v>
      </c>
      <c r="H99" s="1">
        <v>99</v>
      </c>
      <c r="I99" s="1">
        <v>326</v>
      </c>
      <c r="J99" s="1">
        <v>200</v>
      </c>
      <c r="K99" s="1">
        <v>944</v>
      </c>
      <c r="L99" s="1">
        <v>942</v>
      </c>
      <c r="M99" s="1">
        <v>301</v>
      </c>
      <c r="N99" s="1">
        <v>213</v>
      </c>
      <c r="O99" s="1">
        <v>56</v>
      </c>
      <c r="P99" s="1">
        <v>243</v>
      </c>
      <c r="Q99" s="1">
        <v>206</v>
      </c>
      <c r="R99" s="1">
        <v>792</v>
      </c>
      <c r="S99" s="1">
        <f>SUM(ecommerce_sales_all_data[[#This Row],[sales_month_1]:[sales_month_12]])</f>
        <v>5248</v>
      </c>
      <c r="T99" s="3">
        <f t="shared" si="22"/>
        <v>200599.38</v>
      </c>
      <c r="U99" s="3">
        <f t="shared" si="23"/>
        <v>21446.37</v>
      </c>
      <c r="V99" s="3">
        <f t="shared" si="24"/>
        <v>70621.38</v>
      </c>
      <c r="W99" s="3">
        <f t="shared" si="25"/>
        <v>43326</v>
      </c>
      <c r="X99" s="3">
        <f t="shared" si="26"/>
        <v>204498.72</v>
      </c>
      <c r="Y99" s="3">
        <f t="shared" si="27"/>
        <v>204065.46</v>
      </c>
      <c r="Z99" s="3">
        <f t="shared" si="28"/>
        <v>65205.63</v>
      </c>
      <c r="AA99" s="3">
        <f t="shared" si="29"/>
        <v>46142.19</v>
      </c>
      <c r="AB99" s="3">
        <f t="shared" si="30"/>
        <v>12131.279999999999</v>
      </c>
      <c r="AC99" s="3">
        <f t="shared" si="31"/>
        <v>52641.09</v>
      </c>
      <c r="AD99" s="3">
        <f t="shared" si="32"/>
        <v>44625.78</v>
      </c>
      <c r="AE99" s="3">
        <f t="shared" si="33"/>
        <v>171570.96</v>
      </c>
      <c r="AF99" s="3">
        <f>SUM(ecommerce_sales_all_data[[#This Row],[revenue_month_1]:[revenue_month_12]])</f>
        <v>1136874.24</v>
      </c>
    </row>
    <row r="100" spans="1:32" x14ac:dyDescent="0.3">
      <c r="A100">
        <v>99</v>
      </c>
      <c r="B100" t="s">
        <v>123</v>
      </c>
      <c r="C100" t="s">
        <v>26</v>
      </c>
      <c r="D100" s="2">
        <v>17.579999999999998</v>
      </c>
      <c r="E100">
        <v>4.0999999999999996</v>
      </c>
      <c r="F100">
        <v>610</v>
      </c>
      <c r="G100" s="1">
        <v>507</v>
      </c>
      <c r="H100" s="1">
        <v>58</v>
      </c>
      <c r="I100" s="1">
        <v>760</v>
      </c>
      <c r="J100" s="1">
        <v>521</v>
      </c>
      <c r="K100" s="1">
        <v>466</v>
      </c>
      <c r="L100" s="1">
        <v>524</v>
      </c>
      <c r="M100" s="1">
        <v>30</v>
      </c>
      <c r="N100" s="1">
        <v>817</v>
      </c>
      <c r="O100" s="1">
        <v>561</v>
      </c>
      <c r="P100" s="1">
        <v>584</v>
      </c>
      <c r="Q100" s="1">
        <v>332</v>
      </c>
      <c r="R100" s="1">
        <v>686</v>
      </c>
      <c r="S100" s="1">
        <f>SUM(ecommerce_sales_all_data[[#This Row],[sales_month_1]:[sales_month_12]])</f>
        <v>5846</v>
      </c>
      <c r="T100" s="3">
        <f t="shared" si="22"/>
        <v>8913.06</v>
      </c>
      <c r="U100" s="3">
        <f t="shared" si="23"/>
        <v>1019.6399999999999</v>
      </c>
      <c r="V100" s="3">
        <f t="shared" si="24"/>
        <v>13360.8</v>
      </c>
      <c r="W100" s="3">
        <f t="shared" si="25"/>
        <v>9159.1799999999985</v>
      </c>
      <c r="X100" s="3">
        <f t="shared" si="26"/>
        <v>8192.2799999999988</v>
      </c>
      <c r="Y100" s="3">
        <f t="shared" si="27"/>
        <v>9211.9199999999983</v>
      </c>
      <c r="Z100" s="3">
        <f t="shared" si="28"/>
        <v>527.4</v>
      </c>
      <c r="AA100" s="3">
        <f t="shared" si="29"/>
        <v>14362.859999999999</v>
      </c>
      <c r="AB100" s="3">
        <f t="shared" si="30"/>
        <v>9862.3799999999992</v>
      </c>
      <c r="AC100" s="3">
        <f t="shared" si="31"/>
        <v>10266.719999999999</v>
      </c>
      <c r="AD100" s="3">
        <f t="shared" si="32"/>
        <v>5836.5599999999995</v>
      </c>
      <c r="AE100" s="3">
        <f t="shared" si="33"/>
        <v>12059.88</v>
      </c>
      <c r="AF100" s="3">
        <f>SUM(ecommerce_sales_all_data[[#This Row],[revenue_month_1]:[revenue_month_12]])</f>
        <v>102772.68000000001</v>
      </c>
    </row>
    <row r="101" spans="1:32" x14ac:dyDescent="0.3">
      <c r="A101">
        <v>100</v>
      </c>
      <c r="B101" t="s">
        <v>124</v>
      </c>
      <c r="C101" t="s">
        <v>19</v>
      </c>
      <c r="D101" s="2">
        <v>58.41</v>
      </c>
      <c r="E101">
        <v>2.4</v>
      </c>
      <c r="F101">
        <v>577</v>
      </c>
      <c r="G101" s="1">
        <v>289</v>
      </c>
      <c r="H101" s="1">
        <v>507</v>
      </c>
      <c r="I101" s="1">
        <v>226</v>
      </c>
      <c r="J101" s="1">
        <v>863</v>
      </c>
      <c r="K101" s="1">
        <v>869</v>
      </c>
      <c r="L101" s="1">
        <v>807</v>
      </c>
      <c r="M101" s="1">
        <v>497</v>
      </c>
      <c r="N101" s="1">
        <v>165</v>
      </c>
      <c r="O101" s="1">
        <v>70</v>
      </c>
      <c r="P101" s="1">
        <v>868</v>
      </c>
      <c r="Q101" s="1">
        <v>76</v>
      </c>
      <c r="R101" s="1">
        <v>694</v>
      </c>
      <c r="S101" s="1">
        <f>SUM(ecommerce_sales_all_data[[#This Row],[sales_month_1]:[sales_month_12]])</f>
        <v>5931</v>
      </c>
      <c r="T101" s="3">
        <f t="shared" si="22"/>
        <v>16880.489999999998</v>
      </c>
      <c r="U101" s="3">
        <f t="shared" si="23"/>
        <v>29613.87</v>
      </c>
      <c r="V101" s="3">
        <f t="shared" si="24"/>
        <v>13200.66</v>
      </c>
      <c r="W101" s="3">
        <f t="shared" si="25"/>
        <v>50407.829999999994</v>
      </c>
      <c r="X101" s="3">
        <f t="shared" si="26"/>
        <v>50758.289999999994</v>
      </c>
      <c r="Y101" s="3">
        <f t="shared" si="27"/>
        <v>47136.869999999995</v>
      </c>
      <c r="Z101" s="3">
        <f t="shared" si="28"/>
        <v>29029.769999999997</v>
      </c>
      <c r="AA101" s="3">
        <f t="shared" si="29"/>
        <v>9637.65</v>
      </c>
      <c r="AB101" s="3">
        <f t="shared" si="30"/>
        <v>4088.7</v>
      </c>
      <c r="AC101" s="3">
        <f t="shared" si="31"/>
        <v>50699.88</v>
      </c>
      <c r="AD101" s="3">
        <f t="shared" si="32"/>
        <v>4439.16</v>
      </c>
      <c r="AE101" s="3">
        <f t="shared" si="33"/>
        <v>40536.54</v>
      </c>
      <c r="AF101" s="3">
        <f>SUM(ecommerce_sales_all_data[[#This Row],[revenue_month_1]:[revenue_month_12]])</f>
        <v>346429.70999999996</v>
      </c>
    </row>
    <row r="102" spans="1:32" x14ac:dyDescent="0.3">
      <c r="A102">
        <v>101</v>
      </c>
      <c r="B102" t="s">
        <v>125</v>
      </c>
      <c r="C102" t="s">
        <v>48</v>
      </c>
      <c r="D102" s="2">
        <v>20.56</v>
      </c>
      <c r="E102">
        <v>1.2</v>
      </c>
      <c r="F102">
        <v>842</v>
      </c>
      <c r="G102" s="1">
        <v>294</v>
      </c>
      <c r="H102" s="1">
        <v>257</v>
      </c>
      <c r="I102" s="1">
        <v>47</v>
      </c>
      <c r="J102" s="1">
        <v>504</v>
      </c>
      <c r="K102" s="1">
        <v>611</v>
      </c>
      <c r="L102" s="1">
        <v>600</v>
      </c>
      <c r="M102" s="1">
        <v>248</v>
      </c>
      <c r="N102" s="1">
        <v>790</v>
      </c>
      <c r="O102" s="1">
        <v>910</v>
      </c>
      <c r="P102" s="1">
        <v>467</v>
      </c>
      <c r="Q102" s="1">
        <v>287</v>
      </c>
      <c r="R102" s="1">
        <v>703</v>
      </c>
      <c r="S102" s="1">
        <f>SUM(ecommerce_sales_all_data[[#This Row],[sales_month_1]:[sales_month_12]])</f>
        <v>5718</v>
      </c>
      <c r="T102" s="3">
        <f t="shared" si="22"/>
        <v>6044.6399999999994</v>
      </c>
      <c r="U102" s="3">
        <f t="shared" si="23"/>
        <v>5283.92</v>
      </c>
      <c r="V102" s="3">
        <f t="shared" si="24"/>
        <v>966.31999999999994</v>
      </c>
      <c r="W102" s="3">
        <f t="shared" si="25"/>
        <v>10362.24</v>
      </c>
      <c r="X102" s="3">
        <f t="shared" si="26"/>
        <v>12562.16</v>
      </c>
      <c r="Y102" s="3">
        <f t="shared" si="27"/>
        <v>12336</v>
      </c>
      <c r="Z102" s="3">
        <f t="shared" si="28"/>
        <v>5098.88</v>
      </c>
      <c r="AA102" s="3">
        <f t="shared" si="29"/>
        <v>16242.4</v>
      </c>
      <c r="AB102" s="3">
        <f t="shared" si="30"/>
        <v>18709.599999999999</v>
      </c>
      <c r="AC102" s="3">
        <f t="shared" si="31"/>
        <v>9601.5199999999986</v>
      </c>
      <c r="AD102" s="3">
        <f t="shared" si="32"/>
        <v>5900.7199999999993</v>
      </c>
      <c r="AE102" s="3">
        <f t="shared" si="33"/>
        <v>14453.679999999998</v>
      </c>
      <c r="AF102" s="3">
        <f>SUM(ecommerce_sales_all_data[[#This Row],[revenue_month_1]:[revenue_month_12]])</f>
        <v>117562.08</v>
      </c>
    </row>
    <row r="103" spans="1:32" x14ac:dyDescent="0.3">
      <c r="A103">
        <v>102</v>
      </c>
      <c r="B103" t="s">
        <v>126</v>
      </c>
      <c r="C103" t="s">
        <v>29</v>
      </c>
      <c r="D103" s="2">
        <v>320.02</v>
      </c>
      <c r="E103">
        <v>4.9000000000000004</v>
      </c>
      <c r="F103">
        <v>853</v>
      </c>
      <c r="G103" s="1">
        <v>450</v>
      </c>
      <c r="H103" s="1">
        <v>412</v>
      </c>
      <c r="I103" s="1">
        <v>17</v>
      </c>
      <c r="J103" s="1">
        <v>737</v>
      </c>
      <c r="K103" s="1">
        <v>518</v>
      </c>
      <c r="L103" s="1">
        <v>835</v>
      </c>
      <c r="M103" s="1">
        <v>604</v>
      </c>
      <c r="N103" s="1">
        <v>58</v>
      </c>
      <c r="O103" s="1">
        <v>913</v>
      </c>
      <c r="P103" s="1">
        <v>865</v>
      </c>
      <c r="Q103" s="1">
        <v>46</v>
      </c>
      <c r="R103" s="1">
        <v>248</v>
      </c>
      <c r="S103" s="1">
        <f>SUM(ecommerce_sales_all_data[[#This Row],[sales_month_1]:[sales_month_12]])</f>
        <v>5703</v>
      </c>
      <c r="T103" s="3">
        <f t="shared" si="22"/>
        <v>144009</v>
      </c>
      <c r="U103" s="3">
        <f t="shared" si="23"/>
        <v>131848.24</v>
      </c>
      <c r="V103" s="3">
        <f t="shared" si="24"/>
        <v>5440.34</v>
      </c>
      <c r="W103" s="3">
        <f t="shared" si="25"/>
        <v>235854.74</v>
      </c>
      <c r="X103" s="3">
        <f t="shared" si="26"/>
        <v>165770.35999999999</v>
      </c>
      <c r="Y103" s="3">
        <f t="shared" si="27"/>
        <v>267216.7</v>
      </c>
      <c r="Z103" s="3">
        <f t="shared" si="28"/>
        <v>193292.08</v>
      </c>
      <c r="AA103" s="3">
        <f t="shared" si="29"/>
        <v>18561.16</v>
      </c>
      <c r="AB103" s="3">
        <f t="shared" si="30"/>
        <v>292178.26</v>
      </c>
      <c r="AC103" s="3">
        <f t="shared" si="31"/>
        <v>276817.3</v>
      </c>
      <c r="AD103" s="3">
        <f t="shared" si="32"/>
        <v>14720.919999999998</v>
      </c>
      <c r="AE103" s="3">
        <f t="shared" si="33"/>
        <v>79364.959999999992</v>
      </c>
      <c r="AF103" s="3">
        <f>SUM(ecommerce_sales_all_data[[#This Row],[revenue_month_1]:[revenue_month_12]])</f>
        <v>1825074.0599999998</v>
      </c>
    </row>
    <row r="104" spans="1:32" x14ac:dyDescent="0.3">
      <c r="A104">
        <v>103</v>
      </c>
      <c r="B104" t="s">
        <v>127</v>
      </c>
      <c r="C104" t="s">
        <v>19</v>
      </c>
      <c r="D104" s="2">
        <v>160.61000000000001</v>
      </c>
      <c r="E104">
        <v>4.5</v>
      </c>
      <c r="F104">
        <v>517</v>
      </c>
      <c r="G104" s="1">
        <v>903</v>
      </c>
      <c r="H104" s="1">
        <v>451</v>
      </c>
      <c r="I104" s="1">
        <v>911</v>
      </c>
      <c r="J104" s="1">
        <v>687</v>
      </c>
      <c r="K104" s="1">
        <v>541</v>
      </c>
      <c r="L104" s="1">
        <v>41</v>
      </c>
      <c r="M104" s="1">
        <v>776</v>
      </c>
      <c r="N104" s="1">
        <v>601</v>
      </c>
      <c r="O104" s="1">
        <v>593</v>
      </c>
      <c r="P104" s="1">
        <v>933</v>
      </c>
      <c r="Q104" s="1">
        <v>621</v>
      </c>
      <c r="R104" s="1">
        <v>234</v>
      </c>
      <c r="S104" s="1">
        <f>SUM(ecommerce_sales_all_data[[#This Row],[sales_month_1]:[sales_month_12]])</f>
        <v>7292</v>
      </c>
      <c r="T104" s="3">
        <f t="shared" si="22"/>
        <v>145030.83000000002</v>
      </c>
      <c r="U104" s="3">
        <f t="shared" si="23"/>
        <v>72435.11</v>
      </c>
      <c r="V104" s="3">
        <f t="shared" si="24"/>
        <v>146315.71000000002</v>
      </c>
      <c r="W104" s="3">
        <f t="shared" si="25"/>
        <v>110339.07</v>
      </c>
      <c r="X104" s="3">
        <f t="shared" si="26"/>
        <v>86890.010000000009</v>
      </c>
      <c r="Y104" s="3">
        <f t="shared" si="27"/>
        <v>6585.01</v>
      </c>
      <c r="Z104" s="3">
        <f t="shared" si="28"/>
        <v>124633.36000000002</v>
      </c>
      <c r="AA104" s="3">
        <f t="shared" si="29"/>
        <v>96526.610000000015</v>
      </c>
      <c r="AB104" s="3">
        <f t="shared" si="30"/>
        <v>95241.73000000001</v>
      </c>
      <c r="AC104" s="3">
        <f t="shared" si="31"/>
        <v>149849.13</v>
      </c>
      <c r="AD104" s="3">
        <f t="shared" si="32"/>
        <v>99738.810000000012</v>
      </c>
      <c r="AE104" s="3">
        <f t="shared" si="33"/>
        <v>37582.740000000005</v>
      </c>
      <c r="AF104" s="3">
        <f>SUM(ecommerce_sales_all_data[[#This Row],[revenue_month_1]:[revenue_month_12]])</f>
        <v>1171168.1199999999</v>
      </c>
    </row>
    <row r="105" spans="1:32" x14ac:dyDescent="0.3">
      <c r="A105">
        <v>104</v>
      </c>
      <c r="B105" t="s">
        <v>128</v>
      </c>
      <c r="C105" t="s">
        <v>21</v>
      </c>
      <c r="D105" s="2">
        <v>256.74</v>
      </c>
      <c r="E105">
        <v>4.7</v>
      </c>
      <c r="F105">
        <v>514</v>
      </c>
      <c r="G105" s="1">
        <v>214</v>
      </c>
      <c r="H105" s="1">
        <v>64</v>
      </c>
      <c r="I105" s="1">
        <v>438</v>
      </c>
      <c r="J105" s="1">
        <v>787</v>
      </c>
      <c r="K105" s="1">
        <v>466</v>
      </c>
      <c r="L105" s="1">
        <v>914</v>
      </c>
      <c r="M105" s="1">
        <v>270</v>
      </c>
      <c r="N105" s="1">
        <v>882</v>
      </c>
      <c r="O105" s="1">
        <v>371</v>
      </c>
      <c r="P105" s="1">
        <v>537</v>
      </c>
      <c r="Q105" s="1">
        <v>199</v>
      </c>
      <c r="R105" s="1">
        <v>82</v>
      </c>
      <c r="S105" s="1">
        <f>SUM(ecommerce_sales_all_data[[#This Row],[sales_month_1]:[sales_month_12]])</f>
        <v>5224</v>
      </c>
      <c r="T105" s="3">
        <f t="shared" si="22"/>
        <v>54942.36</v>
      </c>
      <c r="U105" s="3">
        <f t="shared" si="23"/>
        <v>16431.36</v>
      </c>
      <c r="V105" s="3">
        <f t="shared" si="24"/>
        <v>112452.12000000001</v>
      </c>
      <c r="W105" s="3">
        <f t="shared" si="25"/>
        <v>202054.38</v>
      </c>
      <c r="X105" s="3">
        <f t="shared" si="26"/>
        <v>119640.84000000001</v>
      </c>
      <c r="Y105" s="3">
        <f t="shared" si="27"/>
        <v>234660.36000000002</v>
      </c>
      <c r="Z105" s="3">
        <f t="shared" si="28"/>
        <v>69319.8</v>
      </c>
      <c r="AA105" s="3">
        <f t="shared" si="29"/>
        <v>226444.68000000002</v>
      </c>
      <c r="AB105" s="3">
        <f t="shared" si="30"/>
        <v>95250.540000000008</v>
      </c>
      <c r="AC105" s="3">
        <f t="shared" si="31"/>
        <v>137869.38</v>
      </c>
      <c r="AD105" s="3">
        <f t="shared" si="32"/>
        <v>51091.26</v>
      </c>
      <c r="AE105" s="3">
        <f t="shared" si="33"/>
        <v>21052.68</v>
      </c>
      <c r="AF105" s="3">
        <f>SUM(ecommerce_sales_all_data[[#This Row],[revenue_month_1]:[revenue_month_12]])</f>
        <v>1341209.7600000002</v>
      </c>
    </row>
    <row r="106" spans="1:32" x14ac:dyDescent="0.3">
      <c r="A106">
        <v>105</v>
      </c>
      <c r="B106" t="s">
        <v>129</v>
      </c>
      <c r="C106" t="s">
        <v>35</v>
      </c>
      <c r="D106" s="2">
        <v>454.25</v>
      </c>
      <c r="E106">
        <v>5</v>
      </c>
      <c r="F106">
        <v>22</v>
      </c>
      <c r="G106" s="1">
        <v>973</v>
      </c>
      <c r="H106" s="1">
        <v>594</v>
      </c>
      <c r="I106" s="1">
        <v>806</v>
      </c>
      <c r="J106" s="1">
        <v>38</v>
      </c>
      <c r="K106" s="1">
        <v>304</v>
      </c>
      <c r="L106" s="1">
        <v>209</v>
      </c>
      <c r="M106" s="1">
        <v>605</v>
      </c>
      <c r="N106" s="1">
        <v>842</v>
      </c>
      <c r="O106" s="1">
        <v>616</v>
      </c>
      <c r="P106" s="1">
        <v>209</v>
      </c>
      <c r="Q106" s="1">
        <v>426</v>
      </c>
      <c r="R106" s="1">
        <v>92</v>
      </c>
      <c r="S106" s="1">
        <f>SUM(ecommerce_sales_all_data[[#This Row],[sales_month_1]:[sales_month_12]])</f>
        <v>5714</v>
      </c>
      <c r="T106" s="3">
        <f t="shared" si="22"/>
        <v>441985.25</v>
      </c>
      <c r="U106" s="3">
        <f t="shared" si="23"/>
        <v>269824.5</v>
      </c>
      <c r="V106" s="3">
        <f t="shared" si="24"/>
        <v>366125.5</v>
      </c>
      <c r="W106" s="3">
        <f t="shared" si="25"/>
        <v>17261.5</v>
      </c>
      <c r="X106" s="3">
        <f t="shared" si="26"/>
        <v>138092</v>
      </c>
      <c r="Y106" s="3">
        <f t="shared" si="27"/>
        <v>94938.25</v>
      </c>
      <c r="Z106" s="3">
        <f t="shared" si="28"/>
        <v>274821.25</v>
      </c>
      <c r="AA106" s="3">
        <f t="shared" si="29"/>
        <v>382478.5</v>
      </c>
      <c r="AB106" s="3">
        <f t="shared" si="30"/>
        <v>279818</v>
      </c>
      <c r="AC106" s="3">
        <f t="shared" si="31"/>
        <v>94938.25</v>
      </c>
      <c r="AD106" s="3">
        <f t="shared" si="32"/>
        <v>193510.5</v>
      </c>
      <c r="AE106" s="3">
        <f t="shared" si="33"/>
        <v>41791</v>
      </c>
      <c r="AF106" s="3">
        <f>SUM(ecommerce_sales_all_data[[#This Row],[revenue_month_1]:[revenue_month_12]])</f>
        <v>2595584.5</v>
      </c>
    </row>
    <row r="107" spans="1:32" x14ac:dyDescent="0.3">
      <c r="A107">
        <v>106</v>
      </c>
      <c r="B107" t="s">
        <v>130</v>
      </c>
      <c r="C107" t="s">
        <v>26</v>
      </c>
      <c r="D107" s="2">
        <v>128.4</v>
      </c>
      <c r="E107">
        <v>1.7</v>
      </c>
      <c r="F107">
        <v>112</v>
      </c>
      <c r="G107" s="1">
        <v>631</v>
      </c>
      <c r="H107" s="1">
        <v>153</v>
      </c>
      <c r="I107" s="1">
        <v>707</v>
      </c>
      <c r="J107" s="1">
        <v>59</v>
      </c>
      <c r="K107" s="1">
        <v>984</v>
      </c>
      <c r="L107" s="1">
        <v>740</v>
      </c>
      <c r="M107" s="1">
        <v>665</v>
      </c>
      <c r="N107" s="1">
        <v>923</v>
      </c>
      <c r="O107" s="1">
        <v>599</v>
      </c>
      <c r="P107" s="1">
        <v>603</v>
      </c>
      <c r="Q107" s="1">
        <v>209</v>
      </c>
      <c r="R107" s="1">
        <v>884</v>
      </c>
      <c r="S107" s="1">
        <f>SUM(ecommerce_sales_all_data[[#This Row],[sales_month_1]:[sales_month_12]])</f>
        <v>7157</v>
      </c>
      <c r="T107" s="3">
        <f t="shared" si="22"/>
        <v>81020.400000000009</v>
      </c>
      <c r="U107" s="3">
        <f t="shared" si="23"/>
        <v>19645.2</v>
      </c>
      <c r="V107" s="3">
        <f t="shared" si="24"/>
        <v>90778.8</v>
      </c>
      <c r="W107" s="3">
        <f t="shared" si="25"/>
        <v>7575.6</v>
      </c>
      <c r="X107" s="3">
        <f t="shared" si="26"/>
        <v>126345.60000000001</v>
      </c>
      <c r="Y107" s="3">
        <f t="shared" si="27"/>
        <v>95016</v>
      </c>
      <c r="Z107" s="3">
        <f t="shared" si="28"/>
        <v>85386</v>
      </c>
      <c r="AA107" s="3">
        <f t="shared" si="29"/>
        <v>118513.20000000001</v>
      </c>
      <c r="AB107" s="3">
        <f t="shared" si="30"/>
        <v>76911.600000000006</v>
      </c>
      <c r="AC107" s="3">
        <f t="shared" si="31"/>
        <v>77425.2</v>
      </c>
      <c r="AD107" s="3">
        <f t="shared" si="32"/>
        <v>26835.600000000002</v>
      </c>
      <c r="AE107" s="3">
        <f t="shared" si="33"/>
        <v>113505.60000000001</v>
      </c>
      <c r="AF107" s="3">
        <f>SUM(ecommerce_sales_all_data[[#This Row],[revenue_month_1]:[revenue_month_12]])</f>
        <v>918958.79999999993</v>
      </c>
    </row>
    <row r="108" spans="1:32" x14ac:dyDescent="0.3">
      <c r="A108">
        <v>107</v>
      </c>
      <c r="B108" t="s">
        <v>131</v>
      </c>
      <c r="C108" t="s">
        <v>26</v>
      </c>
      <c r="D108" s="2">
        <v>208.14</v>
      </c>
      <c r="E108">
        <v>2.6</v>
      </c>
      <c r="F108">
        <v>57</v>
      </c>
      <c r="G108" s="1">
        <v>893</v>
      </c>
      <c r="H108" s="1">
        <v>984</v>
      </c>
      <c r="I108" s="1">
        <v>186</v>
      </c>
      <c r="J108" s="1">
        <v>577</v>
      </c>
      <c r="K108" s="1">
        <v>143</v>
      </c>
      <c r="L108" s="1">
        <v>861</v>
      </c>
      <c r="M108" s="1">
        <v>393</v>
      </c>
      <c r="N108" s="1">
        <v>503</v>
      </c>
      <c r="O108" s="1">
        <v>513</v>
      </c>
      <c r="P108" s="1">
        <v>636</v>
      </c>
      <c r="Q108" s="1">
        <v>887</v>
      </c>
      <c r="R108" s="1">
        <v>393</v>
      </c>
      <c r="S108" s="1">
        <f>SUM(ecommerce_sales_all_data[[#This Row],[sales_month_1]:[sales_month_12]])</f>
        <v>6969</v>
      </c>
      <c r="T108" s="3">
        <f t="shared" si="22"/>
        <v>185869.02</v>
      </c>
      <c r="U108" s="3">
        <f t="shared" si="23"/>
        <v>204809.75999999998</v>
      </c>
      <c r="V108" s="3">
        <f t="shared" si="24"/>
        <v>38714.04</v>
      </c>
      <c r="W108" s="3">
        <f t="shared" si="25"/>
        <v>120096.78</v>
      </c>
      <c r="X108" s="3">
        <f t="shared" si="26"/>
        <v>29764.019999999997</v>
      </c>
      <c r="Y108" s="3">
        <f t="shared" si="27"/>
        <v>179208.53999999998</v>
      </c>
      <c r="Z108" s="3">
        <f t="shared" si="28"/>
        <v>81799.01999999999</v>
      </c>
      <c r="AA108" s="3">
        <f t="shared" si="29"/>
        <v>104694.42</v>
      </c>
      <c r="AB108" s="3">
        <f t="shared" si="30"/>
        <v>106775.81999999999</v>
      </c>
      <c r="AC108" s="3">
        <f t="shared" si="31"/>
        <v>132377.03999999998</v>
      </c>
      <c r="AD108" s="3">
        <f t="shared" si="32"/>
        <v>184620.18</v>
      </c>
      <c r="AE108" s="3">
        <f t="shared" si="33"/>
        <v>81799.01999999999</v>
      </c>
      <c r="AF108" s="3">
        <f>SUM(ecommerce_sales_all_data[[#This Row],[revenue_month_1]:[revenue_month_12]])</f>
        <v>1450527.66</v>
      </c>
    </row>
    <row r="109" spans="1:32" x14ac:dyDescent="0.3">
      <c r="A109">
        <v>108</v>
      </c>
      <c r="B109" t="s">
        <v>132</v>
      </c>
      <c r="C109" t="s">
        <v>26</v>
      </c>
      <c r="D109" s="2">
        <v>379</v>
      </c>
      <c r="E109">
        <v>4</v>
      </c>
      <c r="F109">
        <v>66</v>
      </c>
      <c r="G109" s="1">
        <v>566</v>
      </c>
      <c r="H109" s="1">
        <v>265</v>
      </c>
      <c r="I109" s="1">
        <v>344</v>
      </c>
      <c r="J109" s="1">
        <v>320</v>
      </c>
      <c r="K109" s="1">
        <v>110</v>
      </c>
      <c r="L109" s="1">
        <v>274</v>
      </c>
      <c r="M109" s="1">
        <v>796</v>
      </c>
      <c r="N109" s="1">
        <v>705</v>
      </c>
      <c r="O109" s="1">
        <v>871</v>
      </c>
      <c r="P109" s="1">
        <v>946</v>
      </c>
      <c r="Q109" s="1">
        <v>419</v>
      </c>
      <c r="R109" s="1">
        <v>823</v>
      </c>
      <c r="S109" s="1">
        <f>SUM(ecommerce_sales_all_data[[#This Row],[sales_month_1]:[sales_month_12]])</f>
        <v>6439</v>
      </c>
      <c r="T109" s="3">
        <f t="shared" si="22"/>
        <v>214514</v>
      </c>
      <c r="U109" s="3">
        <f t="shared" si="23"/>
        <v>100435</v>
      </c>
      <c r="V109" s="3">
        <f t="shared" si="24"/>
        <v>130376</v>
      </c>
      <c r="W109" s="3">
        <f t="shared" si="25"/>
        <v>121280</v>
      </c>
      <c r="X109" s="3">
        <f t="shared" si="26"/>
        <v>41690</v>
      </c>
      <c r="Y109" s="3">
        <f t="shared" si="27"/>
        <v>103846</v>
      </c>
      <c r="Z109" s="3">
        <f t="shared" si="28"/>
        <v>301684</v>
      </c>
      <c r="AA109" s="3">
        <f t="shared" si="29"/>
        <v>267195</v>
      </c>
      <c r="AB109" s="3">
        <f t="shared" si="30"/>
        <v>330109</v>
      </c>
      <c r="AC109" s="3">
        <f t="shared" si="31"/>
        <v>358534</v>
      </c>
      <c r="AD109" s="3">
        <f t="shared" si="32"/>
        <v>158801</v>
      </c>
      <c r="AE109" s="3">
        <f t="shared" si="33"/>
        <v>311917</v>
      </c>
      <c r="AF109" s="3">
        <f>SUM(ecommerce_sales_all_data[[#This Row],[revenue_month_1]:[revenue_month_12]])</f>
        <v>2440381</v>
      </c>
    </row>
    <row r="110" spans="1:32" x14ac:dyDescent="0.3">
      <c r="A110">
        <v>109</v>
      </c>
      <c r="B110" t="s">
        <v>133</v>
      </c>
      <c r="C110" t="s">
        <v>21</v>
      </c>
      <c r="D110" s="2">
        <v>118.26</v>
      </c>
      <c r="E110">
        <v>3.8</v>
      </c>
      <c r="F110">
        <v>842</v>
      </c>
      <c r="G110" s="1">
        <v>26</v>
      </c>
      <c r="H110" s="1">
        <v>820</v>
      </c>
      <c r="I110" s="1">
        <v>223</v>
      </c>
      <c r="J110" s="1">
        <v>434</v>
      </c>
      <c r="K110" s="1">
        <v>231</v>
      </c>
      <c r="L110" s="1">
        <v>953</v>
      </c>
      <c r="M110" s="1">
        <v>501</v>
      </c>
      <c r="N110" s="1">
        <v>122</v>
      </c>
      <c r="O110" s="1">
        <v>83</v>
      </c>
      <c r="P110" s="1">
        <v>72</v>
      </c>
      <c r="Q110" s="1">
        <v>153</v>
      </c>
      <c r="R110" s="1">
        <v>267</v>
      </c>
      <c r="S110" s="1">
        <f>SUM(ecommerce_sales_all_data[[#This Row],[sales_month_1]:[sales_month_12]])</f>
        <v>3885</v>
      </c>
      <c r="T110" s="3">
        <f t="shared" si="22"/>
        <v>3074.76</v>
      </c>
      <c r="U110" s="3">
        <f t="shared" si="23"/>
        <v>96973.2</v>
      </c>
      <c r="V110" s="3">
        <f t="shared" si="24"/>
        <v>26371.98</v>
      </c>
      <c r="W110" s="3">
        <f t="shared" si="25"/>
        <v>51324.840000000004</v>
      </c>
      <c r="X110" s="3">
        <f t="shared" si="26"/>
        <v>27318.06</v>
      </c>
      <c r="Y110" s="3">
        <f t="shared" si="27"/>
        <v>112701.78</v>
      </c>
      <c r="Z110" s="3">
        <f t="shared" si="28"/>
        <v>59248.26</v>
      </c>
      <c r="AA110" s="3">
        <f t="shared" si="29"/>
        <v>14427.720000000001</v>
      </c>
      <c r="AB110" s="3">
        <f t="shared" si="30"/>
        <v>9815.58</v>
      </c>
      <c r="AC110" s="3">
        <f t="shared" si="31"/>
        <v>8514.7200000000012</v>
      </c>
      <c r="AD110" s="3">
        <f t="shared" si="32"/>
        <v>18093.780000000002</v>
      </c>
      <c r="AE110" s="3">
        <f t="shared" si="33"/>
        <v>31575.420000000002</v>
      </c>
      <c r="AF110" s="3">
        <f>SUM(ecommerce_sales_all_data[[#This Row],[revenue_month_1]:[revenue_month_12]])</f>
        <v>459440.10000000003</v>
      </c>
    </row>
    <row r="111" spans="1:32" x14ac:dyDescent="0.3">
      <c r="A111">
        <v>110</v>
      </c>
      <c r="B111" t="s">
        <v>134</v>
      </c>
      <c r="C111" t="s">
        <v>29</v>
      </c>
      <c r="D111" s="2">
        <v>43.11</v>
      </c>
      <c r="E111">
        <v>1.6</v>
      </c>
      <c r="F111">
        <v>98</v>
      </c>
      <c r="G111" s="1">
        <v>629</v>
      </c>
      <c r="H111" s="1">
        <v>78</v>
      </c>
      <c r="I111" s="1">
        <v>829</v>
      </c>
      <c r="J111" s="1">
        <v>635</v>
      </c>
      <c r="K111" s="1">
        <v>690</v>
      </c>
      <c r="L111" s="1">
        <v>278</v>
      </c>
      <c r="M111" s="1">
        <v>591</v>
      </c>
      <c r="N111" s="1">
        <v>647</v>
      </c>
      <c r="O111" s="1">
        <v>993</v>
      </c>
      <c r="P111" s="1">
        <v>991</v>
      </c>
      <c r="Q111" s="1">
        <v>521</v>
      </c>
      <c r="R111" s="1">
        <v>416</v>
      </c>
      <c r="S111" s="1">
        <f>SUM(ecommerce_sales_all_data[[#This Row],[sales_month_1]:[sales_month_12]])</f>
        <v>7298</v>
      </c>
      <c r="T111" s="3">
        <f t="shared" si="22"/>
        <v>27116.19</v>
      </c>
      <c r="U111" s="3">
        <f t="shared" si="23"/>
        <v>3362.58</v>
      </c>
      <c r="V111" s="3">
        <f t="shared" si="24"/>
        <v>35738.19</v>
      </c>
      <c r="W111" s="3">
        <f t="shared" si="25"/>
        <v>27374.85</v>
      </c>
      <c r="X111" s="3">
        <f t="shared" si="26"/>
        <v>29745.899999999998</v>
      </c>
      <c r="Y111" s="3">
        <f t="shared" si="27"/>
        <v>11984.58</v>
      </c>
      <c r="Z111" s="3">
        <f t="shared" si="28"/>
        <v>25478.01</v>
      </c>
      <c r="AA111" s="3">
        <f t="shared" si="29"/>
        <v>27892.17</v>
      </c>
      <c r="AB111" s="3">
        <f t="shared" si="30"/>
        <v>42808.229999999996</v>
      </c>
      <c r="AC111" s="3">
        <f t="shared" si="31"/>
        <v>42722.01</v>
      </c>
      <c r="AD111" s="3">
        <f t="shared" si="32"/>
        <v>22460.31</v>
      </c>
      <c r="AE111" s="3">
        <f t="shared" si="33"/>
        <v>17933.759999999998</v>
      </c>
      <c r="AF111" s="3">
        <f>SUM(ecommerce_sales_all_data[[#This Row],[revenue_month_1]:[revenue_month_12]])</f>
        <v>314616.77999999997</v>
      </c>
    </row>
    <row r="112" spans="1:32" x14ac:dyDescent="0.3">
      <c r="A112">
        <v>111</v>
      </c>
      <c r="B112" t="s">
        <v>135</v>
      </c>
      <c r="C112" t="s">
        <v>26</v>
      </c>
      <c r="D112" s="2">
        <v>148.43</v>
      </c>
      <c r="E112">
        <v>4.3</v>
      </c>
      <c r="F112">
        <v>144</v>
      </c>
      <c r="G112" s="1">
        <v>732</v>
      </c>
      <c r="H112" s="1">
        <v>314</v>
      </c>
      <c r="I112" s="1">
        <v>487</v>
      </c>
      <c r="J112" s="1">
        <v>675</v>
      </c>
      <c r="K112" s="1">
        <v>583</v>
      </c>
      <c r="L112" s="1">
        <v>250</v>
      </c>
      <c r="M112" s="1">
        <v>803</v>
      </c>
      <c r="N112" s="1">
        <v>412</v>
      </c>
      <c r="O112" s="1">
        <v>42</v>
      </c>
      <c r="P112" s="1">
        <v>634</v>
      </c>
      <c r="Q112" s="1">
        <v>414</v>
      </c>
      <c r="R112" s="1">
        <v>631</v>
      </c>
      <c r="S112" s="1">
        <f>SUM(ecommerce_sales_all_data[[#This Row],[sales_month_1]:[sales_month_12]])</f>
        <v>5977</v>
      </c>
      <c r="T112" s="3">
        <f t="shared" si="22"/>
        <v>108650.76000000001</v>
      </c>
      <c r="U112" s="3">
        <f t="shared" si="23"/>
        <v>46607.020000000004</v>
      </c>
      <c r="V112" s="3">
        <f t="shared" si="24"/>
        <v>72285.41</v>
      </c>
      <c r="W112" s="3">
        <f t="shared" si="25"/>
        <v>100190.25</v>
      </c>
      <c r="X112" s="3">
        <f t="shared" si="26"/>
        <v>86534.69</v>
      </c>
      <c r="Y112" s="3">
        <f t="shared" si="27"/>
        <v>37107.5</v>
      </c>
      <c r="Z112" s="3">
        <f t="shared" si="28"/>
        <v>119189.29000000001</v>
      </c>
      <c r="AA112" s="3">
        <f t="shared" si="29"/>
        <v>61153.16</v>
      </c>
      <c r="AB112" s="3">
        <f t="shared" si="30"/>
        <v>6234.06</v>
      </c>
      <c r="AC112" s="3">
        <f t="shared" si="31"/>
        <v>94104.62000000001</v>
      </c>
      <c r="AD112" s="3">
        <f t="shared" si="32"/>
        <v>61450.020000000004</v>
      </c>
      <c r="AE112" s="3">
        <f t="shared" si="33"/>
        <v>93659.33</v>
      </c>
      <c r="AF112" s="3">
        <f>SUM(ecommerce_sales_all_data[[#This Row],[revenue_month_1]:[revenue_month_12]])</f>
        <v>887166.1100000001</v>
      </c>
    </row>
    <row r="113" spans="1:32" x14ac:dyDescent="0.3">
      <c r="A113">
        <v>112</v>
      </c>
      <c r="B113" t="s">
        <v>136</v>
      </c>
      <c r="C113" t="s">
        <v>29</v>
      </c>
      <c r="D113" s="2">
        <v>84.8</v>
      </c>
      <c r="E113">
        <v>1.9</v>
      </c>
      <c r="F113">
        <v>880</v>
      </c>
      <c r="G113" s="1">
        <v>230</v>
      </c>
      <c r="H113" s="1">
        <v>661</v>
      </c>
      <c r="I113" s="1">
        <v>908</v>
      </c>
      <c r="J113" s="1">
        <v>407</v>
      </c>
      <c r="K113" s="1">
        <v>721</v>
      </c>
      <c r="L113" s="1">
        <v>309</v>
      </c>
      <c r="M113" s="1">
        <v>83</v>
      </c>
      <c r="N113" s="1">
        <v>138</v>
      </c>
      <c r="O113" s="1">
        <v>665</v>
      </c>
      <c r="P113" s="1">
        <v>308</v>
      </c>
      <c r="Q113" s="1">
        <v>352</v>
      </c>
      <c r="R113" s="1">
        <v>582</v>
      </c>
      <c r="S113" s="1">
        <f>SUM(ecommerce_sales_all_data[[#This Row],[sales_month_1]:[sales_month_12]])</f>
        <v>5364</v>
      </c>
      <c r="T113" s="3">
        <f t="shared" si="22"/>
        <v>19504</v>
      </c>
      <c r="U113" s="3">
        <f t="shared" si="23"/>
        <v>56052.799999999996</v>
      </c>
      <c r="V113" s="3">
        <f t="shared" si="24"/>
        <v>76998.399999999994</v>
      </c>
      <c r="W113" s="3">
        <f t="shared" si="25"/>
        <v>34513.599999999999</v>
      </c>
      <c r="X113" s="3">
        <f t="shared" si="26"/>
        <v>61140.799999999996</v>
      </c>
      <c r="Y113" s="3">
        <f t="shared" si="27"/>
        <v>26203.200000000001</v>
      </c>
      <c r="Z113" s="3">
        <f t="shared" si="28"/>
        <v>7038.4</v>
      </c>
      <c r="AA113" s="3">
        <f t="shared" si="29"/>
        <v>11702.4</v>
      </c>
      <c r="AB113" s="3">
        <f t="shared" si="30"/>
        <v>56392</v>
      </c>
      <c r="AC113" s="3">
        <f t="shared" si="31"/>
        <v>26118.399999999998</v>
      </c>
      <c r="AD113" s="3">
        <f t="shared" si="32"/>
        <v>29849.599999999999</v>
      </c>
      <c r="AE113" s="3">
        <f t="shared" si="33"/>
        <v>49353.599999999999</v>
      </c>
      <c r="AF113" s="3">
        <f>SUM(ecommerce_sales_all_data[[#This Row],[revenue_month_1]:[revenue_month_12]])</f>
        <v>454867.20000000001</v>
      </c>
    </row>
    <row r="114" spans="1:32" x14ac:dyDescent="0.3">
      <c r="A114">
        <v>113</v>
      </c>
      <c r="B114" t="s">
        <v>137</v>
      </c>
      <c r="C114" t="s">
        <v>19</v>
      </c>
      <c r="D114" s="2">
        <v>465.2</v>
      </c>
      <c r="E114">
        <v>1.9</v>
      </c>
      <c r="F114">
        <v>435</v>
      </c>
      <c r="G114" s="1">
        <v>564</v>
      </c>
      <c r="H114" s="1">
        <v>946</v>
      </c>
      <c r="I114" s="1">
        <v>876</v>
      </c>
      <c r="J114" s="1">
        <v>922</v>
      </c>
      <c r="K114" s="1">
        <v>731</v>
      </c>
      <c r="L114" s="1">
        <v>719</v>
      </c>
      <c r="M114" s="1">
        <v>364</v>
      </c>
      <c r="N114" s="1">
        <v>228</v>
      </c>
      <c r="O114" s="1">
        <v>838</v>
      </c>
      <c r="P114" s="1">
        <v>695</v>
      </c>
      <c r="Q114" s="1">
        <v>156</v>
      </c>
      <c r="R114" s="1">
        <v>528</v>
      </c>
      <c r="S114" s="1">
        <f>SUM(ecommerce_sales_all_data[[#This Row],[sales_month_1]:[sales_month_12]])</f>
        <v>7567</v>
      </c>
      <c r="T114" s="3">
        <f t="shared" si="22"/>
        <v>262372.8</v>
      </c>
      <c r="U114" s="3">
        <f t="shared" si="23"/>
        <v>440079.2</v>
      </c>
      <c r="V114" s="3">
        <f t="shared" si="24"/>
        <v>407515.2</v>
      </c>
      <c r="W114" s="3">
        <f t="shared" si="25"/>
        <v>428914.39999999997</v>
      </c>
      <c r="X114" s="3">
        <f t="shared" si="26"/>
        <v>340061.2</v>
      </c>
      <c r="Y114" s="3">
        <f t="shared" si="27"/>
        <v>334478.8</v>
      </c>
      <c r="Z114" s="3">
        <f t="shared" si="28"/>
        <v>169332.8</v>
      </c>
      <c r="AA114" s="3">
        <f t="shared" si="29"/>
        <v>106065.59999999999</v>
      </c>
      <c r="AB114" s="3">
        <f t="shared" si="30"/>
        <v>389837.6</v>
      </c>
      <c r="AC114" s="3">
        <f t="shared" si="31"/>
        <v>323314</v>
      </c>
      <c r="AD114" s="3">
        <f t="shared" si="32"/>
        <v>72571.199999999997</v>
      </c>
      <c r="AE114" s="3">
        <f t="shared" si="33"/>
        <v>245625.60000000001</v>
      </c>
      <c r="AF114" s="3">
        <f>SUM(ecommerce_sales_all_data[[#This Row],[revenue_month_1]:[revenue_month_12]])</f>
        <v>3520168.4</v>
      </c>
    </row>
    <row r="115" spans="1:32" x14ac:dyDescent="0.3">
      <c r="A115">
        <v>114</v>
      </c>
      <c r="B115" t="s">
        <v>138</v>
      </c>
      <c r="C115" t="s">
        <v>48</v>
      </c>
      <c r="D115" s="2">
        <v>405.02</v>
      </c>
      <c r="E115">
        <v>3.1</v>
      </c>
      <c r="F115">
        <v>637</v>
      </c>
      <c r="G115" s="1">
        <v>806</v>
      </c>
      <c r="H115" s="1">
        <v>559</v>
      </c>
      <c r="I115" s="1">
        <v>848</v>
      </c>
      <c r="J115" s="1">
        <v>385</v>
      </c>
      <c r="K115" s="1">
        <v>591</v>
      </c>
      <c r="L115" s="1">
        <v>832</v>
      </c>
      <c r="M115" s="1">
        <v>885</v>
      </c>
      <c r="N115" s="1">
        <v>273</v>
      </c>
      <c r="O115" s="1">
        <v>933</v>
      </c>
      <c r="P115" s="1">
        <v>698</v>
      </c>
      <c r="Q115" s="1">
        <v>260</v>
      </c>
      <c r="R115" s="1">
        <v>252</v>
      </c>
      <c r="S115" s="1">
        <f>SUM(ecommerce_sales_all_data[[#This Row],[sales_month_1]:[sales_month_12]])</f>
        <v>7322</v>
      </c>
      <c r="T115" s="3">
        <f t="shared" si="22"/>
        <v>326446.12</v>
      </c>
      <c r="U115" s="3">
        <f t="shared" si="23"/>
        <v>226406.18</v>
      </c>
      <c r="V115" s="3">
        <f t="shared" si="24"/>
        <v>343456.95999999996</v>
      </c>
      <c r="W115" s="3">
        <f t="shared" si="25"/>
        <v>155932.69999999998</v>
      </c>
      <c r="X115" s="3">
        <f t="shared" si="26"/>
        <v>239366.81999999998</v>
      </c>
      <c r="Y115" s="3">
        <f t="shared" si="27"/>
        <v>336976.64000000001</v>
      </c>
      <c r="Z115" s="3">
        <f t="shared" si="28"/>
        <v>358442.7</v>
      </c>
      <c r="AA115" s="3">
        <f t="shared" si="29"/>
        <v>110570.45999999999</v>
      </c>
      <c r="AB115" s="3">
        <f t="shared" si="30"/>
        <v>377883.66</v>
      </c>
      <c r="AC115" s="3">
        <f t="shared" si="31"/>
        <v>282703.95999999996</v>
      </c>
      <c r="AD115" s="3">
        <f t="shared" si="32"/>
        <v>105305.2</v>
      </c>
      <c r="AE115" s="3">
        <f t="shared" si="33"/>
        <v>102065.04</v>
      </c>
      <c r="AF115" s="3">
        <f>SUM(ecommerce_sales_all_data[[#This Row],[revenue_month_1]:[revenue_month_12]])</f>
        <v>2965556.4400000004</v>
      </c>
    </row>
    <row r="116" spans="1:32" x14ac:dyDescent="0.3">
      <c r="A116">
        <v>115</v>
      </c>
      <c r="B116" t="s">
        <v>139</v>
      </c>
      <c r="C116" t="s">
        <v>48</v>
      </c>
      <c r="D116" s="2">
        <v>318.52999999999997</v>
      </c>
      <c r="E116">
        <v>3.4</v>
      </c>
      <c r="F116">
        <v>679</v>
      </c>
      <c r="G116" s="1">
        <v>320</v>
      </c>
      <c r="H116" s="1">
        <v>916</v>
      </c>
      <c r="I116" s="1">
        <v>228</v>
      </c>
      <c r="J116" s="1">
        <v>670</v>
      </c>
      <c r="K116" s="1">
        <v>499</v>
      </c>
      <c r="L116" s="1">
        <v>139</v>
      </c>
      <c r="M116" s="1">
        <v>548</v>
      </c>
      <c r="N116" s="1">
        <v>438</v>
      </c>
      <c r="O116" s="1">
        <v>605</v>
      </c>
      <c r="P116" s="1">
        <v>709</v>
      </c>
      <c r="Q116" s="1">
        <v>76</v>
      </c>
      <c r="R116" s="1">
        <v>956</v>
      </c>
      <c r="S116" s="1">
        <f>SUM(ecommerce_sales_all_data[[#This Row],[sales_month_1]:[sales_month_12]])</f>
        <v>6104</v>
      </c>
      <c r="T116" s="3">
        <f t="shared" si="22"/>
        <v>101929.59999999999</v>
      </c>
      <c r="U116" s="3">
        <f t="shared" si="23"/>
        <v>291773.48</v>
      </c>
      <c r="V116" s="3">
        <f t="shared" si="24"/>
        <v>72624.84</v>
      </c>
      <c r="W116" s="3">
        <f t="shared" si="25"/>
        <v>213415.09999999998</v>
      </c>
      <c r="X116" s="3">
        <f t="shared" si="26"/>
        <v>158946.46999999997</v>
      </c>
      <c r="Y116" s="3">
        <f t="shared" si="27"/>
        <v>44275.67</v>
      </c>
      <c r="Z116" s="3">
        <f t="shared" si="28"/>
        <v>174554.43999999997</v>
      </c>
      <c r="AA116" s="3">
        <f t="shared" si="29"/>
        <v>139516.13999999998</v>
      </c>
      <c r="AB116" s="3">
        <f t="shared" si="30"/>
        <v>192710.65</v>
      </c>
      <c r="AC116" s="3">
        <f t="shared" si="31"/>
        <v>225837.77</v>
      </c>
      <c r="AD116" s="3">
        <f t="shared" si="32"/>
        <v>24208.28</v>
      </c>
      <c r="AE116" s="3">
        <f t="shared" si="33"/>
        <v>304514.68</v>
      </c>
      <c r="AF116" s="3">
        <f>SUM(ecommerce_sales_all_data[[#This Row],[revenue_month_1]:[revenue_month_12]])</f>
        <v>1944307.1199999996</v>
      </c>
    </row>
    <row r="117" spans="1:32" x14ac:dyDescent="0.3">
      <c r="A117">
        <v>116</v>
      </c>
      <c r="B117" t="s">
        <v>140</v>
      </c>
      <c r="C117" t="s">
        <v>29</v>
      </c>
      <c r="D117" s="2">
        <v>436.37</v>
      </c>
      <c r="E117">
        <v>3.3</v>
      </c>
      <c r="F117">
        <v>86</v>
      </c>
      <c r="G117" s="1">
        <v>912</v>
      </c>
      <c r="H117" s="1">
        <v>890</v>
      </c>
      <c r="I117" s="1">
        <v>389</v>
      </c>
      <c r="J117" s="1">
        <v>568</v>
      </c>
      <c r="K117" s="1">
        <v>594</v>
      </c>
      <c r="L117" s="1">
        <v>791</v>
      </c>
      <c r="M117" s="1">
        <v>341</v>
      </c>
      <c r="N117" s="1">
        <v>561</v>
      </c>
      <c r="O117" s="1">
        <v>809</v>
      </c>
      <c r="P117" s="1">
        <v>589</v>
      </c>
      <c r="Q117" s="1">
        <v>768</v>
      </c>
      <c r="R117" s="1">
        <v>121</v>
      </c>
      <c r="S117" s="1">
        <f>SUM(ecommerce_sales_all_data[[#This Row],[sales_month_1]:[sales_month_12]])</f>
        <v>7333</v>
      </c>
      <c r="T117" s="3">
        <f t="shared" si="22"/>
        <v>397969.44</v>
      </c>
      <c r="U117" s="3">
        <f t="shared" si="23"/>
        <v>388369.3</v>
      </c>
      <c r="V117" s="3">
        <f t="shared" si="24"/>
        <v>169747.93</v>
      </c>
      <c r="W117" s="3">
        <f t="shared" si="25"/>
        <v>247858.16</v>
      </c>
      <c r="X117" s="3">
        <f t="shared" si="26"/>
        <v>259203.78</v>
      </c>
      <c r="Y117" s="3">
        <f t="shared" si="27"/>
        <v>345168.67</v>
      </c>
      <c r="Z117" s="3">
        <f t="shared" si="28"/>
        <v>148802.17000000001</v>
      </c>
      <c r="AA117" s="3">
        <f t="shared" si="29"/>
        <v>244803.57</v>
      </c>
      <c r="AB117" s="3">
        <f t="shared" si="30"/>
        <v>353023.33</v>
      </c>
      <c r="AC117" s="3">
        <f t="shared" si="31"/>
        <v>257021.93</v>
      </c>
      <c r="AD117" s="3">
        <f t="shared" si="32"/>
        <v>335132.16000000003</v>
      </c>
      <c r="AE117" s="3">
        <f t="shared" si="33"/>
        <v>52800.770000000004</v>
      </c>
      <c r="AF117" s="3">
        <f>SUM(ecommerce_sales_all_data[[#This Row],[revenue_month_1]:[revenue_month_12]])</f>
        <v>3199901.21</v>
      </c>
    </row>
    <row r="118" spans="1:32" x14ac:dyDescent="0.3">
      <c r="A118">
        <v>117</v>
      </c>
      <c r="B118" t="s">
        <v>141</v>
      </c>
      <c r="C118" t="s">
        <v>29</v>
      </c>
      <c r="D118" s="2">
        <v>402.82</v>
      </c>
      <c r="E118">
        <v>1.4</v>
      </c>
      <c r="F118">
        <v>588</v>
      </c>
      <c r="G118" s="1">
        <v>232</v>
      </c>
      <c r="H118" s="1">
        <v>247</v>
      </c>
      <c r="I118" s="1">
        <v>978</v>
      </c>
      <c r="J118" s="1">
        <v>77</v>
      </c>
      <c r="K118" s="1">
        <v>553</v>
      </c>
      <c r="L118" s="1">
        <v>545</v>
      </c>
      <c r="M118" s="1">
        <v>838</v>
      </c>
      <c r="N118" s="1">
        <v>909</v>
      </c>
      <c r="O118" s="1">
        <v>132</v>
      </c>
      <c r="P118" s="1">
        <v>859</v>
      </c>
      <c r="Q118" s="1">
        <v>982</v>
      </c>
      <c r="R118" s="1">
        <v>891</v>
      </c>
      <c r="S118" s="1">
        <f>SUM(ecommerce_sales_all_data[[#This Row],[sales_month_1]:[sales_month_12]])</f>
        <v>7243</v>
      </c>
      <c r="T118" s="3">
        <f t="shared" si="22"/>
        <v>93454.24</v>
      </c>
      <c r="U118" s="3">
        <f t="shared" si="23"/>
        <v>99496.54</v>
      </c>
      <c r="V118" s="3">
        <f t="shared" si="24"/>
        <v>393957.96</v>
      </c>
      <c r="W118" s="3">
        <f t="shared" si="25"/>
        <v>31017.14</v>
      </c>
      <c r="X118" s="3">
        <f t="shared" si="26"/>
        <v>222759.46</v>
      </c>
      <c r="Y118" s="3">
        <f t="shared" si="27"/>
        <v>219536.9</v>
      </c>
      <c r="Z118" s="3">
        <f t="shared" si="28"/>
        <v>337563.16</v>
      </c>
      <c r="AA118" s="3">
        <f t="shared" si="29"/>
        <v>366163.38</v>
      </c>
      <c r="AB118" s="3">
        <f t="shared" si="30"/>
        <v>53172.24</v>
      </c>
      <c r="AC118" s="3">
        <f t="shared" si="31"/>
        <v>346022.38</v>
      </c>
      <c r="AD118" s="3">
        <f t="shared" si="32"/>
        <v>395569.24</v>
      </c>
      <c r="AE118" s="3">
        <f t="shared" si="33"/>
        <v>358912.62</v>
      </c>
      <c r="AF118" s="3">
        <f>SUM(ecommerce_sales_all_data[[#This Row],[revenue_month_1]:[revenue_month_12]])</f>
        <v>2917625.26</v>
      </c>
    </row>
    <row r="119" spans="1:32" x14ac:dyDescent="0.3">
      <c r="A119">
        <v>118</v>
      </c>
      <c r="B119" t="s">
        <v>142</v>
      </c>
      <c r="C119" t="s">
        <v>48</v>
      </c>
      <c r="D119" s="2">
        <v>97.35</v>
      </c>
      <c r="E119">
        <v>4.5</v>
      </c>
      <c r="F119">
        <v>344</v>
      </c>
      <c r="G119" s="1">
        <v>669</v>
      </c>
      <c r="H119" s="1">
        <v>789</v>
      </c>
      <c r="I119" s="1">
        <v>588</v>
      </c>
      <c r="J119" s="1">
        <v>193</v>
      </c>
      <c r="K119" s="1">
        <v>272</v>
      </c>
      <c r="L119" s="1">
        <v>820</v>
      </c>
      <c r="M119" s="1">
        <v>406</v>
      </c>
      <c r="N119" s="1">
        <v>117</v>
      </c>
      <c r="O119" s="1">
        <v>394</v>
      </c>
      <c r="P119" s="1">
        <v>185</v>
      </c>
      <c r="Q119" s="1">
        <v>487</v>
      </c>
      <c r="R119" s="1">
        <v>9</v>
      </c>
      <c r="S119" s="1">
        <f>SUM(ecommerce_sales_all_data[[#This Row],[sales_month_1]:[sales_month_12]])</f>
        <v>4929</v>
      </c>
      <c r="T119" s="3">
        <f t="shared" si="22"/>
        <v>65127.149999999994</v>
      </c>
      <c r="U119" s="3">
        <f t="shared" si="23"/>
        <v>76809.149999999994</v>
      </c>
      <c r="V119" s="3">
        <f t="shared" si="24"/>
        <v>57241.799999999996</v>
      </c>
      <c r="W119" s="3">
        <f t="shared" si="25"/>
        <v>18788.55</v>
      </c>
      <c r="X119" s="3">
        <f t="shared" si="26"/>
        <v>26479.199999999997</v>
      </c>
      <c r="Y119" s="3">
        <f t="shared" si="27"/>
        <v>79827</v>
      </c>
      <c r="Z119" s="3">
        <f t="shared" si="28"/>
        <v>39524.1</v>
      </c>
      <c r="AA119" s="3">
        <f t="shared" si="29"/>
        <v>11389.949999999999</v>
      </c>
      <c r="AB119" s="3">
        <f t="shared" si="30"/>
        <v>38355.899999999994</v>
      </c>
      <c r="AC119" s="3">
        <f t="shared" si="31"/>
        <v>18009.75</v>
      </c>
      <c r="AD119" s="3">
        <f t="shared" si="32"/>
        <v>47409.45</v>
      </c>
      <c r="AE119" s="3">
        <f t="shared" si="33"/>
        <v>876.15</v>
      </c>
      <c r="AF119" s="3">
        <f>SUM(ecommerce_sales_all_data[[#This Row],[revenue_month_1]:[revenue_month_12]])</f>
        <v>479838.14999999997</v>
      </c>
    </row>
    <row r="120" spans="1:32" x14ac:dyDescent="0.3">
      <c r="A120">
        <v>119</v>
      </c>
      <c r="B120" t="s">
        <v>143</v>
      </c>
      <c r="C120" t="s">
        <v>26</v>
      </c>
      <c r="D120" s="2">
        <v>446.82</v>
      </c>
      <c r="E120">
        <v>2.1</v>
      </c>
      <c r="F120">
        <v>936</v>
      </c>
      <c r="G120" s="1">
        <v>436</v>
      </c>
      <c r="H120" s="1">
        <v>867</v>
      </c>
      <c r="I120" s="1">
        <v>187</v>
      </c>
      <c r="J120" s="1">
        <v>284</v>
      </c>
      <c r="K120" s="1">
        <v>702</v>
      </c>
      <c r="L120" s="1">
        <v>903</v>
      </c>
      <c r="M120" s="1">
        <v>424</v>
      </c>
      <c r="N120" s="1">
        <v>713</v>
      </c>
      <c r="O120" s="1">
        <v>64</v>
      </c>
      <c r="P120" s="1">
        <v>855</v>
      </c>
      <c r="Q120" s="1">
        <v>130</v>
      </c>
      <c r="R120" s="1">
        <v>798</v>
      </c>
      <c r="S120" s="1">
        <f>SUM(ecommerce_sales_all_data[[#This Row],[sales_month_1]:[sales_month_12]])</f>
        <v>6363</v>
      </c>
      <c r="T120" s="3">
        <f t="shared" si="22"/>
        <v>194813.52</v>
      </c>
      <c r="U120" s="3">
        <f t="shared" si="23"/>
        <v>387392.94</v>
      </c>
      <c r="V120" s="3">
        <f t="shared" si="24"/>
        <v>83555.34</v>
      </c>
      <c r="W120" s="3">
        <f t="shared" si="25"/>
        <v>126896.88</v>
      </c>
      <c r="X120" s="3">
        <f t="shared" si="26"/>
        <v>313667.64</v>
      </c>
      <c r="Y120" s="3">
        <f t="shared" si="27"/>
        <v>403478.46</v>
      </c>
      <c r="Z120" s="3">
        <f t="shared" si="28"/>
        <v>189451.68</v>
      </c>
      <c r="AA120" s="3">
        <f t="shared" si="29"/>
        <v>318582.65999999997</v>
      </c>
      <c r="AB120" s="3">
        <f t="shared" si="30"/>
        <v>28596.48</v>
      </c>
      <c r="AC120" s="3">
        <f t="shared" si="31"/>
        <v>382031.1</v>
      </c>
      <c r="AD120" s="3">
        <f t="shared" si="32"/>
        <v>58086.6</v>
      </c>
      <c r="AE120" s="3">
        <f t="shared" si="33"/>
        <v>356562.36</v>
      </c>
      <c r="AF120" s="3">
        <f>SUM(ecommerce_sales_all_data[[#This Row],[revenue_month_1]:[revenue_month_12]])</f>
        <v>2843115.6599999997</v>
      </c>
    </row>
    <row r="121" spans="1:32" x14ac:dyDescent="0.3">
      <c r="A121">
        <v>120</v>
      </c>
      <c r="B121" t="s">
        <v>144</v>
      </c>
      <c r="C121" t="s">
        <v>23</v>
      </c>
      <c r="D121" s="2">
        <v>271.97000000000003</v>
      </c>
      <c r="E121">
        <v>1.5</v>
      </c>
      <c r="F121">
        <v>294</v>
      </c>
      <c r="G121" s="1">
        <v>780</v>
      </c>
      <c r="H121" s="1">
        <v>609</v>
      </c>
      <c r="I121" s="1">
        <v>857</v>
      </c>
      <c r="J121" s="1">
        <v>526</v>
      </c>
      <c r="K121" s="1">
        <v>172</v>
      </c>
      <c r="L121" s="1">
        <v>529</v>
      </c>
      <c r="M121" s="1">
        <v>743</v>
      </c>
      <c r="N121" s="1">
        <v>994</v>
      </c>
      <c r="O121" s="1">
        <v>289</v>
      </c>
      <c r="P121" s="1">
        <v>252</v>
      </c>
      <c r="Q121" s="1">
        <v>578</v>
      </c>
      <c r="R121" s="1">
        <v>315</v>
      </c>
      <c r="S121" s="1">
        <f>SUM(ecommerce_sales_all_data[[#This Row],[sales_month_1]:[sales_month_12]])</f>
        <v>6644</v>
      </c>
      <c r="T121" s="3">
        <f t="shared" si="22"/>
        <v>212136.60000000003</v>
      </c>
      <c r="U121" s="3">
        <f t="shared" si="23"/>
        <v>165629.73000000001</v>
      </c>
      <c r="V121" s="3">
        <f t="shared" si="24"/>
        <v>233078.29000000004</v>
      </c>
      <c r="W121" s="3">
        <f t="shared" si="25"/>
        <v>143056.22</v>
      </c>
      <c r="X121" s="3">
        <f t="shared" si="26"/>
        <v>46778.840000000004</v>
      </c>
      <c r="Y121" s="3">
        <f t="shared" si="27"/>
        <v>143872.13</v>
      </c>
      <c r="Z121" s="3">
        <f t="shared" si="28"/>
        <v>202073.71000000002</v>
      </c>
      <c r="AA121" s="3">
        <f t="shared" si="29"/>
        <v>270338.18000000005</v>
      </c>
      <c r="AB121" s="3">
        <f t="shared" si="30"/>
        <v>78599.33</v>
      </c>
      <c r="AC121" s="3">
        <f t="shared" si="31"/>
        <v>68536.44</v>
      </c>
      <c r="AD121" s="3">
        <f t="shared" si="32"/>
        <v>157198.66</v>
      </c>
      <c r="AE121" s="3">
        <f t="shared" si="33"/>
        <v>85670.55</v>
      </c>
      <c r="AF121" s="3">
        <f>SUM(ecommerce_sales_all_data[[#This Row],[revenue_month_1]:[revenue_month_12]])</f>
        <v>1806968.6800000002</v>
      </c>
    </row>
    <row r="122" spans="1:32" x14ac:dyDescent="0.3">
      <c r="A122">
        <v>121</v>
      </c>
      <c r="B122" t="s">
        <v>145</v>
      </c>
      <c r="C122" t="s">
        <v>23</v>
      </c>
      <c r="D122" s="2">
        <v>404.68</v>
      </c>
      <c r="E122">
        <v>4.5999999999999996</v>
      </c>
      <c r="F122">
        <v>956</v>
      </c>
      <c r="G122" s="1">
        <v>532</v>
      </c>
      <c r="H122" s="1">
        <v>413</v>
      </c>
      <c r="I122" s="1">
        <v>269</v>
      </c>
      <c r="J122" s="1">
        <v>523</v>
      </c>
      <c r="K122" s="1">
        <v>972</v>
      </c>
      <c r="L122" s="1">
        <v>56</v>
      </c>
      <c r="M122" s="1">
        <v>92</v>
      </c>
      <c r="N122" s="1">
        <v>904</v>
      </c>
      <c r="O122" s="1">
        <v>375</v>
      </c>
      <c r="P122" s="1">
        <v>12</v>
      </c>
      <c r="Q122" s="1">
        <v>454</v>
      </c>
      <c r="R122" s="1">
        <v>837</v>
      </c>
      <c r="S122" s="1">
        <f>SUM(ecommerce_sales_all_data[[#This Row],[sales_month_1]:[sales_month_12]])</f>
        <v>5439</v>
      </c>
      <c r="T122" s="3">
        <f t="shared" si="22"/>
        <v>215289.76</v>
      </c>
      <c r="U122" s="3">
        <f t="shared" si="23"/>
        <v>167132.84</v>
      </c>
      <c r="V122" s="3">
        <f t="shared" si="24"/>
        <v>108858.92</v>
      </c>
      <c r="W122" s="3">
        <f t="shared" si="25"/>
        <v>211647.64</v>
      </c>
      <c r="X122" s="3">
        <f t="shared" si="26"/>
        <v>393348.96</v>
      </c>
      <c r="Y122" s="3">
        <f t="shared" si="27"/>
        <v>22662.080000000002</v>
      </c>
      <c r="Z122" s="3">
        <f t="shared" si="28"/>
        <v>37230.559999999998</v>
      </c>
      <c r="AA122" s="3">
        <f t="shared" si="29"/>
        <v>365830.72000000003</v>
      </c>
      <c r="AB122" s="3">
        <f t="shared" si="30"/>
        <v>151755</v>
      </c>
      <c r="AC122" s="3">
        <f t="shared" si="31"/>
        <v>4856.16</v>
      </c>
      <c r="AD122" s="3">
        <f t="shared" si="32"/>
        <v>183724.72</v>
      </c>
      <c r="AE122" s="3">
        <f t="shared" si="33"/>
        <v>338717.16000000003</v>
      </c>
      <c r="AF122" s="3">
        <f>SUM(ecommerce_sales_all_data[[#This Row],[revenue_month_1]:[revenue_month_12]])</f>
        <v>2201054.52</v>
      </c>
    </row>
    <row r="123" spans="1:32" x14ac:dyDescent="0.3">
      <c r="A123">
        <v>122</v>
      </c>
      <c r="B123" t="s">
        <v>146</v>
      </c>
      <c r="C123" t="s">
        <v>21</v>
      </c>
      <c r="D123" s="2">
        <v>448.57</v>
      </c>
      <c r="E123">
        <v>4.8</v>
      </c>
      <c r="F123">
        <v>571</v>
      </c>
      <c r="G123" s="1">
        <v>402</v>
      </c>
      <c r="H123" s="1">
        <v>24</v>
      </c>
      <c r="I123" s="1">
        <v>606</v>
      </c>
      <c r="J123" s="1">
        <v>612</v>
      </c>
      <c r="K123" s="1">
        <v>6</v>
      </c>
      <c r="L123" s="1">
        <v>111</v>
      </c>
      <c r="M123" s="1">
        <v>847</v>
      </c>
      <c r="N123" s="1">
        <v>482</v>
      </c>
      <c r="O123" s="1">
        <v>768</v>
      </c>
      <c r="P123" s="1">
        <v>298</v>
      </c>
      <c r="Q123" s="1">
        <v>739</v>
      </c>
      <c r="R123" s="1">
        <v>272</v>
      </c>
      <c r="S123" s="1">
        <f>SUM(ecommerce_sales_all_data[[#This Row],[sales_month_1]:[sales_month_12]])</f>
        <v>5167</v>
      </c>
      <c r="T123" s="3">
        <f t="shared" si="22"/>
        <v>180325.13999999998</v>
      </c>
      <c r="U123" s="3">
        <f t="shared" si="23"/>
        <v>10765.68</v>
      </c>
      <c r="V123" s="3">
        <f t="shared" si="24"/>
        <v>271833.42</v>
      </c>
      <c r="W123" s="3">
        <f t="shared" si="25"/>
        <v>274524.83999999997</v>
      </c>
      <c r="X123" s="3">
        <f t="shared" si="26"/>
        <v>2691.42</v>
      </c>
      <c r="Y123" s="3">
        <f t="shared" si="27"/>
        <v>49791.27</v>
      </c>
      <c r="Z123" s="3">
        <f t="shared" si="28"/>
        <v>379938.79</v>
      </c>
      <c r="AA123" s="3">
        <f t="shared" si="29"/>
        <v>216210.74</v>
      </c>
      <c r="AB123" s="3">
        <f t="shared" si="30"/>
        <v>344501.76000000001</v>
      </c>
      <c r="AC123" s="3">
        <f t="shared" si="31"/>
        <v>133673.85999999999</v>
      </c>
      <c r="AD123" s="3">
        <f t="shared" si="32"/>
        <v>331493.23</v>
      </c>
      <c r="AE123" s="3">
        <f t="shared" si="33"/>
        <v>122011.04</v>
      </c>
      <c r="AF123" s="3">
        <f>SUM(ecommerce_sales_all_data[[#This Row],[revenue_month_1]:[revenue_month_12]])</f>
        <v>2317761.19</v>
      </c>
    </row>
    <row r="124" spans="1:32" x14ac:dyDescent="0.3">
      <c r="A124">
        <v>123</v>
      </c>
      <c r="B124" t="s">
        <v>147</v>
      </c>
      <c r="C124" t="s">
        <v>35</v>
      </c>
      <c r="D124" s="2">
        <v>162.41</v>
      </c>
      <c r="E124">
        <v>4.4000000000000004</v>
      </c>
      <c r="F124">
        <v>650</v>
      </c>
      <c r="G124" s="1">
        <v>52</v>
      </c>
      <c r="H124" s="1">
        <v>283</v>
      </c>
      <c r="I124" s="1">
        <v>309</v>
      </c>
      <c r="J124" s="1">
        <v>155</v>
      </c>
      <c r="K124" s="1">
        <v>154</v>
      </c>
      <c r="L124" s="1">
        <v>4</v>
      </c>
      <c r="M124" s="1">
        <v>613</v>
      </c>
      <c r="N124" s="1">
        <v>394</v>
      </c>
      <c r="O124" s="1">
        <v>466</v>
      </c>
      <c r="P124" s="1">
        <v>75</v>
      </c>
      <c r="Q124" s="1">
        <v>162</v>
      </c>
      <c r="R124" s="1">
        <v>305</v>
      </c>
      <c r="S124" s="1">
        <f>SUM(ecommerce_sales_all_data[[#This Row],[sales_month_1]:[sales_month_12]])</f>
        <v>2972</v>
      </c>
      <c r="T124" s="3">
        <f t="shared" si="22"/>
        <v>8445.32</v>
      </c>
      <c r="U124" s="3">
        <f t="shared" si="23"/>
        <v>45962.03</v>
      </c>
      <c r="V124" s="3">
        <f t="shared" si="24"/>
        <v>50184.69</v>
      </c>
      <c r="W124" s="3">
        <f t="shared" si="25"/>
        <v>25173.55</v>
      </c>
      <c r="X124" s="3">
        <f t="shared" si="26"/>
        <v>25011.14</v>
      </c>
      <c r="Y124" s="3">
        <f t="shared" si="27"/>
        <v>649.64</v>
      </c>
      <c r="Z124" s="3">
        <f t="shared" si="28"/>
        <v>99557.33</v>
      </c>
      <c r="AA124" s="3">
        <f t="shared" si="29"/>
        <v>63989.54</v>
      </c>
      <c r="AB124" s="3">
        <f t="shared" si="30"/>
        <v>75683.06</v>
      </c>
      <c r="AC124" s="3">
        <f t="shared" si="31"/>
        <v>12180.75</v>
      </c>
      <c r="AD124" s="3">
        <f t="shared" si="32"/>
        <v>26310.42</v>
      </c>
      <c r="AE124" s="3">
        <f t="shared" si="33"/>
        <v>49535.049999999996</v>
      </c>
      <c r="AF124" s="3">
        <f>SUM(ecommerce_sales_all_data[[#This Row],[revenue_month_1]:[revenue_month_12]])</f>
        <v>482682.51999999996</v>
      </c>
    </row>
    <row r="125" spans="1:32" x14ac:dyDescent="0.3">
      <c r="A125">
        <v>124</v>
      </c>
      <c r="B125" t="s">
        <v>148</v>
      </c>
      <c r="C125" t="s">
        <v>48</v>
      </c>
      <c r="D125" s="2">
        <v>59.48</v>
      </c>
      <c r="E125">
        <v>4.2</v>
      </c>
      <c r="F125">
        <v>611</v>
      </c>
      <c r="G125" s="1">
        <v>786</v>
      </c>
      <c r="H125" s="1">
        <v>448</v>
      </c>
      <c r="I125" s="1">
        <v>131</v>
      </c>
      <c r="J125" s="1">
        <v>339</v>
      </c>
      <c r="K125" s="1">
        <v>521</v>
      </c>
      <c r="L125" s="1">
        <v>409</v>
      </c>
      <c r="M125" s="1">
        <v>411</v>
      </c>
      <c r="N125" s="1">
        <v>702</v>
      </c>
      <c r="O125" s="1">
        <v>897</v>
      </c>
      <c r="P125" s="1">
        <v>50</v>
      </c>
      <c r="Q125" s="1">
        <v>14</v>
      </c>
      <c r="R125" s="1">
        <v>804</v>
      </c>
      <c r="S125" s="1">
        <f>SUM(ecommerce_sales_all_data[[#This Row],[sales_month_1]:[sales_month_12]])</f>
        <v>5512</v>
      </c>
      <c r="T125" s="3">
        <f t="shared" si="22"/>
        <v>46751.28</v>
      </c>
      <c r="U125" s="3">
        <f t="shared" si="23"/>
        <v>26647.039999999997</v>
      </c>
      <c r="V125" s="3">
        <f t="shared" si="24"/>
        <v>7791.8799999999992</v>
      </c>
      <c r="W125" s="3">
        <f t="shared" si="25"/>
        <v>20163.719999999998</v>
      </c>
      <c r="X125" s="3">
        <f t="shared" si="26"/>
        <v>30989.079999999998</v>
      </c>
      <c r="Y125" s="3">
        <f t="shared" si="27"/>
        <v>24327.32</v>
      </c>
      <c r="Z125" s="3">
        <f t="shared" si="28"/>
        <v>24446.28</v>
      </c>
      <c r="AA125" s="3">
        <f t="shared" si="29"/>
        <v>41754.959999999999</v>
      </c>
      <c r="AB125" s="3">
        <f t="shared" si="30"/>
        <v>53353.56</v>
      </c>
      <c r="AC125" s="3">
        <f t="shared" si="31"/>
        <v>2974</v>
      </c>
      <c r="AD125" s="3">
        <f t="shared" si="32"/>
        <v>832.71999999999991</v>
      </c>
      <c r="AE125" s="3">
        <f t="shared" si="33"/>
        <v>47821.919999999998</v>
      </c>
      <c r="AF125" s="3">
        <f>SUM(ecommerce_sales_all_data[[#This Row],[revenue_month_1]:[revenue_month_12]])</f>
        <v>327853.75999999995</v>
      </c>
    </row>
    <row r="126" spans="1:32" x14ac:dyDescent="0.3">
      <c r="A126">
        <v>125</v>
      </c>
      <c r="B126" t="s">
        <v>149</v>
      </c>
      <c r="C126" t="s">
        <v>48</v>
      </c>
      <c r="D126" s="2">
        <v>117.83</v>
      </c>
      <c r="E126">
        <v>3.6</v>
      </c>
      <c r="F126">
        <v>704</v>
      </c>
      <c r="G126" s="1">
        <v>312</v>
      </c>
      <c r="H126" s="1">
        <v>880</v>
      </c>
      <c r="I126" s="1">
        <v>550</v>
      </c>
      <c r="J126" s="1">
        <v>124</v>
      </c>
      <c r="K126" s="1">
        <v>545</v>
      </c>
      <c r="L126" s="1">
        <v>413</v>
      </c>
      <c r="M126" s="1">
        <v>431</v>
      </c>
      <c r="N126" s="1">
        <v>875</v>
      </c>
      <c r="O126" s="1">
        <v>212</v>
      </c>
      <c r="P126" s="1">
        <v>786</v>
      </c>
      <c r="Q126" s="1">
        <v>231</v>
      </c>
      <c r="R126" s="1">
        <v>209</v>
      </c>
      <c r="S126" s="1">
        <f>SUM(ecommerce_sales_all_data[[#This Row],[sales_month_1]:[sales_month_12]])</f>
        <v>5568</v>
      </c>
      <c r="T126" s="3">
        <f t="shared" si="22"/>
        <v>36762.959999999999</v>
      </c>
      <c r="U126" s="3">
        <f t="shared" si="23"/>
        <v>103690.4</v>
      </c>
      <c r="V126" s="3">
        <f t="shared" si="24"/>
        <v>64806.5</v>
      </c>
      <c r="W126" s="3">
        <f t="shared" si="25"/>
        <v>14610.92</v>
      </c>
      <c r="X126" s="3">
        <f t="shared" si="26"/>
        <v>64217.35</v>
      </c>
      <c r="Y126" s="3">
        <f t="shared" si="27"/>
        <v>48663.79</v>
      </c>
      <c r="Z126" s="3">
        <f t="shared" si="28"/>
        <v>50784.729999999996</v>
      </c>
      <c r="AA126" s="3">
        <f t="shared" si="29"/>
        <v>103101.25</v>
      </c>
      <c r="AB126" s="3">
        <f t="shared" si="30"/>
        <v>24979.96</v>
      </c>
      <c r="AC126" s="3">
        <f t="shared" si="31"/>
        <v>92614.38</v>
      </c>
      <c r="AD126" s="3">
        <f t="shared" si="32"/>
        <v>27218.73</v>
      </c>
      <c r="AE126" s="3">
        <f t="shared" si="33"/>
        <v>24626.47</v>
      </c>
      <c r="AF126" s="3">
        <f>SUM(ecommerce_sales_all_data[[#This Row],[revenue_month_1]:[revenue_month_12]])</f>
        <v>656077.43999999994</v>
      </c>
    </row>
    <row r="127" spans="1:32" x14ac:dyDescent="0.3">
      <c r="A127">
        <v>126</v>
      </c>
      <c r="B127" t="s">
        <v>150</v>
      </c>
      <c r="C127" t="s">
        <v>21</v>
      </c>
      <c r="D127" s="2">
        <v>216.42</v>
      </c>
      <c r="E127">
        <v>3.2</v>
      </c>
      <c r="F127">
        <v>243</v>
      </c>
      <c r="G127" s="1">
        <v>280</v>
      </c>
      <c r="H127" s="1">
        <v>300</v>
      </c>
      <c r="I127" s="1">
        <v>71</v>
      </c>
      <c r="J127" s="1">
        <v>870</v>
      </c>
      <c r="K127" s="1">
        <v>547</v>
      </c>
      <c r="L127" s="1">
        <v>181</v>
      </c>
      <c r="M127" s="1">
        <v>677</v>
      </c>
      <c r="N127" s="1">
        <v>459</v>
      </c>
      <c r="O127" s="1">
        <v>147</v>
      </c>
      <c r="P127" s="1">
        <v>148</v>
      </c>
      <c r="Q127" s="1">
        <v>194</v>
      </c>
      <c r="R127" s="1">
        <v>957</v>
      </c>
      <c r="S127" s="1">
        <f>SUM(ecommerce_sales_all_data[[#This Row],[sales_month_1]:[sales_month_12]])</f>
        <v>4831</v>
      </c>
      <c r="T127" s="3">
        <f t="shared" si="22"/>
        <v>60597.599999999999</v>
      </c>
      <c r="U127" s="3">
        <f t="shared" si="23"/>
        <v>64925.999999999993</v>
      </c>
      <c r="V127" s="3">
        <f t="shared" si="24"/>
        <v>15365.82</v>
      </c>
      <c r="W127" s="3">
        <f t="shared" si="25"/>
        <v>188285.4</v>
      </c>
      <c r="X127" s="3">
        <f t="shared" si="26"/>
        <v>118381.73999999999</v>
      </c>
      <c r="Y127" s="3">
        <f t="shared" si="27"/>
        <v>39172.019999999997</v>
      </c>
      <c r="Z127" s="3">
        <f t="shared" si="28"/>
        <v>146516.34</v>
      </c>
      <c r="AA127" s="3">
        <f t="shared" si="29"/>
        <v>99336.78</v>
      </c>
      <c r="AB127" s="3">
        <f t="shared" si="30"/>
        <v>31813.739999999998</v>
      </c>
      <c r="AC127" s="3">
        <f t="shared" si="31"/>
        <v>32030.16</v>
      </c>
      <c r="AD127" s="3">
        <f t="shared" si="32"/>
        <v>41985.479999999996</v>
      </c>
      <c r="AE127" s="3">
        <f t="shared" si="33"/>
        <v>207113.94</v>
      </c>
      <c r="AF127" s="3">
        <f>SUM(ecommerce_sales_all_data[[#This Row],[revenue_month_1]:[revenue_month_12]])</f>
        <v>1045525.02</v>
      </c>
    </row>
    <row r="128" spans="1:32" x14ac:dyDescent="0.3">
      <c r="A128">
        <v>127</v>
      </c>
      <c r="B128" t="s">
        <v>151</v>
      </c>
      <c r="C128" t="s">
        <v>23</v>
      </c>
      <c r="D128" s="2">
        <v>409.92</v>
      </c>
      <c r="E128">
        <v>1.3</v>
      </c>
      <c r="F128">
        <v>831</v>
      </c>
      <c r="G128" s="1">
        <v>725</v>
      </c>
      <c r="H128" s="1">
        <v>67</v>
      </c>
      <c r="I128" s="1">
        <v>792</v>
      </c>
      <c r="J128" s="1">
        <v>279</v>
      </c>
      <c r="K128" s="1">
        <v>920</v>
      </c>
      <c r="L128" s="1">
        <v>12</v>
      </c>
      <c r="M128" s="1">
        <v>158</v>
      </c>
      <c r="N128" s="1">
        <v>834</v>
      </c>
      <c r="O128" s="1">
        <v>572</v>
      </c>
      <c r="P128" s="1">
        <v>730</v>
      </c>
      <c r="Q128" s="1">
        <v>860</v>
      </c>
      <c r="R128" s="1">
        <v>729</v>
      </c>
      <c r="S128" s="1">
        <f>SUM(ecommerce_sales_all_data[[#This Row],[sales_month_1]:[sales_month_12]])</f>
        <v>6678</v>
      </c>
      <c r="T128" s="3">
        <f t="shared" si="22"/>
        <v>297192</v>
      </c>
      <c r="U128" s="3">
        <f t="shared" si="23"/>
        <v>27464.639999999999</v>
      </c>
      <c r="V128" s="3">
        <f t="shared" si="24"/>
        <v>324656.64000000001</v>
      </c>
      <c r="W128" s="3">
        <f t="shared" si="25"/>
        <v>114367.68000000001</v>
      </c>
      <c r="X128" s="3">
        <f t="shared" si="26"/>
        <v>377126.40000000002</v>
      </c>
      <c r="Y128" s="3">
        <f t="shared" si="27"/>
        <v>4919.04</v>
      </c>
      <c r="Z128" s="3">
        <f t="shared" si="28"/>
        <v>64767.360000000001</v>
      </c>
      <c r="AA128" s="3">
        <f t="shared" si="29"/>
        <v>341873.28</v>
      </c>
      <c r="AB128" s="3">
        <f t="shared" si="30"/>
        <v>234474.24000000002</v>
      </c>
      <c r="AC128" s="3">
        <f t="shared" si="31"/>
        <v>299241.60000000003</v>
      </c>
      <c r="AD128" s="3">
        <f t="shared" si="32"/>
        <v>352531.20000000001</v>
      </c>
      <c r="AE128" s="3">
        <f t="shared" si="33"/>
        <v>298831.68</v>
      </c>
      <c r="AF128" s="3">
        <f>SUM(ecommerce_sales_all_data[[#This Row],[revenue_month_1]:[revenue_month_12]])</f>
        <v>2737445.7600000007</v>
      </c>
    </row>
    <row r="129" spans="1:32" x14ac:dyDescent="0.3">
      <c r="A129">
        <v>128</v>
      </c>
      <c r="B129" t="s">
        <v>152</v>
      </c>
      <c r="C129" t="s">
        <v>19</v>
      </c>
      <c r="D129" s="2">
        <v>431.06</v>
      </c>
      <c r="E129">
        <v>2.6</v>
      </c>
      <c r="F129">
        <v>561</v>
      </c>
      <c r="G129" s="1">
        <v>30</v>
      </c>
      <c r="H129" s="1">
        <v>6</v>
      </c>
      <c r="I129" s="1">
        <v>844</v>
      </c>
      <c r="J129" s="1">
        <v>916</v>
      </c>
      <c r="K129" s="1">
        <v>517</v>
      </c>
      <c r="L129" s="1">
        <v>338</v>
      </c>
      <c r="M129" s="1">
        <v>13</v>
      </c>
      <c r="N129" s="1">
        <v>692</v>
      </c>
      <c r="O129" s="1">
        <v>470</v>
      </c>
      <c r="P129" s="1">
        <v>121</v>
      </c>
      <c r="Q129" s="1">
        <v>541</v>
      </c>
      <c r="R129" s="1">
        <v>752</v>
      </c>
      <c r="S129" s="1">
        <f>SUM(ecommerce_sales_all_data[[#This Row],[sales_month_1]:[sales_month_12]])</f>
        <v>5240</v>
      </c>
      <c r="T129" s="3">
        <f t="shared" si="22"/>
        <v>12931.8</v>
      </c>
      <c r="U129" s="3">
        <f t="shared" si="23"/>
        <v>2586.36</v>
      </c>
      <c r="V129" s="3">
        <f t="shared" si="24"/>
        <v>363814.64</v>
      </c>
      <c r="W129" s="3">
        <f t="shared" si="25"/>
        <v>394850.96</v>
      </c>
      <c r="X129" s="3">
        <f t="shared" si="26"/>
        <v>222858.02</v>
      </c>
      <c r="Y129" s="3">
        <f t="shared" si="27"/>
        <v>145698.28</v>
      </c>
      <c r="Z129" s="3">
        <f t="shared" si="28"/>
        <v>5603.78</v>
      </c>
      <c r="AA129" s="3">
        <f t="shared" si="29"/>
        <v>298293.52</v>
      </c>
      <c r="AB129" s="3">
        <f t="shared" si="30"/>
        <v>202598.2</v>
      </c>
      <c r="AC129" s="3">
        <f t="shared" si="31"/>
        <v>52158.26</v>
      </c>
      <c r="AD129" s="3">
        <f t="shared" si="32"/>
        <v>233203.46</v>
      </c>
      <c r="AE129" s="3">
        <f t="shared" si="33"/>
        <v>324157.12</v>
      </c>
      <c r="AF129" s="3">
        <f>SUM(ecommerce_sales_all_data[[#This Row],[revenue_month_1]:[revenue_month_12]])</f>
        <v>2258754.4</v>
      </c>
    </row>
    <row r="130" spans="1:32" x14ac:dyDescent="0.3">
      <c r="A130">
        <v>129</v>
      </c>
      <c r="B130" t="s">
        <v>153</v>
      </c>
      <c r="C130" t="s">
        <v>26</v>
      </c>
      <c r="D130" s="2">
        <v>8.44</v>
      </c>
      <c r="E130">
        <v>2.5</v>
      </c>
      <c r="F130">
        <v>960</v>
      </c>
      <c r="G130" s="1">
        <v>336</v>
      </c>
      <c r="H130" s="1">
        <v>816</v>
      </c>
      <c r="I130" s="1">
        <v>671</v>
      </c>
      <c r="J130" s="1">
        <v>905</v>
      </c>
      <c r="K130" s="1">
        <v>919</v>
      </c>
      <c r="L130" s="1">
        <v>796</v>
      </c>
      <c r="M130" s="1">
        <v>372</v>
      </c>
      <c r="N130" s="1">
        <v>934</v>
      </c>
      <c r="O130" s="1">
        <v>148</v>
      </c>
      <c r="P130" s="1">
        <v>210</v>
      </c>
      <c r="Q130" s="1">
        <v>358</v>
      </c>
      <c r="R130" s="1">
        <v>885</v>
      </c>
      <c r="S130" s="1">
        <f>SUM(ecommerce_sales_all_data[[#This Row],[sales_month_1]:[sales_month_12]])</f>
        <v>7350</v>
      </c>
      <c r="T130" s="3">
        <f t="shared" ref="T130:T193" si="34">G130*$D130</f>
        <v>2835.8399999999997</v>
      </c>
      <c r="U130" s="3">
        <f t="shared" ref="U130:U193" si="35">H130*$D130</f>
        <v>6887.04</v>
      </c>
      <c r="V130" s="3">
        <f t="shared" si="24"/>
        <v>5663.24</v>
      </c>
      <c r="W130" s="3">
        <f t="shared" si="25"/>
        <v>7638.2</v>
      </c>
      <c r="X130" s="3">
        <f t="shared" si="26"/>
        <v>7756.36</v>
      </c>
      <c r="Y130" s="3">
        <f t="shared" si="27"/>
        <v>6718.24</v>
      </c>
      <c r="Z130" s="3">
        <f t="shared" si="28"/>
        <v>3139.68</v>
      </c>
      <c r="AA130" s="3">
        <f t="shared" si="29"/>
        <v>7882.9599999999991</v>
      </c>
      <c r="AB130" s="3">
        <f t="shared" si="30"/>
        <v>1249.1199999999999</v>
      </c>
      <c r="AC130" s="3">
        <f t="shared" si="31"/>
        <v>1772.3999999999999</v>
      </c>
      <c r="AD130" s="3">
        <f t="shared" si="32"/>
        <v>3021.52</v>
      </c>
      <c r="AE130" s="3">
        <f t="shared" si="33"/>
        <v>7469.4</v>
      </c>
      <c r="AF130" s="3">
        <f>SUM(ecommerce_sales_all_data[[#This Row],[revenue_month_1]:[revenue_month_12]])</f>
        <v>62034</v>
      </c>
    </row>
    <row r="131" spans="1:32" x14ac:dyDescent="0.3">
      <c r="A131">
        <v>130</v>
      </c>
      <c r="B131" t="s">
        <v>154</v>
      </c>
      <c r="C131" t="s">
        <v>26</v>
      </c>
      <c r="D131" s="2">
        <v>257.82</v>
      </c>
      <c r="E131">
        <v>2</v>
      </c>
      <c r="F131">
        <v>32</v>
      </c>
      <c r="G131" s="1">
        <v>182</v>
      </c>
      <c r="H131" s="1">
        <v>136</v>
      </c>
      <c r="I131" s="1">
        <v>186</v>
      </c>
      <c r="J131" s="1">
        <v>621</v>
      </c>
      <c r="K131" s="1">
        <v>913</v>
      </c>
      <c r="L131" s="1">
        <v>258</v>
      </c>
      <c r="M131" s="1">
        <v>224</v>
      </c>
      <c r="N131" s="1">
        <v>77</v>
      </c>
      <c r="O131" s="1">
        <v>87</v>
      </c>
      <c r="P131" s="1">
        <v>279</v>
      </c>
      <c r="Q131" s="1">
        <v>849</v>
      </c>
      <c r="R131" s="1">
        <v>463</v>
      </c>
      <c r="S131" s="1">
        <f>SUM(ecommerce_sales_all_data[[#This Row],[sales_month_1]:[sales_month_12]])</f>
        <v>4275</v>
      </c>
      <c r="T131" s="3">
        <f t="shared" si="34"/>
        <v>46923.24</v>
      </c>
      <c r="U131" s="3">
        <f t="shared" si="35"/>
        <v>35063.519999999997</v>
      </c>
      <c r="V131" s="3">
        <f t="shared" ref="V131:V194" si="36">I131*$D131</f>
        <v>47954.52</v>
      </c>
      <c r="W131" s="3">
        <f t="shared" ref="W131:W194" si="37">J131*$D131</f>
        <v>160106.22</v>
      </c>
      <c r="X131" s="3">
        <f t="shared" ref="X131:X194" si="38">K131*$D131</f>
        <v>235389.66</v>
      </c>
      <c r="Y131" s="3">
        <f t="shared" ref="Y131:Y194" si="39">L131*$D131</f>
        <v>66517.56</v>
      </c>
      <c r="Z131" s="3">
        <f t="shared" ref="Z131:Z194" si="40">M131*$D131</f>
        <v>57751.68</v>
      </c>
      <c r="AA131" s="3">
        <f t="shared" ref="AA131:AA194" si="41">N131*$D131</f>
        <v>19852.14</v>
      </c>
      <c r="AB131" s="3">
        <f t="shared" ref="AB131:AB194" si="42">O131*$D131</f>
        <v>22430.34</v>
      </c>
      <c r="AC131" s="3">
        <f t="shared" ref="AC131:AC194" si="43">P131*$D131</f>
        <v>71931.78</v>
      </c>
      <c r="AD131" s="3">
        <f t="shared" ref="AD131:AD194" si="44">Q131*$D131</f>
        <v>218889.18</v>
      </c>
      <c r="AE131" s="3">
        <f t="shared" ref="AE131:AE194" si="45">R131*$D131</f>
        <v>119370.66</v>
      </c>
      <c r="AF131" s="3">
        <f>SUM(ecommerce_sales_all_data[[#This Row],[revenue_month_1]:[revenue_month_12]])</f>
        <v>1102180.5</v>
      </c>
    </row>
    <row r="132" spans="1:32" x14ac:dyDescent="0.3">
      <c r="A132">
        <v>131</v>
      </c>
      <c r="B132" t="s">
        <v>155</v>
      </c>
      <c r="C132" t="s">
        <v>19</v>
      </c>
      <c r="D132" s="2">
        <v>211.62</v>
      </c>
      <c r="E132">
        <v>3.9</v>
      </c>
      <c r="F132">
        <v>391</v>
      </c>
      <c r="G132" s="1">
        <v>22</v>
      </c>
      <c r="H132" s="1">
        <v>163</v>
      </c>
      <c r="I132" s="1">
        <v>485</v>
      </c>
      <c r="J132" s="1">
        <v>845</v>
      </c>
      <c r="K132" s="1">
        <v>214</v>
      </c>
      <c r="L132" s="1">
        <v>89</v>
      </c>
      <c r="M132" s="1">
        <v>504</v>
      </c>
      <c r="N132" s="1">
        <v>951</v>
      </c>
      <c r="O132" s="1">
        <v>323</v>
      </c>
      <c r="P132" s="1">
        <v>537</v>
      </c>
      <c r="Q132" s="1">
        <v>330</v>
      </c>
      <c r="R132" s="1">
        <v>711</v>
      </c>
      <c r="S132" s="1">
        <f>SUM(ecommerce_sales_all_data[[#This Row],[sales_month_1]:[sales_month_12]])</f>
        <v>5174</v>
      </c>
      <c r="T132" s="3">
        <f t="shared" si="34"/>
        <v>4655.6400000000003</v>
      </c>
      <c r="U132" s="3">
        <f t="shared" si="35"/>
        <v>34494.06</v>
      </c>
      <c r="V132" s="3">
        <f t="shared" si="36"/>
        <v>102635.7</v>
      </c>
      <c r="W132" s="3">
        <f t="shared" si="37"/>
        <v>178818.9</v>
      </c>
      <c r="X132" s="3">
        <f t="shared" si="38"/>
        <v>45286.68</v>
      </c>
      <c r="Y132" s="3">
        <f t="shared" si="39"/>
        <v>18834.18</v>
      </c>
      <c r="Z132" s="3">
        <f t="shared" si="40"/>
        <v>106656.48</v>
      </c>
      <c r="AA132" s="3">
        <f t="shared" si="41"/>
        <v>201250.62</v>
      </c>
      <c r="AB132" s="3">
        <f t="shared" si="42"/>
        <v>68353.259999999995</v>
      </c>
      <c r="AC132" s="3">
        <f t="shared" si="43"/>
        <v>113639.94</v>
      </c>
      <c r="AD132" s="3">
        <f t="shared" si="44"/>
        <v>69834.600000000006</v>
      </c>
      <c r="AE132" s="3">
        <f t="shared" si="45"/>
        <v>150461.82</v>
      </c>
      <c r="AF132" s="3">
        <f>SUM(ecommerce_sales_all_data[[#This Row],[revenue_month_1]:[revenue_month_12]])</f>
        <v>1094921.8799999999</v>
      </c>
    </row>
    <row r="133" spans="1:32" x14ac:dyDescent="0.3">
      <c r="A133">
        <v>132</v>
      </c>
      <c r="B133" t="s">
        <v>156</v>
      </c>
      <c r="C133" t="s">
        <v>19</v>
      </c>
      <c r="D133" s="2">
        <v>114.94</v>
      </c>
      <c r="E133">
        <v>3</v>
      </c>
      <c r="F133">
        <v>277</v>
      </c>
      <c r="G133" s="1">
        <v>543</v>
      </c>
      <c r="H133" s="1">
        <v>82</v>
      </c>
      <c r="I133" s="1">
        <v>190</v>
      </c>
      <c r="J133" s="1">
        <v>868</v>
      </c>
      <c r="K133" s="1">
        <v>133</v>
      </c>
      <c r="L133" s="1">
        <v>615</v>
      </c>
      <c r="M133" s="1">
        <v>72</v>
      </c>
      <c r="N133" s="1">
        <v>411</v>
      </c>
      <c r="O133" s="1">
        <v>894</v>
      </c>
      <c r="P133" s="1">
        <v>684</v>
      </c>
      <c r="Q133" s="1">
        <v>426</v>
      </c>
      <c r="R133" s="1">
        <v>727</v>
      </c>
      <c r="S133" s="1">
        <f>SUM(ecommerce_sales_all_data[[#This Row],[sales_month_1]:[sales_month_12]])</f>
        <v>5645</v>
      </c>
      <c r="T133" s="3">
        <f t="shared" si="34"/>
        <v>62412.42</v>
      </c>
      <c r="U133" s="3">
        <f t="shared" si="35"/>
        <v>9425.08</v>
      </c>
      <c r="V133" s="3">
        <f t="shared" si="36"/>
        <v>21838.6</v>
      </c>
      <c r="W133" s="3">
        <f t="shared" si="37"/>
        <v>99767.92</v>
      </c>
      <c r="X133" s="3">
        <f t="shared" si="38"/>
        <v>15287.02</v>
      </c>
      <c r="Y133" s="3">
        <f t="shared" si="39"/>
        <v>70688.100000000006</v>
      </c>
      <c r="Z133" s="3">
        <f t="shared" si="40"/>
        <v>8275.68</v>
      </c>
      <c r="AA133" s="3">
        <f t="shared" si="41"/>
        <v>47240.34</v>
      </c>
      <c r="AB133" s="3">
        <f t="shared" si="42"/>
        <v>102756.36</v>
      </c>
      <c r="AC133" s="3">
        <f t="shared" si="43"/>
        <v>78618.959999999992</v>
      </c>
      <c r="AD133" s="3">
        <f t="shared" si="44"/>
        <v>48964.44</v>
      </c>
      <c r="AE133" s="3">
        <f t="shared" si="45"/>
        <v>83561.38</v>
      </c>
      <c r="AF133" s="3">
        <f>SUM(ecommerce_sales_all_data[[#This Row],[revenue_month_1]:[revenue_month_12]])</f>
        <v>648836.29999999993</v>
      </c>
    </row>
    <row r="134" spans="1:32" x14ac:dyDescent="0.3">
      <c r="A134">
        <v>133</v>
      </c>
      <c r="B134" t="s">
        <v>157</v>
      </c>
      <c r="C134" t="s">
        <v>23</v>
      </c>
      <c r="D134" s="2">
        <v>64.33</v>
      </c>
      <c r="E134">
        <v>1.3</v>
      </c>
      <c r="F134">
        <v>532</v>
      </c>
      <c r="G134" s="1">
        <v>445</v>
      </c>
      <c r="H134" s="1">
        <v>896</v>
      </c>
      <c r="I134" s="1">
        <v>421</v>
      </c>
      <c r="J134" s="1">
        <v>657</v>
      </c>
      <c r="K134" s="1">
        <v>284</v>
      </c>
      <c r="L134" s="1">
        <v>890</v>
      </c>
      <c r="M134" s="1">
        <v>248</v>
      </c>
      <c r="N134" s="1">
        <v>74</v>
      </c>
      <c r="O134" s="1">
        <v>395</v>
      </c>
      <c r="P134" s="1">
        <v>155</v>
      </c>
      <c r="Q134" s="1">
        <v>496</v>
      </c>
      <c r="R134" s="1">
        <v>716</v>
      </c>
      <c r="S134" s="1">
        <f>SUM(ecommerce_sales_all_data[[#This Row],[sales_month_1]:[sales_month_12]])</f>
        <v>5677</v>
      </c>
      <c r="T134" s="3">
        <f t="shared" si="34"/>
        <v>28626.85</v>
      </c>
      <c r="U134" s="3">
        <f t="shared" si="35"/>
        <v>57639.68</v>
      </c>
      <c r="V134" s="3">
        <f t="shared" si="36"/>
        <v>27082.93</v>
      </c>
      <c r="W134" s="3">
        <f t="shared" si="37"/>
        <v>42264.81</v>
      </c>
      <c r="X134" s="3">
        <f t="shared" si="38"/>
        <v>18269.72</v>
      </c>
      <c r="Y134" s="3">
        <f t="shared" si="39"/>
        <v>57253.7</v>
      </c>
      <c r="Z134" s="3">
        <f t="shared" si="40"/>
        <v>15953.84</v>
      </c>
      <c r="AA134" s="3">
        <f t="shared" si="41"/>
        <v>4760.42</v>
      </c>
      <c r="AB134" s="3">
        <f t="shared" si="42"/>
        <v>25410.35</v>
      </c>
      <c r="AC134" s="3">
        <f t="shared" si="43"/>
        <v>9971.15</v>
      </c>
      <c r="AD134" s="3">
        <f t="shared" si="44"/>
        <v>31907.68</v>
      </c>
      <c r="AE134" s="3">
        <f t="shared" si="45"/>
        <v>46060.28</v>
      </c>
      <c r="AF134" s="3">
        <f>SUM(ecommerce_sales_all_data[[#This Row],[revenue_month_1]:[revenue_month_12]])</f>
        <v>365201.41000000003</v>
      </c>
    </row>
    <row r="135" spans="1:32" x14ac:dyDescent="0.3">
      <c r="A135">
        <v>134</v>
      </c>
      <c r="B135" t="s">
        <v>158</v>
      </c>
      <c r="C135" t="s">
        <v>21</v>
      </c>
      <c r="D135" s="2">
        <v>172.12</v>
      </c>
      <c r="E135">
        <v>1.9</v>
      </c>
      <c r="F135">
        <v>154</v>
      </c>
      <c r="G135" s="1">
        <v>73</v>
      </c>
      <c r="H135" s="1">
        <v>649</v>
      </c>
      <c r="I135" s="1">
        <v>119</v>
      </c>
      <c r="J135" s="1">
        <v>727</v>
      </c>
      <c r="K135" s="1">
        <v>125</v>
      </c>
      <c r="L135" s="1">
        <v>697</v>
      </c>
      <c r="M135" s="1">
        <v>510</v>
      </c>
      <c r="N135" s="1">
        <v>294</v>
      </c>
      <c r="O135" s="1">
        <v>789</v>
      </c>
      <c r="P135" s="1">
        <v>237</v>
      </c>
      <c r="Q135" s="1">
        <v>827</v>
      </c>
      <c r="R135" s="1">
        <v>924</v>
      </c>
      <c r="S135" s="1">
        <f>SUM(ecommerce_sales_all_data[[#This Row],[sales_month_1]:[sales_month_12]])</f>
        <v>5971</v>
      </c>
      <c r="T135" s="3">
        <f t="shared" si="34"/>
        <v>12564.76</v>
      </c>
      <c r="U135" s="3">
        <f t="shared" si="35"/>
        <v>111705.88</v>
      </c>
      <c r="V135" s="3">
        <f t="shared" si="36"/>
        <v>20482.28</v>
      </c>
      <c r="W135" s="3">
        <f t="shared" si="37"/>
        <v>125131.24</v>
      </c>
      <c r="X135" s="3">
        <f t="shared" si="38"/>
        <v>21515</v>
      </c>
      <c r="Y135" s="3">
        <f t="shared" si="39"/>
        <v>119967.64</v>
      </c>
      <c r="Z135" s="3">
        <f t="shared" si="40"/>
        <v>87781.2</v>
      </c>
      <c r="AA135" s="3">
        <f t="shared" si="41"/>
        <v>50603.28</v>
      </c>
      <c r="AB135" s="3">
        <f t="shared" si="42"/>
        <v>135802.68</v>
      </c>
      <c r="AC135" s="3">
        <f t="shared" si="43"/>
        <v>40792.44</v>
      </c>
      <c r="AD135" s="3">
        <f t="shared" si="44"/>
        <v>142343.24</v>
      </c>
      <c r="AE135" s="3">
        <f t="shared" si="45"/>
        <v>159038.88</v>
      </c>
      <c r="AF135" s="3">
        <f>SUM(ecommerce_sales_all_data[[#This Row],[revenue_month_1]:[revenue_month_12]])</f>
        <v>1027728.5199999999</v>
      </c>
    </row>
    <row r="136" spans="1:32" x14ac:dyDescent="0.3">
      <c r="A136">
        <v>135</v>
      </c>
      <c r="B136" t="s">
        <v>159</v>
      </c>
      <c r="C136" t="s">
        <v>19</v>
      </c>
      <c r="D136" s="2">
        <v>471.74</v>
      </c>
      <c r="E136">
        <v>3.7</v>
      </c>
      <c r="F136">
        <v>383</v>
      </c>
      <c r="G136" s="1">
        <v>9</v>
      </c>
      <c r="H136" s="1">
        <v>419</v>
      </c>
      <c r="I136" s="1">
        <v>219</v>
      </c>
      <c r="J136" s="1">
        <v>909</v>
      </c>
      <c r="K136" s="1">
        <v>920</v>
      </c>
      <c r="L136" s="1">
        <v>249</v>
      </c>
      <c r="M136" s="1">
        <v>602</v>
      </c>
      <c r="N136" s="1">
        <v>792</v>
      </c>
      <c r="O136" s="1">
        <v>403</v>
      </c>
      <c r="P136" s="1">
        <v>375</v>
      </c>
      <c r="Q136" s="1">
        <v>485</v>
      </c>
      <c r="R136" s="1">
        <v>415</v>
      </c>
      <c r="S136" s="1">
        <f>SUM(ecommerce_sales_all_data[[#This Row],[sales_month_1]:[sales_month_12]])</f>
        <v>5797</v>
      </c>
      <c r="T136" s="3">
        <f t="shared" si="34"/>
        <v>4245.66</v>
      </c>
      <c r="U136" s="3">
        <f t="shared" si="35"/>
        <v>197659.06</v>
      </c>
      <c r="V136" s="3">
        <f t="shared" si="36"/>
        <v>103311.06</v>
      </c>
      <c r="W136" s="3">
        <f t="shared" si="37"/>
        <v>428811.66000000003</v>
      </c>
      <c r="X136" s="3">
        <f t="shared" si="38"/>
        <v>434000.8</v>
      </c>
      <c r="Y136" s="3">
        <f t="shared" si="39"/>
        <v>117463.26000000001</v>
      </c>
      <c r="Z136" s="3">
        <f t="shared" si="40"/>
        <v>283987.48</v>
      </c>
      <c r="AA136" s="3">
        <f t="shared" si="41"/>
        <v>373618.08</v>
      </c>
      <c r="AB136" s="3">
        <f t="shared" si="42"/>
        <v>190111.22</v>
      </c>
      <c r="AC136" s="3">
        <f t="shared" si="43"/>
        <v>176902.5</v>
      </c>
      <c r="AD136" s="3">
        <f t="shared" si="44"/>
        <v>228793.9</v>
      </c>
      <c r="AE136" s="3">
        <f t="shared" si="45"/>
        <v>195772.1</v>
      </c>
      <c r="AF136" s="3">
        <f>SUM(ecommerce_sales_all_data[[#This Row],[revenue_month_1]:[revenue_month_12]])</f>
        <v>2734676.7800000003</v>
      </c>
    </row>
    <row r="137" spans="1:32" x14ac:dyDescent="0.3">
      <c r="A137">
        <v>136</v>
      </c>
      <c r="B137" t="s">
        <v>160</v>
      </c>
      <c r="C137" t="s">
        <v>21</v>
      </c>
      <c r="D137" s="2">
        <v>164.99</v>
      </c>
      <c r="E137">
        <v>1.3</v>
      </c>
      <c r="F137">
        <v>68</v>
      </c>
      <c r="G137" s="1">
        <v>483</v>
      </c>
      <c r="H137" s="1">
        <v>72</v>
      </c>
      <c r="I137" s="1">
        <v>52</v>
      </c>
      <c r="J137" s="1">
        <v>673</v>
      </c>
      <c r="K137" s="1">
        <v>438</v>
      </c>
      <c r="L137" s="1">
        <v>254</v>
      </c>
      <c r="M137" s="1">
        <v>215</v>
      </c>
      <c r="N137" s="1">
        <v>20</v>
      </c>
      <c r="O137" s="1">
        <v>81</v>
      </c>
      <c r="P137" s="1">
        <v>81</v>
      </c>
      <c r="Q137" s="1">
        <v>807</v>
      </c>
      <c r="R137" s="1">
        <v>215</v>
      </c>
      <c r="S137" s="1">
        <f>SUM(ecommerce_sales_all_data[[#This Row],[sales_month_1]:[sales_month_12]])</f>
        <v>3391</v>
      </c>
      <c r="T137" s="3">
        <f t="shared" si="34"/>
        <v>79690.17</v>
      </c>
      <c r="U137" s="3">
        <f t="shared" si="35"/>
        <v>11879.28</v>
      </c>
      <c r="V137" s="3">
        <f t="shared" si="36"/>
        <v>8579.48</v>
      </c>
      <c r="W137" s="3">
        <f t="shared" si="37"/>
        <v>111038.27</v>
      </c>
      <c r="X137" s="3">
        <f t="shared" si="38"/>
        <v>72265.62000000001</v>
      </c>
      <c r="Y137" s="3">
        <f t="shared" si="39"/>
        <v>41907.46</v>
      </c>
      <c r="Z137" s="3">
        <f t="shared" si="40"/>
        <v>35472.85</v>
      </c>
      <c r="AA137" s="3">
        <f t="shared" si="41"/>
        <v>3299.8</v>
      </c>
      <c r="AB137" s="3">
        <f t="shared" si="42"/>
        <v>13364.19</v>
      </c>
      <c r="AC137" s="3">
        <f t="shared" si="43"/>
        <v>13364.19</v>
      </c>
      <c r="AD137" s="3">
        <f t="shared" si="44"/>
        <v>133146.93</v>
      </c>
      <c r="AE137" s="3">
        <f t="shared" si="45"/>
        <v>35472.85</v>
      </c>
      <c r="AF137" s="3">
        <f>SUM(ecommerce_sales_all_data[[#This Row],[revenue_month_1]:[revenue_month_12]])</f>
        <v>559481.09</v>
      </c>
    </row>
    <row r="138" spans="1:32" x14ac:dyDescent="0.3">
      <c r="A138">
        <v>137</v>
      </c>
      <c r="B138" t="s">
        <v>161</v>
      </c>
      <c r="C138" t="s">
        <v>35</v>
      </c>
      <c r="D138" s="2">
        <v>261.8</v>
      </c>
      <c r="E138">
        <v>4.4000000000000004</v>
      </c>
      <c r="F138">
        <v>878</v>
      </c>
      <c r="G138" s="1">
        <v>455</v>
      </c>
      <c r="H138" s="1">
        <v>236</v>
      </c>
      <c r="I138" s="1">
        <v>733</v>
      </c>
      <c r="J138" s="1">
        <v>127</v>
      </c>
      <c r="K138" s="1">
        <v>848</v>
      </c>
      <c r="L138" s="1">
        <v>587</v>
      </c>
      <c r="M138" s="1">
        <v>972</v>
      </c>
      <c r="N138" s="1">
        <v>905</v>
      </c>
      <c r="O138" s="1">
        <v>640</v>
      </c>
      <c r="P138" s="1">
        <v>491</v>
      </c>
      <c r="Q138" s="1">
        <v>448</v>
      </c>
      <c r="R138" s="1">
        <v>79</v>
      </c>
      <c r="S138" s="1">
        <f>SUM(ecommerce_sales_all_data[[#This Row],[sales_month_1]:[sales_month_12]])</f>
        <v>6521</v>
      </c>
      <c r="T138" s="3">
        <f t="shared" si="34"/>
        <v>119119</v>
      </c>
      <c r="U138" s="3">
        <f t="shared" si="35"/>
        <v>61784.800000000003</v>
      </c>
      <c r="V138" s="3">
        <f t="shared" si="36"/>
        <v>191899.4</v>
      </c>
      <c r="W138" s="3">
        <f t="shared" si="37"/>
        <v>33248.6</v>
      </c>
      <c r="X138" s="3">
        <f t="shared" si="38"/>
        <v>222006.40000000002</v>
      </c>
      <c r="Y138" s="3">
        <f t="shared" si="39"/>
        <v>153676.6</v>
      </c>
      <c r="Z138" s="3">
        <f t="shared" si="40"/>
        <v>254469.6</v>
      </c>
      <c r="AA138" s="3">
        <f t="shared" si="41"/>
        <v>236929</v>
      </c>
      <c r="AB138" s="3">
        <f t="shared" si="42"/>
        <v>167552</v>
      </c>
      <c r="AC138" s="3">
        <f t="shared" si="43"/>
        <v>128543.8</v>
      </c>
      <c r="AD138" s="3">
        <f t="shared" si="44"/>
        <v>117286.40000000001</v>
      </c>
      <c r="AE138" s="3">
        <f t="shared" si="45"/>
        <v>20682.2</v>
      </c>
      <c r="AF138" s="3">
        <f>SUM(ecommerce_sales_all_data[[#This Row],[revenue_month_1]:[revenue_month_12]])</f>
        <v>1707197.7999999998</v>
      </c>
    </row>
    <row r="139" spans="1:32" x14ac:dyDescent="0.3">
      <c r="A139">
        <v>138</v>
      </c>
      <c r="B139" t="s">
        <v>162</v>
      </c>
      <c r="C139" t="s">
        <v>29</v>
      </c>
      <c r="D139" s="2">
        <v>352.99</v>
      </c>
      <c r="E139">
        <v>3</v>
      </c>
      <c r="F139">
        <v>884</v>
      </c>
      <c r="G139" s="1">
        <v>565</v>
      </c>
      <c r="H139" s="1">
        <v>45</v>
      </c>
      <c r="I139" s="1">
        <v>450</v>
      </c>
      <c r="J139" s="1">
        <v>313</v>
      </c>
      <c r="K139" s="1">
        <v>685</v>
      </c>
      <c r="L139" s="1">
        <v>897</v>
      </c>
      <c r="M139" s="1">
        <v>601</v>
      </c>
      <c r="N139" s="1">
        <v>170</v>
      </c>
      <c r="O139" s="1">
        <v>285</v>
      </c>
      <c r="P139" s="1">
        <v>355</v>
      </c>
      <c r="Q139" s="1">
        <v>412</v>
      </c>
      <c r="R139" s="1">
        <v>778</v>
      </c>
      <c r="S139" s="1">
        <f>SUM(ecommerce_sales_all_data[[#This Row],[sales_month_1]:[sales_month_12]])</f>
        <v>5556</v>
      </c>
      <c r="T139" s="3">
        <f t="shared" si="34"/>
        <v>199439.35</v>
      </c>
      <c r="U139" s="3">
        <f t="shared" si="35"/>
        <v>15884.550000000001</v>
      </c>
      <c r="V139" s="3">
        <f t="shared" si="36"/>
        <v>158845.5</v>
      </c>
      <c r="W139" s="3">
        <f t="shared" si="37"/>
        <v>110485.87000000001</v>
      </c>
      <c r="X139" s="3">
        <f t="shared" si="38"/>
        <v>241798.15</v>
      </c>
      <c r="Y139" s="3">
        <f t="shared" si="39"/>
        <v>316632.03000000003</v>
      </c>
      <c r="Z139" s="3">
        <f t="shared" si="40"/>
        <v>212146.99000000002</v>
      </c>
      <c r="AA139" s="3">
        <f t="shared" si="41"/>
        <v>60008.3</v>
      </c>
      <c r="AB139" s="3">
        <f t="shared" si="42"/>
        <v>100602.15000000001</v>
      </c>
      <c r="AC139" s="3">
        <f t="shared" si="43"/>
        <v>125311.45</v>
      </c>
      <c r="AD139" s="3">
        <f t="shared" si="44"/>
        <v>145431.88</v>
      </c>
      <c r="AE139" s="3">
        <f t="shared" si="45"/>
        <v>274626.22000000003</v>
      </c>
      <c r="AF139" s="3">
        <f>SUM(ecommerce_sales_all_data[[#This Row],[revenue_month_1]:[revenue_month_12]])</f>
        <v>1961212.4400000002</v>
      </c>
    </row>
    <row r="140" spans="1:32" x14ac:dyDescent="0.3">
      <c r="A140">
        <v>139</v>
      </c>
      <c r="B140" t="s">
        <v>163</v>
      </c>
      <c r="C140" t="s">
        <v>26</v>
      </c>
      <c r="D140" s="2">
        <v>185</v>
      </c>
      <c r="E140">
        <v>2.9</v>
      </c>
      <c r="F140">
        <v>214</v>
      </c>
      <c r="G140" s="1">
        <v>563</v>
      </c>
      <c r="H140" s="1">
        <v>617</v>
      </c>
      <c r="I140" s="1">
        <v>411</v>
      </c>
      <c r="J140" s="1">
        <v>331</v>
      </c>
      <c r="K140" s="1">
        <v>151</v>
      </c>
      <c r="L140" s="1">
        <v>970</v>
      </c>
      <c r="M140" s="1">
        <v>540</v>
      </c>
      <c r="N140" s="1">
        <v>14</v>
      </c>
      <c r="O140" s="1">
        <v>381</v>
      </c>
      <c r="P140" s="1">
        <v>924</v>
      </c>
      <c r="Q140" s="1">
        <v>329</v>
      </c>
      <c r="R140" s="1">
        <v>479</v>
      </c>
      <c r="S140" s="1">
        <f>SUM(ecommerce_sales_all_data[[#This Row],[sales_month_1]:[sales_month_12]])</f>
        <v>5710</v>
      </c>
      <c r="T140" s="3">
        <f t="shared" si="34"/>
        <v>104155</v>
      </c>
      <c r="U140" s="3">
        <f t="shared" si="35"/>
        <v>114145</v>
      </c>
      <c r="V140" s="3">
        <f t="shared" si="36"/>
        <v>76035</v>
      </c>
      <c r="W140" s="3">
        <f t="shared" si="37"/>
        <v>61235</v>
      </c>
      <c r="X140" s="3">
        <f t="shared" si="38"/>
        <v>27935</v>
      </c>
      <c r="Y140" s="3">
        <f t="shared" si="39"/>
        <v>179450</v>
      </c>
      <c r="Z140" s="3">
        <f t="shared" si="40"/>
        <v>99900</v>
      </c>
      <c r="AA140" s="3">
        <f t="shared" si="41"/>
        <v>2590</v>
      </c>
      <c r="AB140" s="3">
        <f t="shared" si="42"/>
        <v>70485</v>
      </c>
      <c r="AC140" s="3">
        <f t="shared" si="43"/>
        <v>170940</v>
      </c>
      <c r="AD140" s="3">
        <f t="shared" si="44"/>
        <v>60865</v>
      </c>
      <c r="AE140" s="3">
        <f t="shared" si="45"/>
        <v>88615</v>
      </c>
      <c r="AF140" s="3">
        <f>SUM(ecommerce_sales_all_data[[#This Row],[revenue_month_1]:[revenue_month_12]])</f>
        <v>1056350</v>
      </c>
    </row>
    <row r="141" spans="1:32" x14ac:dyDescent="0.3">
      <c r="A141">
        <v>140</v>
      </c>
      <c r="B141" t="s">
        <v>164</v>
      </c>
      <c r="C141" t="s">
        <v>23</v>
      </c>
      <c r="D141" s="2">
        <v>486.03</v>
      </c>
      <c r="E141">
        <v>3.4</v>
      </c>
      <c r="F141">
        <v>655</v>
      </c>
      <c r="G141" s="1">
        <v>659</v>
      </c>
      <c r="H141" s="1">
        <v>927</v>
      </c>
      <c r="I141" s="1">
        <v>642</v>
      </c>
      <c r="J141" s="1">
        <v>149</v>
      </c>
      <c r="K141" s="1">
        <v>330</v>
      </c>
      <c r="L141" s="1">
        <v>107</v>
      </c>
      <c r="M141" s="1">
        <v>946</v>
      </c>
      <c r="N141" s="1">
        <v>210</v>
      </c>
      <c r="O141" s="1">
        <v>864</v>
      </c>
      <c r="P141" s="1">
        <v>272</v>
      </c>
      <c r="Q141" s="1">
        <v>731</v>
      </c>
      <c r="R141" s="1">
        <v>901</v>
      </c>
      <c r="S141" s="1">
        <f>SUM(ecommerce_sales_all_data[[#This Row],[sales_month_1]:[sales_month_12]])</f>
        <v>6738</v>
      </c>
      <c r="T141" s="3">
        <f t="shared" si="34"/>
        <v>320293.76999999996</v>
      </c>
      <c r="U141" s="3">
        <f t="shared" si="35"/>
        <v>450549.81</v>
      </c>
      <c r="V141" s="3">
        <f t="shared" si="36"/>
        <v>312031.26</v>
      </c>
      <c r="W141" s="3">
        <f t="shared" si="37"/>
        <v>72418.47</v>
      </c>
      <c r="X141" s="3">
        <f t="shared" si="38"/>
        <v>160389.9</v>
      </c>
      <c r="Y141" s="3">
        <f t="shared" si="39"/>
        <v>52005.21</v>
      </c>
      <c r="Z141" s="3">
        <f t="shared" si="40"/>
        <v>459784.37999999995</v>
      </c>
      <c r="AA141" s="3">
        <f t="shared" si="41"/>
        <v>102066.29999999999</v>
      </c>
      <c r="AB141" s="3">
        <f t="shared" si="42"/>
        <v>419929.92</v>
      </c>
      <c r="AC141" s="3">
        <f t="shared" si="43"/>
        <v>132200.16</v>
      </c>
      <c r="AD141" s="3">
        <f t="shared" si="44"/>
        <v>355287.93</v>
      </c>
      <c r="AE141" s="3">
        <f t="shared" si="45"/>
        <v>437913.02999999997</v>
      </c>
      <c r="AF141" s="3">
        <f>SUM(ecommerce_sales_all_data[[#This Row],[revenue_month_1]:[revenue_month_12]])</f>
        <v>3274870.1399999997</v>
      </c>
    </row>
    <row r="142" spans="1:32" x14ac:dyDescent="0.3">
      <c r="A142">
        <v>141</v>
      </c>
      <c r="B142" t="s">
        <v>165</v>
      </c>
      <c r="C142" t="s">
        <v>26</v>
      </c>
      <c r="D142" s="2">
        <v>481.41</v>
      </c>
      <c r="E142">
        <v>4.3</v>
      </c>
      <c r="F142">
        <v>376</v>
      </c>
      <c r="G142" s="1">
        <v>159</v>
      </c>
      <c r="H142" s="1">
        <v>799</v>
      </c>
      <c r="I142" s="1">
        <v>236</v>
      </c>
      <c r="J142" s="1">
        <v>453</v>
      </c>
      <c r="K142" s="1">
        <v>537</v>
      </c>
      <c r="L142" s="1">
        <v>667</v>
      </c>
      <c r="M142" s="1">
        <v>816</v>
      </c>
      <c r="N142" s="1">
        <v>559</v>
      </c>
      <c r="O142" s="1">
        <v>791</v>
      </c>
      <c r="P142" s="1">
        <v>579</v>
      </c>
      <c r="Q142" s="1">
        <v>888</v>
      </c>
      <c r="R142" s="1">
        <v>890</v>
      </c>
      <c r="S142" s="1">
        <f>SUM(ecommerce_sales_all_data[[#This Row],[sales_month_1]:[sales_month_12]])</f>
        <v>7374</v>
      </c>
      <c r="T142" s="3">
        <f t="shared" si="34"/>
        <v>76544.19</v>
      </c>
      <c r="U142" s="3">
        <f t="shared" si="35"/>
        <v>384646.59</v>
      </c>
      <c r="V142" s="3">
        <f t="shared" si="36"/>
        <v>113612.76000000001</v>
      </c>
      <c r="W142" s="3">
        <f t="shared" si="37"/>
        <v>218078.73</v>
      </c>
      <c r="X142" s="3">
        <f t="shared" si="38"/>
        <v>258517.17</v>
      </c>
      <c r="Y142" s="3">
        <f t="shared" si="39"/>
        <v>321100.47000000003</v>
      </c>
      <c r="Z142" s="3">
        <f t="shared" si="40"/>
        <v>392830.56</v>
      </c>
      <c r="AA142" s="3">
        <f t="shared" si="41"/>
        <v>269108.19</v>
      </c>
      <c r="AB142" s="3">
        <f t="shared" si="42"/>
        <v>380795.31</v>
      </c>
      <c r="AC142" s="3">
        <f t="shared" si="43"/>
        <v>278736.39</v>
      </c>
      <c r="AD142" s="3">
        <f t="shared" si="44"/>
        <v>427492.08</v>
      </c>
      <c r="AE142" s="3">
        <f t="shared" si="45"/>
        <v>428454.9</v>
      </c>
      <c r="AF142" s="3">
        <f>SUM(ecommerce_sales_all_data[[#This Row],[revenue_month_1]:[revenue_month_12]])</f>
        <v>3549917.34</v>
      </c>
    </row>
    <row r="143" spans="1:32" x14ac:dyDescent="0.3">
      <c r="A143">
        <v>142</v>
      </c>
      <c r="B143" t="s">
        <v>166</v>
      </c>
      <c r="C143" t="s">
        <v>23</v>
      </c>
      <c r="D143" s="2">
        <v>129.63</v>
      </c>
      <c r="E143">
        <v>2.4</v>
      </c>
      <c r="F143">
        <v>744</v>
      </c>
      <c r="G143" s="1">
        <v>881</v>
      </c>
      <c r="H143" s="1">
        <v>261</v>
      </c>
      <c r="I143" s="1">
        <v>757</v>
      </c>
      <c r="J143" s="1">
        <v>35</v>
      </c>
      <c r="K143" s="1">
        <v>382</v>
      </c>
      <c r="L143" s="1">
        <v>593</v>
      </c>
      <c r="M143" s="1">
        <v>938</v>
      </c>
      <c r="N143" s="1">
        <v>85</v>
      </c>
      <c r="O143" s="1">
        <v>269</v>
      </c>
      <c r="P143" s="1">
        <v>43</v>
      </c>
      <c r="Q143" s="1">
        <v>990</v>
      </c>
      <c r="R143" s="1">
        <v>546</v>
      </c>
      <c r="S143" s="1">
        <f>SUM(ecommerce_sales_all_data[[#This Row],[sales_month_1]:[sales_month_12]])</f>
        <v>5780</v>
      </c>
      <c r="T143" s="3">
        <f t="shared" si="34"/>
        <v>114204.03</v>
      </c>
      <c r="U143" s="3">
        <f t="shared" si="35"/>
        <v>33833.43</v>
      </c>
      <c r="V143" s="3">
        <f t="shared" si="36"/>
        <v>98129.91</v>
      </c>
      <c r="W143" s="3">
        <f t="shared" si="37"/>
        <v>4537.05</v>
      </c>
      <c r="X143" s="3">
        <f t="shared" si="38"/>
        <v>49518.659999999996</v>
      </c>
      <c r="Y143" s="3">
        <f t="shared" si="39"/>
        <v>76870.59</v>
      </c>
      <c r="Z143" s="3">
        <f t="shared" si="40"/>
        <v>121592.94</v>
      </c>
      <c r="AA143" s="3">
        <f t="shared" si="41"/>
        <v>11018.55</v>
      </c>
      <c r="AB143" s="3">
        <f t="shared" si="42"/>
        <v>34870.47</v>
      </c>
      <c r="AC143" s="3">
        <f t="shared" si="43"/>
        <v>5574.09</v>
      </c>
      <c r="AD143" s="3">
        <f t="shared" si="44"/>
        <v>128333.7</v>
      </c>
      <c r="AE143" s="3">
        <f t="shared" si="45"/>
        <v>70777.98</v>
      </c>
      <c r="AF143" s="3">
        <f>SUM(ecommerce_sales_all_data[[#This Row],[revenue_month_1]:[revenue_month_12]])</f>
        <v>749261.39999999979</v>
      </c>
    </row>
    <row r="144" spans="1:32" x14ac:dyDescent="0.3">
      <c r="A144">
        <v>143</v>
      </c>
      <c r="B144" t="s">
        <v>167</v>
      </c>
      <c r="C144" t="s">
        <v>29</v>
      </c>
      <c r="D144" s="2">
        <v>251.14</v>
      </c>
      <c r="E144">
        <v>3.7</v>
      </c>
      <c r="F144">
        <v>213</v>
      </c>
      <c r="G144" s="1">
        <v>13</v>
      </c>
      <c r="H144" s="1">
        <v>175</v>
      </c>
      <c r="I144" s="1">
        <v>737</v>
      </c>
      <c r="J144" s="1">
        <v>684</v>
      </c>
      <c r="K144" s="1">
        <v>114</v>
      </c>
      <c r="L144" s="1">
        <v>588</v>
      </c>
      <c r="M144" s="1">
        <v>987</v>
      </c>
      <c r="N144" s="1">
        <v>148</v>
      </c>
      <c r="O144" s="1">
        <v>291</v>
      </c>
      <c r="P144" s="1">
        <v>572</v>
      </c>
      <c r="Q144" s="1">
        <v>146</v>
      </c>
      <c r="R144" s="1">
        <v>800</v>
      </c>
      <c r="S144" s="1">
        <f>SUM(ecommerce_sales_all_data[[#This Row],[sales_month_1]:[sales_month_12]])</f>
        <v>5255</v>
      </c>
      <c r="T144" s="3">
        <f t="shared" si="34"/>
        <v>3264.8199999999997</v>
      </c>
      <c r="U144" s="3">
        <f t="shared" si="35"/>
        <v>43949.5</v>
      </c>
      <c r="V144" s="3">
        <f t="shared" si="36"/>
        <v>185090.18</v>
      </c>
      <c r="W144" s="3">
        <f t="shared" si="37"/>
        <v>171779.75999999998</v>
      </c>
      <c r="X144" s="3">
        <f t="shared" si="38"/>
        <v>28629.96</v>
      </c>
      <c r="Y144" s="3">
        <f t="shared" si="39"/>
        <v>147670.31999999998</v>
      </c>
      <c r="Z144" s="3">
        <f t="shared" si="40"/>
        <v>247875.18</v>
      </c>
      <c r="AA144" s="3">
        <f t="shared" si="41"/>
        <v>37168.720000000001</v>
      </c>
      <c r="AB144" s="3">
        <f t="shared" si="42"/>
        <v>73081.739999999991</v>
      </c>
      <c r="AC144" s="3">
        <f t="shared" si="43"/>
        <v>143652.07999999999</v>
      </c>
      <c r="AD144" s="3">
        <f t="shared" si="44"/>
        <v>36666.439999999995</v>
      </c>
      <c r="AE144" s="3">
        <f t="shared" si="45"/>
        <v>200912</v>
      </c>
      <c r="AF144" s="3">
        <f>SUM(ecommerce_sales_all_data[[#This Row],[revenue_month_1]:[revenue_month_12]])</f>
        <v>1319740.7</v>
      </c>
    </row>
    <row r="145" spans="1:32" x14ac:dyDescent="0.3">
      <c r="A145">
        <v>144</v>
      </c>
      <c r="B145" t="s">
        <v>168</v>
      </c>
      <c r="C145" t="s">
        <v>26</v>
      </c>
      <c r="D145" s="2">
        <v>153.93</v>
      </c>
      <c r="E145">
        <v>3.3</v>
      </c>
      <c r="F145">
        <v>79</v>
      </c>
      <c r="G145" s="1">
        <v>177</v>
      </c>
      <c r="H145" s="1">
        <v>165</v>
      </c>
      <c r="I145" s="1">
        <v>719</v>
      </c>
      <c r="J145" s="1">
        <v>419</v>
      </c>
      <c r="K145" s="1">
        <v>893</v>
      </c>
      <c r="L145" s="1">
        <v>484</v>
      </c>
      <c r="M145" s="1">
        <v>219</v>
      </c>
      <c r="N145" s="1">
        <v>699</v>
      </c>
      <c r="O145" s="1">
        <v>452</v>
      </c>
      <c r="P145" s="1">
        <v>122</v>
      </c>
      <c r="Q145" s="1">
        <v>258</v>
      </c>
      <c r="R145" s="1">
        <v>17</v>
      </c>
      <c r="S145" s="1">
        <f>SUM(ecommerce_sales_all_data[[#This Row],[sales_month_1]:[sales_month_12]])</f>
        <v>4624</v>
      </c>
      <c r="T145" s="3">
        <f t="shared" si="34"/>
        <v>27245.61</v>
      </c>
      <c r="U145" s="3">
        <f t="shared" si="35"/>
        <v>25398.45</v>
      </c>
      <c r="V145" s="3">
        <f t="shared" si="36"/>
        <v>110675.67</v>
      </c>
      <c r="W145" s="3">
        <f t="shared" si="37"/>
        <v>64496.670000000006</v>
      </c>
      <c r="X145" s="3">
        <f t="shared" si="38"/>
        <v>137459.49000000002</v>
      </c>
      <c r="Y145" s="3">
        <f t="shared" si="39"/>
        <v>74502.12000000001</v>
      </c>
      <c r="Z145" s="3">
        <f t="shared" si="40"/>
        <v>33710.67</v>
      </c>
      <c r="AA145" s="3">
        <f t="shared" si="41"/>
        <v>107597.07</v>
      </c>
      <c r="AB145" s="3">
        <f t="shared" si="42"/>
        <v>69576.36</v>
      </c>
      <c r="AC145" s="3">
        <f t="shared" si="43"/>
        <v>18779.46</v>
      </c>
      <c r="AD145" s="3">
        <f t="shared" si="44"/>
        <v>39713.94</v>
      </c>
      <c r="AE145" s="3">
        <f t="shared" si="45"/>
        <v>2616.81</v>
      </c>
      <c r="AF145" s="3">
        <f>SUM(ecommerce_sales_all_data[[#This Row],[revenue_month_1]:[revenue_month_12]])</f>
        <v>711772.32000000007</v>
      </c>
    </row>
    <row r="146" spans="1:32" x14ac:dyDescent="0.3">
      <c r="A146">
        <v>145</v>
      </c>
      <c r="B146" t="s">
        <v>169</v>
      </c>
      <c r="C146" t="s">
        <v>29</v>
      </c>
      <c r="D146" s="2">
        <v>146</v>
      </c>
      <c r="E146">
        <v>2.1</v>
      </c>
      <c r="F146">
        <v>726</v>
      </c>
      <c r="G146" s="1">
        <v>411</v>
      </c>
      <c r="H146" s="1">
        <v>656</v>
      </c>
      <c r="I146" s="1">
        <v>405</v>
      </c>
      <c r="J146" s="1">
        <v>21</v>
      </c>
      <c r="K146" s="1">
        <v>481</v>
      </c>
      <c r="L146" s="1">
        <v>981</v>
      </c>
      <c r="M146" s="1">
        <v>839</v>
      </c>
      <c r="N146" s="1">
        <v>371</v>
      </c>
      <c r="O146" s="1">
        <v>714</v>
      </c>
      <c r="P146" s="1">
        <v>348</v>
      </c>
      <c r="Q146" s="1">
        <v>291</v>
      </c>
      <c r="R146" s="1">
        <v>164</v>
      </c>
      <c r="S146" s="1">
        <f>SUM(ecommerce_sales_all_data[[#This Row],[sales_month_1]:[sales_month_12]])</f>
        <v>5682</v>
      </c>
      <c r="T146" s="3">
        <f t="shared" si="34"/>
        <v>60006</v>
      </c>
      <c r="U146" s="3">
        <f t="shared" si="35"/>
        <v>95776</v>
      </c>
      <c r="V146" s="3">
        <f t="shared" si="36"/>
        <v>59130</v>
      </c>
      <c r="W146" s="3">
        <f t="shared" si="37"/>
        <v>3066</v>
      </c>
      <c r="X146" s="3">
        <f t="shared" si="38"/>
        <v>70226</v>
      </c>
      <c r="Y146" s="3">
        <f t="shared" si="39"/>
        <v>143226</v>
      </c>
      <c r="Z146" s="3">
        <f t="shared" si="40"/>
        <v>122494</v>
      </c>
      <c r="AA146" s="3">
        <f t="shared" si="41"/>
        <v>54166</v>
      </c>
      <c r="AB146" s="3">
        <f t="shared" si="42"/>
        <v>104244</v>
      </c>
      <c r="AC146" s="3">
        <f t="shared" si="43"/>
        <v>50808</v>
      </c>
      <c r="AD146" s="3">
        <f t="shared" si="44"/>
        <v>42486</v>
      </c>
      <c r="AE146" s="3">
        <f t="shared" si="45"/>
        <v>23944</v>
      </c>
      <c r="AF146" s="3">
        <f>SUM(ecommerce_sales_all_data[[#This Row],[revenue_month_1]:[revenue_month_12]])</f>
        <v>829572</v>
      </c>
    </row>
    <row r="147" spans="1:32" x14ac:dyDescent="0.3">
      <c r="A147">
        <v>146</v>
      </c>
      <c r="B147" t="s">
        <v>170</v>
      </c>
      <c r="C147" t="s">
        <v>23</v>
      </c>
      <c r="D147" s="2">
        <v>23.26</v>
      </c>
      <c r="E147">
        <v>4.5</v>
      </c>
      <c r="F147">
        <v>628</v>
      </c>
      <c r="G147" s="1">
        <v>877</v>
      </c>
      <c r="H147" s="1">
        <v>841</v>
      </c>
      <c r="I147" s="1">
        <v>607</v>
      </c>
      <c r="J147" s="1">
        <v>205</v>
      </c>
      <c r="K147" s="1">
        <v>283</v>
      </c>
      <c r="L147" s="1">
        <v>971</v>
      </c>
      <c r="M147" s="1">
        <v>726</v>
      </c>
      <c r="N147" s="1">
        <v>479</v>
      </c>
      <c r="O147" s="1">
        <v>23</v>
      </c>
      <c r="P147" s="1">
        <v>707</v>
      </c>
      <c r="Q147" s="1">
        <v>810</v>
      </c>
      <c r="R147" s="1">
        <v>524</v>
      </c>
      <c r="S147" s="1">
        <f>SUM(ecommerce_sales_all_data[[#This Row],[sales_month_1]:[sales_month_12]])</f>
        <v>7053</v>
      </c>
      <c r="T147" s="3">
        <f t="shared" si="34"/>
        <v>20399.02</v>
      </c>
      <c r="U147" s="3">
        <f t="shared" si="35"/>
        <v>19561.66</v>
      </c>
      <c r="V147" s="3">
        <f t="shared" si="36"/>
        <v>14118.820000000002</v>
      </c>
      <c r="W147" s="3">
        <f t="shared" si="37"/>
        <v>4768.3</v>
      </c>
      <c r="X147" s="3">
        <f t="shared" si="38"/>
        <v>6582.5800000000008</v>
      </c>
      <c r="Y147" s="3">
        <f t="shared" si="39"/>
        <v>22585.460000000003</v>
      </c>
      <c r="Z147" s="3">
        <f t="shared" si="40"/>
        <v>16886.760000000002</v>
      </c>
      <c r="AA147" s="3">
        <f t="shared" si="41"/>
        <v>11141.54</v>
      </c>
      <c r="AB147" s="3">
        <f t="shared" si="42"/>
        <v>534.98</v>
      </c>
      <c r="AC147" s="3">
        <f t="shared" si="43"/>
        <v>16444.82</v>
      </c>
      <c r="AD147" s="3">
        <f t="shared" si="44"/>
        <v>18840.600000000002</v>
      </c>
      <c r="AE147" s="3">
        <f t="shared" si="45"/>
        <v>12188.240000000002</v>
      </c>
      <c r="AF147" s="3">
        <f>SUM(ecommerce_sales_all_data[[#This Row],[revenue_month_1]:[revenue_month_12]])</f>
        <v>164052.78</v>
      </c>
    </row>
    <row r="148" spans="1:32" x14ac:dyDescent="0.3">
      <c r="A148">
        <v>147</v>
      </c>
      <c r="B148" t="s">
        <v>171</v>
      </c>
      <c r="C148" t="s">
        <v>19</v>
      </c>
      <c r="D148" s="2">
        <v>306.73</v>
      </c>
      <c r="E148">
        <v>4.2</v>
      </c>
      <c r="F148">
        <v>604</v>
      </c>
      <c r="G148" s="1">
        <v>52</v>
      </c>
      <c r="H148" s="1">
        <v>369</v>
      </c>
      <c r="I148" s="1">
        <v>421</v>
      </c>
      <c r="J148" s="1">
        <v>638</v>
      </c>
      <c r="K148" s="1">
        <v>898</v>
      </c>
      <c r="L148" s="1">
        <v>257</v>
      </c>
      <c r="M148" s="1">
        <v>220</v>
      </c>
      <c r="N148" s="1">
        <v>817</v>
      </c>
      <c r="O148" s="1">
        <v>955</v>
      </c>
      <c r="P148" s="1">
        <v>329</v>
      </c>
      <c r="Q148" s="1">
        <v>142</v>
      </c>
      <c r="R148" s="1">
        <v>201</v>
      </c>
      <c r="S148" s="1">
        <f>SUM(ecommerce_sales_all_data[[#This Row],[sales_month_1]:[sales_month_12]])</f>
        <v>5299</v>
      </c>
      <c r="T148" s="3">
        <f t="shared" si="34"/>
        <v>15949.960000000001</v>
      </c>
      <c r="U148" s="3">
        <f t="shared" si="35"/>
        <v>113183.37000000001</v>
      </c>
      <c r="V148" s="3">
        <f t="shared" si="36"/>
        <v>129133.33</v>
      </c>
      <c r="W148" s="3">
        <f t="shared" si="37"/>
        <v>195693.74000000002</v>
      </c>
      <c r="X148" s="3">
        <f t="shared" si="38"/>
        <v>275443.54000000004</v>
      </c>
      <c r="Y148" s="3">
        <f t="shared" si="39"/>
        <v>78829.61</v>
      </c>
      <c r="Z148" s="3">
        <f t="shared" si="40"/>
        <v>67480.600000000006</v>
      </c>
      <c r="AA148" s="3">
        <f t="shared" si="41"/>
        <v>250598.41</v>
      </c>
      <c r="AB148" s="3">
        <f t="shared" si="42"/>
        <v>292927.15000000002</v>
      </c>
      <c r="AC148" s="3">
        <f t="shared" si="43"/>
        <v>100914.17000000001</v>
      </c>
      <c r="AD148" s="3">
        <f t="shared" si="44"/>
        <v>43555.66</v>
      </c>
      <c r="AE148" s="3">
        <f t="shared" si="45"/>
        <v>61652.73</v>
      </c>
      <c r="AF148" s="3">
        <f>SUM(ecommerce_sales_all_data[[#This Row],[revenue_month_1]:[revenue_month_12]])</f>
        <v>1625362.2699999998</v>
      </c>
    </row>
    <row r="149" spans="1:32" x14ac:dyDescent="0.3">
      <c r="A149">
        <v>148</v>
      </c>
      <c r="B149" t="s">
        <v>172</v>
      </c>
      <c r="C149" t="s">
        <v>35</v>
      </c>
      <c r="D149" s="2">
        <v>253.83</v>
      </c>
      <c r="E149">
        <v>3.6</v>
      </c>
      <c r="F149">
        <v>782</v>
      </c>
      <c r="G149" s="1">
        <v>407</v>
      </c>
      <c r="H149" s="1">
        <v>794</v>
      </c>
      <c r="I149" s="1">
        <v>711</v>
      </c>
      <c r="J149" s="1">
        <v>847</v>
      </c>
      <c r="K149" s="1">
        <v>74</v>
      </c>
      <c r="L149" s="1">
        <v>638</v>
      </c>
      <c r="M149" s="1">
        <v>388</v>
      </c>
      <c r="N149" s="1">
        <v>150</v>
      </c>
      <c r="O149" s="1">
        <v>862</v>
      </c>
      <c r="P149" s="1">
        <v>408</v>
      </c>
      <c r="Q149" s="1">
        <v>992</v>
      </c>
      <c r="R149" s="1">
        <v>740</v>
      </c>
      <c r="S149" s="1">
        <f>SUM(ecommerce_sales_all_data[[#This Row],[sales_month_1]:[sales_month_12]])</f>
        <v>7011</v>
      </c>
      <c r="T149" s="3">
        <f t="shared" si="34"/>
        <v>103308.81000000001</v>
      </c>
      <c r="U149" s="3">
        <f t="shared" si="35"/>
        <v>201541.02000000002</v>
      </c>
      <c r="V149" s="3">
        <f t="shared" si="36"/>
        <v>180473.13</v>
      </c>
      <c r="W149" s="3">
        <f t="shared" si="37"/>
        <v>214994.01</v>
      </c>
      <c r="X149" s="3">
        <f t="shared" si="38"/>
        <v>18783.420000000002</v>
      </c>
      <c r="Y149" s="3">
        <f t="shared" si="39"/>
        <v>161943.54</v>
      </c>
      <c r="Z149" s="3">
        <f t="shared" si="40"/>
        <v>98486.040000000008</v>
      </c>
      <c r="AA149" s="3">
        <f t="shared" si="41"/>
        <v>38074.5</v>
      </c>
      <c r="AB149" s="3">
        <f t="shared" si="42"/>
        <v>218801.46000000002</v>
      </c>
      <c r="AC149" s="3">
        <f t="shared" si="43"/>
        <v>103562.64</v>
      </c>
      <c r="AD149" s="3">
        <f t="shared" si="44"/>
        <v>251799.36000000002</v>
      </c>
      <c r="AE149" s="3">
        <f t="shared" si="45"/>
        <v>187834.2</v>
      </c>
      <c r="AF149" s="3">
        <f>SUM(ecommerce_sales_all_data[[#This Row],[revenue_month_1]:[revenue_month_12]])</f>
        <v>1779602.1300000001</v>
      </c>
    </row>
    <row r="150" spans="1:32" x14ac:dyDescent="0.3">
      <c r="A150">
        <v>149</v>
      </c>
      <c r="B150" t="s">
        <v>173</v>
      </c>
      <c r="C150" t="s">
        <v>26</v>
      </c>
      <c r="D150" s="2">
        <v>30.48</v>
      </c>
      <c r="E150">
        <v>4.4000000000000004</v>
      </c>
      <c r="F150">
        <v>923</v>
      </c>
      <c r="G150" s="1">
        <v>846</v>
      </c>
      <c r="H150" s="1">
        <v>53</v>
      </c>
      <c r="I150" s="1">
        <v>246</v>
      </c>
      <c r="J150" s="1">
        <v>956</v>
      </c>
      <c r="K150" s="1">
        <v>165</v>
      </c>
      <c r="L150" s="1">
        <v>996</v>
      </c>
      <c r="M150" s="1">
        <v>553</v>
      </c>
      <c r="N150" s="1">
        <v>140</v>
      </c>
      <c r="O150" s="1">
        <v>310</v>
      </c>
      <c r="P150" s="1">
        <v>990</v>
      </c>
      <c r="Q150" s="1">
        <v>936</v>
      </c>
      <c r="R150" s="1">
        <v>345</v>
      </c>
      <c r="S150" s="1">
        <f>SUM(ecommerce_sales_all_data[[#This Row],[sales_month_1]:[sales_month_12]])</f>
        <v>6536</v>
      </c>
      <c r="T150" s="3">
        <f t="shared" si="34"/>
        <v>25786.080000000002</v>
      </c>
      <c r="U150" s="3">
        <f t="shared" si="35"/>
        <v>1615.44</v>
      </c>
      <c r="V150" s="3">
        <f t="shared" si="36"/>
        <v>7498.08</v>
      </c>
      <c r="W150" s="3">
        <f t="shared" si="37"/>
        <v>29138.880000000001</v>
      </c>
      <c r="X150" s="3">
        <f t="shared" si="38"/>
        <v>5029.2</v>
      </c>
      <c r="Y150" s="3">
        <f t="shared" si="39"/>
        <v>30358.080000000002</v>
      </c>
      <c r="Z150" s="3">
        <f t="shared" si="40"/>
        <v>16855.439999999999</v>
      </c>
      <c r="AA150" s="3">
        <f t="shared" si="41"/>
        <v>4267.2</v>
      </c>
      <c r="AB150" s="3">
        <f t="shared" si="42"/>
        <v>9448.7999999999993</v>
      </c>
      <c r="AC150" s="3">
        <f t="shared" si="43"/>
        <v>30175.200000000001</v>
      </c>
      <c r="AD150" s="3">
        <f t="shared" si="44"/>
        <v>28529.279999999999</v>
      </c>
      <c r="AE150" s="3">
        <f t="shared" si="45"/>
        <v>10515.6</v>
      </c>
      <c r="AF150" s="3">
        <f>SUM(ecommerce_sales_all_data[[#This Row],[revenue_month_1]:[revenue_month_12]])</f>
        <v>199217.28</v>
      </c>
    </row>
    <row r="151" spans="1:32" x14ac:dyDescent="0.3">
      <c r="A151">
        <v>150</v>
      </c>
      <c r="B151" t="s">
        <v>174</v>
      </c>
      <c r="C151" t="s">
        <v>29</v>
      </c>
      <c r="D151" s="2">
        <v>142.93</v>
      </c>
      <c r="E151">
        <v>4.5</v>
      </c>
      <c r="F151">
        <v>381</v>
      </c>
      <c r="G151" s="1">
        <v>21</v>
      </c>
      <c r="H151" s="1">
        <v>689</v>
      </c>
      <c r="I151" s="1">
        <v>71</v>
      </c>
      <c r="J151" s="1">
        <v>355</v>
      </c>
      <c r="K151" s="1">
        <v>188</v>
      </c>
      <c r="L151" s="1">
        <v>902</v>
      </c>
      <c r="M151" s="1">
        <v>646</v>
      </c>
      <c r="N151" s="1">
        <v>68</v>
      </c>
      <c r="O151" s="1">
        <v>460</v>
      </c>
      <c r="P151" s="1">
        <v>322</v>
      </c>
      <c r="Q151" s="1">
        <v>746</v>
      </c>
      <c r="R151" s="1">
        <v>365</v>
      </c>
      <c r="S151" s="1">
        <f>SUM(ecommerce_sales_all_data[[#This Row],[sales_month_1]:[sales_month_12]])</f>
        <v>4833</v>
      </c>
      <c r="T151" s="3">
        <f t="shared" si="34"/>
        <v>3001.53</v>
      </c>
      <c r="U151" s="3">
        <f t="shared" si="35"/>
        <v>98478.77</v>
      </c>
      <c r="V151" s="3">
        <f t="shared" si="36"/>
        <v>10148.030000000001</v>
      </c>
      <c r="W151" s="3">
        <f t="shared" si="37"/>
        <v>50740.15</v>
      </c>
      <c r="X151" s="3">
        <f t="shared" si="38"/>
        <v>26870.84</v>
      </c>
      <c r="Y151" s="3">
        <f t="shared" si="39"/>
        <v>128922.86</v>
      </c>
      <c r="Z151" s="3">
        <f t="shared" si="40"/>
        <v>92332.78</v>
      </c>
      <c r="AA151" s="3">
        <f t="shared" si="41"/>
        <v>9719.24</v>
      </c>
      <c r="AB151" s="3">
        <f t="shared" si="42"/>
        <v>65747.8</v>
      </c>
      <c r="AC151" s="3">
        <f t="shared" si="43"/>
        <v>46023.46</v>
      </c>
      <c r="AD151" s="3">
        <f t="shared" si="44"/>
        <v>106625.78</v>
      </c>
      <c r="AE151" s="3">
        <f t="shared" si="45"/>
        <v>52169.450000000004</v>
      </c>
      <c r="AF151" s="3">
        <f>SUM(ecommerce_sales_all_data[[#This Row],[revenue_month_1]:[revenue_month_12]])</f>
        <v>690780.69</v>
      </c>
    </row>
    <row r="152" spans="1:32" x14ac:dyDescent="0.3">
      <c r="A152">
        <v>151</v>
      </c>
      <c r="B152" t="s">
        <v>175</v>
      </c>
      <c r="C152" t="s">
        <v>48</v>
      </c>
      <c r="D152" s="2">
        <v>454.59</v>
      </c>
      <c r="E152">
        <v>3.8</v>
      </c>
      <c r="F152">
        <v>680</v>
      </c>
      <c r="G152" s="1">
        <v>29</v>
      </c>
      <c r="H152" s="1">
        <v>418</v>
      </c>
      <c r="I152" s="1">
        <v>829</v>
      </c>
      <c r="J152" s="1">
        <v>439</v>
      </c>
      <c r="K152" s="1">
        <v>77</v>
      </c>
      <c r="L152" s="1">
        <v>281</v>
      </c>
      <c r="M152" s="1">
        <v>41</v>
      </c>
      <c r="N152" s="1">
        <v>259</v>
      </c>
      <c r="O152" s="1">
        <v>207</v>
      </c>
      <c r="P152" s="1">
        <v>110</v>
      </c>
      <c r="Q152" s="1">
        <v>626</v>
      </c>
      <c r="R152" s="1">
        <v>976</v>
      </c>
      <c r="S152" s="1">
        <f>SUM(ecommerce_sales_all_data[[#This Row],[sales_month_1]:[sales_month_12]])</f>
        <v>4292</v>
      </c>
      <c r="T152" s="3">
        <f t="shared" si="34"/>
        <v>13183.109999999999</v>
      </c>
      <c r="U152" s="3">
        <f t="shared" si="35"/>
        <v>190018.62</v>
      </c>
      <c r="V152" s="3">
        <f t="shared" si="36"/>
        <v>376855.11</v>
      </c>
      <c r="W152" s="3">
        <f t="shared" si="37"/>
        <v>199565.00999999998</v>
      </c>
      <c r="X152" s="3">
        <f t="shared" si="38"/>
        <v>35003.43</v>
      </c>
      <c r="Y152" s="3">
        <f t="shared" si="39"/>
        <v>127739.79</v>
      </c>
      <c r="Z152" s="3">
        <f t="shared" si="40"/>
        <v>18638.189999999999</v>
      </c>
      <c r="AA152" s="3">
        <f t="shared" si="41"/>
        <v>117738.81</v>
      </c>
      <c r="AB152" s="3">
        <f t="shared" si="42"/>
        <v>94100.12999999999</v>
      </c>
      <c r="AC152" s="3">
        <f t="shared" si="43"/>
        <v>50004.899999999994</v>
      </c>
      <c r="AD152" s="3">
        <f t="shared" si="44"/>
        <v>284573.33999999997</v>
      </c>
      <c r="AE152" s="3">
        <f t="shared" si="45"/>
        <v>443679.83999999997</v>
      </c>
      <c r="AF152" s="3">
        <f>SUM(ecommerce_sales_all_data[[#This Row],[revenue_month_1]:[revenue_month_12]])</f>
        <v>1951100.2799999998</v>
      </c>
    </row>
    <row r="153" spans="1:32" x14ac:dyDescent="0.3">
      <c r="A153">
        <v>152</v>
      </c>
      <c r="B153" t="s">
        <v>176</v>
      </c>
      <c r="C153" t="s">
        <v>26</v>
      </c>
      <c r="D153" s="2">
        <v>123.58</v>
      </c>
      <c r="E153">
        <v>4.3</v>
      </c>
      <c r="F153">
        <v>58</v>
      </c>
      <c r="G153" s="1">
        <v>702</v>
      </c>
      <c r="H153" s="1">
        <v>755</v>
      </c>
      <c r="I153" s="1">
        <v>184</v>
      </c>
      <c r="J153" s="1">
        <v>728</v>
      </c>
      <c r="K153" s="1">
        <v>946</v>
      </c>
      <c r="L153" s="1">
        <v>985</v>
      </c>
      <c r="M153" s="1">
        <v>675</v>
      </c>
      <c r="N153" s="1">
        <v>987</v>
      </c>
      <c r="O153" s="1">
        <v>791</v>
      </c>
      <c r="P153" s="1">
        <v>769</v>
      </c>
      <c r="Q153" s="1">
        <v>364</v>
      </c>
      <c r="R153" s="1">
        <v>447</v>
      </c>
      <c r="S153" s="1">
        <f>SUM(ecommerce_sales_all_data[[#This Row],[sales_month_1]:[sales_month_12]])</f>
        <v>8333</v>
      </c>
      <c r="T153" s="3">
        <f t="shared" si="34"/>
        <v>86753.16</v>
      </c>
      <c r="U153" s="3">
        <f t="shared" si="35"/>
        <v>93302.9</v>
      </c>
      <c r="V153" s="3">
        <f t="shared" si="36"/>
        <v>22738.720000000001</v>
      </c>
      <c r="W153" s="3">
        <f t="shared" si="37"/>
        <v>89966.24</v>
      </c>
      <c r="X153" s="3">
        <f t="shared" si="38"/>
        <v>116906.68</v>
      </c>
      <c r="Y153" s="3">
        <f t="shared" si="39"/>
        <v>121726.3</v>
      </c>
      <c r="Z153" s="3">
        <f t="shared" si="40"/>
        <v>83416.5</v>
      </c>
      <c r="AA153" s="3">
        <f t="shared" si="41"/>
        <v>121973.45999999999</v>
      </c>
      <c r="AB153" s="3">
        <f t="shared" si="42"/>
        <v>97751.78</v>
      </c>
      <c r="AC153" s="3">
        <f t="shared" si="43"/>
        <v>95033.02</v>
      </c>
      <c r="AD153" s="3">
        <f t="shared" si="44"/>
        <v>44983.12</v>
      </c>
      <c r="AE153" s="3">
        <f t="shared" si="45"/>
        <v>55240.26</v>
      </c>
      <c r="AF153" s="3">
        <f>SUM(ecommerce_sales_all_data[[#This Row],[revenue_month_1]:[revenue_month_12]])</f>
        <v>1029792.14</v>
      </c>
    </row>
    <row r="154" spans="1:32" x14ac:dyDescent="0.3">
      <c r="A154">
        <v>153</v>
      </c>
      <c r="B154" t="s">
        <v>177</v>
      </c>
      <c r="C154" t="s">
        <v>26</v>
      </c>
      <c r="D154" s="2">
        <v>76.72</v>
      </c>
      <c r="E154">
        <v>3.8</v>
      </c>
      <c r="F154">
        <v>796</v>
      </c>
      <c r="G154" s="1">
        <v>259</v>
      </c>
      <c r="H154" s="1">
        <v>506</v>
      </c>
      <c r="I154" s="1">
        <v>5</v>
      </c>
      <c r="J154" s="1">
        <v>95</v>
      </c>
      <c r="K154" s="1">
        <v>601</v>
      </c>
      <c r="L154" s="1">
        <v>87</v>
      </c>
      <c r="M154" s="1">
        <v>872</v>
      </c>
      <c r="N154" s="1">
        <v>845</v>
      </c>
      <c r="O154" s="1">
        <v>716</v>
      </c>
      <c r="P154" s="1">
        <v>88</v>
      </c>
      <c r="Q154" s="1">
        <v>89</v>
      </c>
      <c r="R154" s="1">
        <v>512</v>
      </c>
      <c r="S154" s="1">
        <f>SUM(ecommerce_sales_all_data[[#This Row],[sales_month_1]:[sales_month_12]])</f>
        <v>4675</v>
      </c>
      <c r="T154" s="3">
        <f t="shared" si="34"/>
        <v>19870.48</v>
      </c>
      <c r="U154" s="3">
        <f t="shared" si="35"/>
        <v>38820.32</v>
      </c>
      <c r="V154" s="3">
        <f t="shared" si="36"/>
        <v>383.6</v>
      </c>
      <c r="W154" s="3">
        <f t="shared" si="37"/>
        <v>7288.4</v>
      </c>
      <c r="X154" s="3">
        <f t="shared" si="38"/>
        <v>46108.72</v>
      </c>
      <c r="Y154" s="3">
        <f t="shared" si="39"/>
        <v>6674.64</v>
      </c>
      <c r="Z154" s="3">
        <f t="shared" si="40"/>
        <v>66899.839999999997</v>
      </c>
      <c r="AA154" s="3">
        <f t="shared" si="41"/>
        <v>64828.4</v>
      </c>
      <c r="AB154" s="3">
        <f t="shared" si="42"/>
        <v>54931.519999999997</v>
      </c>
      <c r="AC154" s="3">
        <f t="shared" si="43"/>
        <v>6751.36</v>
      </c>
      <c r="AD154" s="3">
        <f t="shared" si="44"/>
        <v>6828.08</v>
      </c>
      <c r="AE154" s="3">
        <f t="shared" si="45"/>
        <v>39280.639999999999</v>
      </c>
      <c r="AF154" s="3">
        <f>SUM(ecommerce_sales_all_data[[#This Row],[revenue_month_1]:[revenue_month_12]])</f>
        <v>358666</v>
      </c>
    </row>
    <row r="155" spans="1:32" x14ac:dyDescent="0.3">
      <c r="A155">
        <v>154</v>
      </c>
      <c r="B155" t="s">
        <v>178</v>
      </c>
      <c r="C155" t="s">
        <v>26</v>
      </c>
      <c r="D155" s="2">
        <v>247.28</v>
      </c>
      <c r="E155">
        <v>3.7</v>
      </c>
      <c r="F155">
        <v>26</v>
      </c>
      <c r="G155" s="1">
        <v>204</v>
      </c>
      <c r="H155" s="1">
        <v>340</v>
      </c>
      <c r="I155" s="1">
        <v>205</v>
      </c>
      <c r="J155" s="1">
        <v>928</v>
      </c>
      <c r="K155" s="1">
        <v>687</v>
      </c>
      <c r="L155" s="1">
        <v>203</v>
      </c>
      <c r="M155" s="1">
        <v>282</v>
      </c>
      <c r="N155" s="1">
        <v>967</v>
      </c>
      <c r="O155" s="1">
        <v>663</v>
      </c>
      <c r="P155" s="1">
        <v>432</v>
      </c>
      <c r="Q155" s="1">
        <v>719</v>
      </c>
      <c r="R155" s="1">
        <v>318</v>
      </c>
      <c r="S155" s="1">
        <f>SUM(ecommerce_sales_all_data[[#This Row],[sales_month_1]:[sales_month_12]])</f>
        <v>5948</v>
      </c>
      <c r="T155" s="3">
        <f t="shared" si="34"/>
        <v>50445.120000000003</v>
      </c>
      <c r="U155" s="3">
        <f t="shared" si="35"/>
        <v>84075.199999999997</v>
      </c>
      <c r="V155" s="3">
        <f t="shared" si="36"/>
        <v>50692.4</v>
      </c>
      <c r="W155" s="3">
        <f t="shared" si="37"/>
        <v>229475.84</v>
      </c>
      <c r="X155" s="3">
        <f t="shared" si="38"/>
        <v>169881.36000000002</v>
      </c>
      <c r="Y155" s="3">
        <f t="shared" si="39"/>
        <v>50197.840000000004</v>
      </c>
      <c r="Z155" s="3">
        <f t="shared" si="40"/>
        <v>69732.960000000006</v>
      </c>
      <c r="AA155" s="3">
        <f t="shared" si="41"/>
        <v>239119.76</v>
      </c>
      <c r="AB155" s="3">
        <f t="shared" si="42"/>
        <v>163946.64000000001</v>
      </c>
      <c r="AC155" s="3">
        <f t="shared" si="43"/>
        <v>106824.96000000001</v>
      </c>
      <c r="AD155" s="3">
        <f t="shared" si="44"/>
        <v>177794.32</v>
      </c>
      <c r="AE155" s="3">
        <f t="shared" si="45"/>
        <v>78635.039999999994</v>
      </c>
      <c r="AF155" s="3">
        <f>SUM(ecommerce_sales_all_data[[#This Row],[revenue_month_1]:[revenue_month_12]])</f>
        <v>1470821.4400000002</v>
      </c>
    </row>
    <row r="156" spans="1:32" x14ac:dyDescent="0.3">
      <c r="A156">
        <v>155</v>
      </c>
      <c r="B156" t="s">
        <v>179</v>
      </c>
      <c r="C156" t="s">
        <v>21</v>
      </c>
      <c r="D156" s="2">
        <v>492.9</v>
      </c>
      <c r="E156">
        <v>3.5</v>
      </c>
      <c r="F156">
        <v>881</v>
      </c>
      <c r="G156" s="1">
        <v>58</v>
      </c>
      <c r="H156" s="1">
        <v>126</v>
      </c>
      <c r="I156" s="1">
        <v>543</v>
      </c>
      <c r="J156" s="1">
        <v>940</v>
      </c>
      <c r="K156" s="1">
        <v>20</v>
      </c>
      <c r="L156" s="1">
        <v>15</v>
      </c>
      <c r="M156" s="1">
        <v>57</v>
      </c>
      <c r="N156" s="1">
        <v>520</v>
      </c>
      <c r="O156" s="1">
        <v>437</v>
      </c>
      <c r="P156" s="1">
        <v>709</v>
      </c>
      <c r="Q156" s="1">
        <v>163</v>
      </c>
      <c r="R156" s="1">
        <v>216</v>
      </c>
      <c r="S156" s="1">
        <f>SUM(ecommerce_sales_all_data[[#This Row],[sales_month_1]:[sales_month_12]])</f>
        <v>3804</v>
      </c>
      <c r="T156" s="3">
        <f t="shared" si="34"/>
        <v>28588.199999999997</v>
      </c>
      <c r="U156" s="3">
        <f t="shared" si="35"/>
        <v>62105.399999999994</v>
      </c>
      <c r="V156" s="3">
        <f t="shared" si="36"/>
        <v>267644.7</v>
      </c>
      <c r="W156" s="3">
        <f t="shared" si="37"/>
        <v>463326</v>
      </c>
      <c r="X156" s="3">
        <f t="shared" si="38"/>
        <v>9858</v>
      </c>
      <c r="Y156" s="3">
        <f t="shared" si="39"/>
        <v>7393.5</v>
      </c>
      <c r="Z156" s="3">
        <f t="shared" si="40"/>
        <v>28095.3</v>
      </c>
      <c r="AA156" s="3">
        <f t="shared" si="41"/>
        <v>256308</v>
      </c>
      <c r="AB156" s="3">
        <f t="shared" si="42"/>
        <v>215397.3</v>
      </c>
      <c r="AC156" s="3">
        <f t="shared" si="43"/>
        <v>349466.1</v>
      </c>
      <c r="AD156" s="3">
        <f t="shared" si="44"/>
        <v>80342.7</v>
      </c>
      <c r="AE156" s="3">
        <f t="shared" si="45"/>
        <v>106466.4</v>
      </c>
      <c r="AF156" s="3">
        <f>SUM(ecommerce_sales_all_data[[#This Row],[revenue_month_1]:[revenue_month_12]])</f>
        <v>1874991.5999999999</v>
      </c>
    </row>
    <row r="157" spans="1:32" x14ac:dyDescent="0.3">
      <c r="A157">
        <v>156</v>
      </c>
      <c r="B157" t="s">
        <v>180</v>
      </c>
      <c r="C157" t="s">
        <v>29</v>
      </c>
      <c r="D157" s="2">
        <v>124.82</v>
      </c>
      <c r="E157">
        <v>4</v>
      </c>
      <c r="F157">
        <v>447</v>
      </c>
      <c r="G157" s="1">
        <v>470</v>
      </c>
      <c r="H157" s="1">
        <v>408</v>
      </c>
      <c r="I157" s="1">
        <v>610</v>
      </c>
      <c r="J157" s="1">
        <v>163</v>
      </c>
      <c r="K157" s="1">
        <v>565</v>
      </c>
      <c r="L157" s="1">
        <v>150</v>
      </c>
      <c r="M157" s="1">
        <v>813</v>
      </c>
      <c r="N157" s="1">
        <v>632</v>
      </c>
      <c r="O157" s="1">
        <v>537</v>
      </c>
      <c r="P157" s="1">
        <v>793</v>
      </c>
      <c r="Q157" s="1">
        <v>480</v>
      </c>
      <c r="R157" s="1">
        <v>33</v>
      </c>
      <c r="S157" s="1">
        <f>SUM(ecommerce_sales_all_data[[#This Row],[sales_month_1]:[sales_month_12]])</f>
        <v>5654</v>
      </c>
      <c r="T157" s="3">
        <f t="shared" si="34"/>
        <v>58665.399999999994</v>
      </c>
      <c r="U157" s="3">
        <f t="shared" si="35"/>
        <v>50926.559999999998</v>
      </c>
      <c r="V157" s="3">
        <f t="shared" si="36"/>
        <v>76140.2</v>
      </c>
      <c r="W157" s="3">
        <f t="shared" si="37"/>
        <v>20345.66</v>
      </c>
      <c r="X157" s="3">
        <f t="shared" si="38"/>
        <v>70523.3</v>
      </c>
      <c r="Y157" s="3">
        <f t="shared" si="39"/>
        <v>18723</v>
      </c>
      <c r="Z157" s="3">
        <f t="shared" si="40"/>
        <v>101478.65999999999</v>
      </c>
      <c r="AA157" s="3">
        <f t="shared" si="41"/>
        <v>78886.239999999991</v>
      </c>
      <c r="AB157" s="3">
        <f t="shared" si="42"/>
        <v>67028.34</v>
      </c>
      <c r="AC157" s="3">
        <f t="shared" si="43"/>
        <v>98982.26</v>
      </c>
      <c r="AD157" s="3">
        <f t="shared" si="44"/>
        <v>59913.599999999999</v>
      </c>
      <c r="AE157" s="3">
        <f t="shared" si="45"/>
        <v>4119.0599999999995</v>
      </c>
      <c r="AF157" s="3">
        <f>SUM(ecommerce_sales_all_data[[#This Row],[revenue_month_1]:[revenue_month_12]])</f>
        <v>705732.28</v>
      </c>
    </row>
    <row r="158" spans="1:32" x14ac:dyDescent="0.3">
      <c r="A158">
        <v>157</v>
      </c>
      <c r="B158" t="s">
        <v>181</v>
      </c>
      <c r="C158" t="s">
        <v>29</v>
      </c>
      <c r="D158" s="2">
        <v>337.71</v>
      </c>
      <c r="E158">
        <v>1.6</v>
      </c>
      <c r="F158">
        <v>66</v>
      </c>
      <c r="G158" s="1">
        <v>775</v>
      </c>
      <c r="H158" s="1">
        <v>923</v>
      </c>
      <c r="I158" s="1">
        <v>905</v>
      </c>
      <c r="J158" s="1">
        <v>147</v>
      </c>
      <c r="K158" s="1">
        <v>183</v>
      </c>
      <c r="L158" s="1">
        <v>935</v>
      </c>
      <c r="M158" s="1">
        <v>833</v>
      </c>
      <c r="N158" s="1">
        <v>370</v>
      </c>
      <c r="O158" s="1">
        <v>705</v>
      </c>
      <c r="P158" s="1">
        <v>711</v>
      </c>
      <c r="Q158" s="1">
        <v>83</v>
      </c>
      <c r="R158" s="1">
        <v>870</v>
      </c>
      <c r="S158" s="1">
        <f>SUM(ecommerce_sales_all_data[[#This Row],[sales_month_1]:[sales_month_12]])</f>
        <v>7440</v>
      </c>
      <c r="T158" s="3">
        <f t="shared" si="34"/>
        <v>261725.24999999997</v>
      </c>
      <c r="U158" s="3">
        <f t="shared" si="35"/>
        <v>311706.32999999996</v>
      </c>
      <c r="V158" s="3">
        <f t="shared" si="36"/>
        <v>305627.55</v>
      </c>
      <c r="W158" s="3">
        <f t="shared" si="37"/>
        <v>49643.369999999995</v>
      </c>
      <c r="X158" s="3">
        <f t="shared" si="38"/>
        <v>61800.929999999993</v>
      </c>
      <c r="Y158" s="3">
        <f t="shared" si="39"/>
        <v>315758.84999999998</v>
      </c>
      <c r="Z158" s="3">
        <f t="shared" si="40"/>
        <v>281312.43</v>
      </c>
      <c r="AA158" s="3">
        <f t="shared" si="41"/>
        <v>124952.7</v>
      </c>
      <c r="AB158" s="3">
        <f t="shared" si="42"/>
        <v>238085.55</v>
      </c>
      <c r="AC158" s="3">
        <f t="shared" si="43"/>
        <v>240111.81</v>
      </c>
      <c r="AD158" s="3">
        <f t="shared" si="44"/>
        <v>28029.929999999997</v>
      </c>
      <c r="AE158" s="3">
        <f t="shared" si="45"/>
        <v>293807.69999999995</v>
      </c>
      <c r="AF158" s="3">
        <f>SUM(ecommerce_sales_all_data[[#This Row],[revenue_month_1]:[revenue_month_12]])</f>
        <v>2512562.3999999994</v>
      </c>
    </row>
    <row r="159" spans="1:32" x14ac:dyDescent="0.3">
      <c r="A159">
        <v>158</v>
      </c>
      <c r="B159" t="s">
        <v>182</v>
      </c>
      <c r="C159" t="s">
        <v>26</v>
      </c>
      <c r="D159" s="2">
        <v>382</v>
      </c>
      <c r="E159">
        <v>4.5</v>
      </c>
      <c r="F159">
        <v>921</v>
      </c>
      <c r="G159" s="1">
        <v>465</v>
      </c>
      <c r="H159" s="1">
        <v>366</v>
      </c>
      <c r="I159" s="1">
        <v>386</v>
      </c>
      <c r="J159" s="1">
        <v>529</v>
      </c>
      <c r="K159" s="1">
        <v>870</v>
      </c>
      <c r="L159" s="1">
        <v>253</v>
      </c>
      <c r="M159" s="1">
        <v>536</v>
      </c>
      <c r="N159" s="1">
        <v>418</v>
      </c>
      <c r="O159" s="1">
        <v>335</v>
      </c>
      <c r="P159" s="1">
        <v>98</v>
      </c>
      <c r="Q159" s="1">
        <v>76</v>
      </c>
      <c r="R159" s="1">
        <v>265</v>
      </c>
      <c r="S159" s="1">
        <f>SUM(ecommerce_sales_all_data[[#This Row],[sales_month_1]:[sales_month_12]])</f>
        <v>4597</v>
      </c>
      <c r="T159" s="3">
        <f t="shared" si="34"/>
        <v>177630</v>
      </c>
      <c r="U159" s="3">
        <f t="shared" si="35"/>
        <v>139812</v>
      </c>
      <c r="V159" s="3">
        <f t="shared" si="36"/>
        <v>147452</v>
      </c>
      <c r="W159" s="3">
        <f t="shared" si="37"/>
        <v>202078</v>
      </c>
      <c r="X159" s="3">
        <f t="shared" si="38"/>
        <v>332340</v>
      </c>
      <c r="Y159" s="3">
        <f t="shared" si="39"/>
        <v>96646</v>
      </c>
      <c r="Z159" s="3">
        <f t="shared" si="40"/>
        <v>204752</v>
      </c>
      <c r="AA159" s="3">
        <f t="shared" si="41"/>
        <v>159676</v>
      </c>
      <c r="AB159" s="3">
        <f t="shared" si="42"/>
        <v>127970</v>
      </c>
      <c r="AC159" s="3">
        <f t="shared" si="43"/>
        <v>37436</v>
      </c>
      <c r="AD159" s="3">
        <f t="shared" si="44"/>
        <v>29032</v>
      </c>
      <c r="AE159" s="3">
        <f t="shared" si="45"/>
        <v>101230</v>
      </c>
      <c r="AF159" s="3">
        <f>SUM(ecommerce_sales_all_data[[#This Row],[revenue_month_1]:[revenue_month_12]])</f>
        <v>1756054</v>
      </c>
    </row>
    <row r="160" spans="1:32" x14ac:dyDescent="0.3">
      <c r="A160">
        <v>159</v>
      </c>
      <c r="B160" t="s">
        <v>183</v>
      </c>
      <c r="C160" t="s">
        <v>19</v>
      </c>
      <c r="D160" s="2">
        <v>122.63</v>
      </c>
      <c r="E160">
        <v>4.5</v>
      </c>
      <c r="F160">
        <v>760</v>
      </c>
      <c r="G160" s="1">
        <v>11</v>
      </c>
      <c r="H160" s="1">
        <v>270</v>
      </c>
      <c r="I160" s="1">
        <v>767</v>
      </c>
      <c r="J160" s="1">
        <v>293</v>
      </c>
      <c r="K160" s="1">
        <v>221</v>
      </c>
      <c r="L160" s="1">
        <v>187</v>
      </c>
      <c r="M160" s="1">
        <v>72</v>
      </c>
      <c r="N160" s="1">
        <v>100</v>
      </c>
      <c r="O160" s="1">
        <v>421</v>
      </c>
      <c r="P160" s="1">
        <v>538</v>
      </c>
      <c r="Q160" s="1">
        <v>672</v>
      </c>
      <c r="R160" s="1">
        <v>639</v>
      </c>
      <c r="S160" s="1">
        <f>SUM(ecommerce_sales_all_data[[#This Row],[sales_month_1]:[sales_month_12]])</f>
        <v>4191</v>
      </c>
      <c r="T160" s="3">
        <f t="shared" si="34"/>
        <v>1348.9299999999998</v>
      </c>
      <c r="U160" s="3">
        <f t="shared" si="35"/>
        <v>33110.1</v>
      </c>
      <c r="V160" s="3">
        <f t="shared" si="36"/>
        <v>94057.209999999992</v>
      </c>
      <c r="W160" s="3">
        <f t="shared" si="37"/>
        <v>35930.589999999997</v>
      </c>
      <c r="X160" s="3">
        <f t="shared" si="38"/>
        <v>27101.23</v>
      </c>
      <c r="Y160" s="3">
        <f t="shared" si="39"/>
        <v>22931.809999999998</v>
      </c>
      <c r="Z160" s="3">
        <f t="shared" si="40"/>
        <v>8829.36</v>
      </c>
      <c r="AA160" s="3">
        <f t="shared" si="41"/>
        <v>12263</v>
      </c>
      <c r="AB160" s="3">
        <f t="shared" si="42"/>
        <v>51627.229999999996</v>
      </c>
      <c r="AC160" s="3">
        <f t="shared" si="43"/>
        <v>65974.94</v>
      </c>
      <c r="AD160" s="3">
        <f t="shared" si="44"/>
        <v>82407.360000000001</v>
      </c>
      <c r="AE160" s="3">
        <f t="shared" si="45"/>
        <v>78360.569999999992</v>
      </c>
      <c r="AF160" s="3">
        <f>SUM(ecommerce_sales_all_data[[#This Row],[revenue_month_1]:[revenue_month_12]])</f>
        <v>513942.32999999996</v>
      </c>
    </row>
    <row r="161" spans="1:32" x14ac:dyDescent="0.3">
      <c r="A161">
        <v>160</v>
      </c>
      <c r="B161" t="s">
        <v>184</v>
      </c>
      <c r="C161" t="s">
        <v>26</v>
      </c>
      <c r="D161" s="2">
        <v>365.47</v>
      </c>
      <c r="E161">
        <v>1.1000000000000001</v>
      </c>
      <c r="F161">
        <v>254</v>
      </c>
      <c r="G161" s="1">
        <v>630</v>
      </c>
      <c r="H161" s="1">
        <v>643</v>
      </c>
      <c r="I161" s="1">
        <v>698</v>
      </c>
      <c r="J161" s="1">
        <v>194</v>
      </c>
      <c r="K161" s="1">
        <v>826</v>
      </c>
      <c r="L161" s="1">
        <v>328</v>
      </c>
      <c r="M161" s="1">
        <v>884</v>
      </c>
      <c r="N161" s="1">
        <v>660</v>
      </c>
      <c r="O161" s="1">
        <v>749</v>
      </c>
      <c r="P161" s="1">
        <v>600</v>
      </c>
      <c r="Q161" s="1">
        <v>516</v>
      </c>
      <c r="R161" s="1">
        <v>723</v>
      </c>
      <c r="S161" s="1">
        <f>SUM(ecommerce_sales_all_data[[#This Row],[sales_month_1]:[sales_month_12]])</f>
        <v>7451</v>
      </c>
      <c r="T161" s="3">
        <f t="shared" si="34"/>
        <v>230246.1</v>
      </c>
      <c r="U161" s="3">
        <f t="shared" si="35"/>
        <v>234997.21000000002</v>
      </c>
      <c r="V161" s="3">
        <f t="shared" si="36"/>
        <v>255098.06000000003</v>
      </c>
      <c r="W161" s="3">
        <f t="shared" si="37"/>
        <v>70901.180000000008</v>
      </c>
      <c r="X161" s="3">
        <f t="shared" si="38"/>
        <v>301878.22000000003</v>
      </c>
      <c r="Y161" s="3">
        <f t="shared" si="39"/>
        <v>119874.16</v>
      </c>
      <c r="Z161" s="3">
        <f t="shared" si="40"/>
        <v>323075.48000000004</v>
      </c>
      <c r="AA161" s="3">
        <f t="shared" si="41"/>
        <v>241210.2</v>
      </c>
      <c r="AB161" s="3">
        <f t="shared" si="42"/>
        <v>273737.03000000003</v>
      </c>
      <c r="AC161" s="3">
        <f t="shared" si="43"/>
        <v>219282.00000000003</v>
      </c>
      <c r="AD161" s="3">
        <f t="shared" si="44"/>
        <v>188582.52000000002</v>
      </c>
      <c r="AE161" s="3">
        <f t="shared" si="45"/>
        <v>264234.81</v>
      </c>
      <c r="AF161" s="3">
        <f>SUM(ecommerce_sales_all_data[[#This Row],[revenue_month_1]:[revenue_month_12]])</f>
        <v>2723116.97</v>
      </c>
    </row>
    <row r="162" spans="1:32" x14ac:dyDescent="0.3">
      <c r="A162">
        <v>161</v>
      </c>
      <c r="B162" t="s">
        <v>185</v>
      </c>
      <c r="C162" t="s">
        <v>21</v>
      </c>
      <c r="D162" s="2">
        <v>187.05</v>
      </c>
      <c r="E162">
        <v>4.3</v>
      </c>
      <c r="F162">
        <v>899</v>
      </c>
      <c r="G162" s="1">
        <v>926</v>
      </c>
      <c r="H162" s="1">
        <v>604</v>
      </c>
      <c r="I162" s="1">
        <v>75</v>
      </c>
      <c r="J162" s="1">
        <v>662</v>
      </c>
      <c r="K162" s="1">
        <v>327</v>
      </c>
      <c r="L162" s="1">
        <v>543</v>
      </c>
      <c r="M162" s="1">
        <v>922</v>
      </c>
      <c r="N162" s="1">
        <v>953</v>
      </c>
      <c r="O162" s="1">
        <v>320</v>
      </c>
      <c r="P162" s="1">
        <v>145</v>
      </c>
      <c r="Q162" s="1">
        <v>484</v>
      </c>
      <c r="R162" s="1">
        <v>774</v>
      </c>
      <c r="S162" s="1">
        <f>SUM(ecommerce_sales_all_data[[#This Row],[sales_month_1]:[sales_month_12]])</f>
        <v>6735</v>
      </c>
      <c r="T162" s="3">
        <f t="shared" si="34"/>
        <v>173208.30000000002</v>
      </c>
      <c r="U162" s="3">
        <f t="shared" si="35"/>
        <v>112978.20000000001</v>
      </c>
      <c r="V162" s="3">
        <f t="shared" si="36"/>
        <v>14028.75</v>
      </c>
      <c r="W162" s="3">
        <f t="shared" si="37"/>
        <v>123827.1</v>
      </c>
      <c r="X162" s="3">
        <f t="shared" si="38"/>
        <v>61165.350000000006</v>
      </c>
      <c r="Y162" s="3">
        <f t="shared" si="39"/>
        <v>101568.15000000001</v>
      </c>
      <c r="Z162" s="3">
        <f t="shared" si="40"/>
        <v>172460.1</v>
      </c>
      <c r="AA162" s="3">
        <f t="shared" si="41"/>
        <v>178258.65000000002</v>
      </c>
      <c r="AB162" s="3">
        <f t="shared" si="42"/>
        <v>59856</v>
      </c>
      <c r="AC162" s="3">
        <f t="shared" si="43"/>
        <v>27122.25</v>
      </c>
      <c r="AD162" s="3">
        <f t="shared" si="44"/>
        <v>90532.200000000012</v>
      </c>
      <c r="AE162" s="3">
        <f t="shared" si="45"/>
        <v>144776.70000000001</v>
      </c>
      <c r="AF162" s="3">
        <f>SUM(ecommerce_sales_all_data[[#This Row],[revenue_month_1]:[revenue_month_12]])</f>
        <v>1259781.75</v>
      </c>
    </row>
    <row r="163" spans="1:32" x14ac:dyDescent="0.3">
      <c r="A163">
        <v>162</v>
      </c>
      <c r="B163" t="s">
        <v>186</v>
      </c>
      <c r="C163" t="s">
        <v>23</v>
      </c>
      <c r="D163" s="2">
        <v>317.99</v>
      </c>
      <c r="E163">
        <v>1.5</v>
      </c>
      <c r="F163">
        <v>968</v>
      </c>
      <c r="G163" s="1">
        <v>973</v>
      </c>
      <c r="H163" s="1">
        <v>378</v>
      </c>
      <c r="I163" s="1">
        <v>176</v>
      </c>
      <c r="J163" s="1">
        <v>479</v>
      </c>
      <c r="K163" s="1">
        <v>178</v>
      </c>
      <c r="L163" s="1">
        <v>782</v>
      </c>
      <c r="M163" s="1">
        <v>128</v>
      </c>
      <c r="N163" s="1">
        <v>657</v>
      </c>
      <c r="O163" s="1">
        <v>496</v>
      </c>
      <c r="P163" s="1">
        <v>693</v>
      </c>
      <c r="Q163" s="1">
        <v>589</v>
      </c>
      <c r="R163" s="1">
        <v>823</v>
      </c>
      <c r="S163" s="1">
        <f>SUM(ecommerce_sales_all_data[[#This Row],[sales_month_1]:[sales_month_12]])</f>
        <v>6352</v>
      </c>
      <c r="T163" s="3">
        <f t="shared" si="34"/>
        <v>309404.27</v>
      </c>
      <c r="U163" s="3">
        <f t="shared" si="35"/>
        <v>120200.22</v>
      </c>
      <c r="V163" s="3">
        <f t="shared" si="36"/>
        <v>55966.240000000005</v>
      </c>
      <c r="W163" s="3">
        <f t="shared" si="37"/>
        <v>152317.21</v>
      </c>
      <c r="X163" s="3">
        <f t="shared" si="38"/>
        <v>56602.22</v>
      </c>
      <c r="Y163" s="3">
        <f t="shared" si="39"/>
        <v>248668.18</v>
      </c>
      <c r="Z163" s="3">
        <f t="shared" si="40"/>
        <v>40702.720000000001</v>
      </c>
      <c r="AA163" s="3">
        <f t="shared" si="41"/>
        <v>208919.43</v>
      </c>
      <c r="AB163" s="3">
        <f t="shared" si="42"/>
        <v>157723.04</v>
      </c>
      <c r="AC163" s="3">
        <f t="shared" si="43"/>
        <v>220367.07</v>
      </c>
      <c r="AD163" s="3">
        <f t="shared" si="44"/>
        <v>187296.11000000002</v>
      </c>
      <c r="AE163" s="3">
        <f t="shared" si="45"/>
        <v>261705.77000000002</v>
      </c>
      <c r="AF163" s="3">
        <f>SUM(ecommerce_sales_all_data[[#This Row],[revenue_month_1]:[revenue_month_12]])</f>
        <v>2019872.48</v>
      </c>
    </row>
    <row r="164" spans="1:32" x14ac:dyDescent="0.3">
      <c r="A164">
        <v>163</v>
      </c>
      <c r="B164" t="s">
        <v>187</v>
      </c>
      <c r="C164" t="s">
        <v>21</v>
      </c>
      <c r="D164" s="2">
        <v>318.60000000000002</v>
      </c>
      <c r="E164">
        <v>2.2999999999999998</v>
      </c>
      <c r="F164">
        <v>44</v>
      </c>
      <c r="G164" s="1">
        <v>289</v>
      </c>
      <c r="H164" s="1">
        <v>72</v>
      </c>
      <c r="I164" s="1">
        <v>826</v>
      </c>
      <c r="J164" s="1">
        <v>876</v>
      </c>
      <c r="K164" s="1">
        <v>787</v>
      </c>
      <c r="L164" s="1">
        <v>996</v>
      </c>
      <c r="M164" s="1">
        <v>598</v>
      </c>
      <c r="N164" s="1">
        <v>864</v>
      </c>
      <c r="O164" s="1">
        <v>586</v>
      </c>
      <c r="P164" s="1">
        <v>256</v>
      </c>
      <c r="Q164" s="1">
        <v>602</v>
      </c>
      <c r="R164" s="1">
        <v>79</v>
      </c>
      <c r="S164" s="1">
        <f>SUM(ecommerce_sales_all_data[[#This Row],[sales_month_1]:[sales_month_12]])</f>
        <v>6831</v>
      </c>
      <c r="T164" s="3">
        <f t="shared" si="34"/>
        <v>92075.400000000009</v>
      </c>
      <c r="U164" s="3">
        <f t="shared" si="35"/>
        <v>22939.200000000001</v>
      </c>
      <c r="V164" s="3">
        <f t="shared" si="36"/>
        <v>263163.60000000003</v>
      </c>
      <c r="W164" s="3">
        <f t="shared" si="37"/>
        <v>279093.60000000003</v>
      </c>
      <c r="X164" s="3">
        <f t="shared" si="38"/>
        <v>250738.2</v>
      </c>
      <c r="Y164" s="3">
        <f t="shared" si="39"/>
        <v>317325.60000000003</v>
      </c>
      <c r="Z164" s="3">
        <f t="shared" si="40"/>
        <v>190522.80000000002</v>
      </c>
      <c r="AA164" s="3">
        <f t="shared" si="41"/>
        <v>275270.40000000002</v>
      </c>
      <c r="AB164" s="3">
        <f t="shared" si="42"/>
        <v>186699.6</v>
      </c>
      <c r="AC164" s="3">
        <f t="shared" si="43"/>
        <v>81561.600000000006</v>
      </c>
      <c r="AD164" s="3">
        <f t="shared" si="44"/>
        <v>191797.2</v>
      </c>
      <c r="AE164" s="3">
        <f t="shared" si="45"/>
        <v>25169.4</v>
      </c>
      <c r="AF164" s="3">
        <f>SUM(ecommerce_sales_all_data[[#This Row],[revenue_month_1]:[revenue_month_12]])</f>
        <v>2176356.6000000006</v>
      </c>
    </row>
    <row r="165" spans="1:32" x14ac:dyDescent="0.3">
      <c r="A165">
        <v>164</v>
      </c>
      <c r="B165" t="s">
        <v>188</v>
      </c>
      <c r="C165" t="s">
        <v>19</v>
      </c>
      <c r="D165" s="2">
        <v>270.20999999999998</v>
      </c>
      <c r="E165">
        <v>4</v>
      </c>
      <c r="F165">
        <v>97</v>
      </c>
      <c r="G165" s="1">
        <v>849</v>
      </c>
      <c r="H165" s="1">
        <v>922</v>
      </c>
      <c r="I165" s="1">
        <v>798</v>
      </c>
      <c r="J165" s="1">
        <v>122</v>
      </c>
      <c r="K165" s="1">
        <v>111</v>
      </c>
      <c r="L165" s="1">
        <v>396</v>
      </c>
      <c r="M165" s="1">
        <v>841</v>
      </c>
      <c r="N165" s="1">
        <v>967</v>
      </c>
      <c r="O165" s="1">
        <v>946</v>
      </c>
      <c r="P165" s="1">
        <v>188</v>
      </c>
      <c r="Q165" s="1">
        <v>598</v>
      </c>
      <c r="R165" s="1">
        <v>676</v>
      </c>
      <c r="S165" s="1">
        <f>SUM(ecommerce_sales_all_data[[#This Row],[sales_month_1]:[sales_month_12]])</f>
        <v>7414</v>
      </c>
      <c r="T165" s="3">
        <f t="shared" si="34"/>
        <v>229408.28999999998</v>
      </c>
      <c r="U165" s="3">
        <f t="shared" si="35"/>
        <v>249133.62</v>
      </c>
      <c r="V165" s="3">
        <f t="shared" si="36"/>
        <v>215627.58</v>
      </c>
      <c r="W165" s="3">
        <f t="shared" si="37"/>
        <v>32965.619999999995</v>
      </c>
      <c r="X165" s="3">
        <f t="shared" si="38"/>
        <v>29993.309999999998</v>
      </c>
      <c r="Y165" s="3">
        <f t="shared" si="39"/>
        <v>107003.15999999999</v>
      </c>
      <c r="Z165" s="3">
        <f t="shared" si="40"/>
        <v>227246.61</v>
      </c>
      <c r="AA165" s="3">
        <f t="shared" si="41"/>
        <v>261293.06999999998</v>
      </c>
      <c r="AB165" s="3">
        <f t="shared" si="42"/>
        <v>255618.65999999997</v>
      </c>
      <c r="AC165" s="3">
        <f t="shared" si="43"/>
        <v>50799.479999999996</v>
      </c>
      <c r="AD165" s="3">
        <f t="shared" si="44"/>
        <v>161585.57999999999</v>
      </c>
      <c r="AE165" s="3">
        <f t="shared" si="45"/>
        <v>182661.96</v>
      </c>
      <c r="AF165" s="3">
        <f>SUM(ecommerce_sales_all_data[[#This Row],[revenue_month_1]:[revenue_month_12]])</f>
        <v>2003336.94</v>
      </c>
    </row>
    <row r="166" spans="1:32" x14ac:dyDescent="0.3">
      <c r="A166">
        <v>165</v>
      </c>
      <c r="B166" t="s">
        <v>189</v>
      </c>
      <c r="C166" t="s">
        <v>26</v>
      </c>
      <c r="D166" s="2">
        <v>49.69</v>
      </c>
      <c r="E166">
        <v>1.6</v>
      </c>
      <c r="F166">
        <v>554</v>
      </c>
      <c r="G166" s="1">
        <v>759</v>
      </c>
      <c r="H166" s="1">
        <v>921</v>
      </c>
      <c r="I166" s="1">
        <v>348</v>
      </c>
      <c r="J166" s="1">
        <v>399</v>
      </c>
      <c r="K166" s="1">
        <v>735</v>
      </c>
      <c r="L166" s="1">
        <v>516</v>
      </c>
      <c r="M166" s="1">
        <v>425</v>
      </c>
      <c r="N166" s="1">
        <v>242</v>
      </c>
      <c r="O166" s="1">
        <v>162</v>
      </c>
      <c r="P166" s="1">
        <v>239</v>
      </c>
      <c r="Q166" s="1">
        <v>781</v>
      </c>
      <c r="R166" s="1">
        <v>412</v>
      </c>
      <c r="S166" s="1">
        <f>SUM(ecommerce_sales_all_data[[#This Row],[sales_month_1]:[sales_month_12]])</f>
        <v>5939</v>
      </c>
      <c r="T166" s="3">
        <f t="shared" si="34"/>
        <v>37714.71</v>
      </c>
      <c r="U166" s="3">
        <f t="shared" si="35"/>
        <v>45764.49</v>
      </c>
      <c r="V166" s="3">
        <f t="shared" si="36"/>
        <v>17292.12</v>
      </c>
      <c r="W166" s="3">
        <f t="shared" si="37"/>
        <v>19826.309999999998</v>
      </c>
      <c r="X166" s="3">
        <f t="shared" si="38"/>
        <v>36522.15</v>
      </c>
      <c r="Y166" s="3">
        <f t="shared" si="39"/>
        <v>25640.039999999997</v>
      </c>
      <c r="Z166" s="3">
        <f t="shared" si="40"/>
        <v>21118.25</v>
      </c>
      <c r="AA166" s="3">
        <f t="shared" si="41"/>
        <v>12024.98</v>
      </c>
      <c r="AB166" s="3">
        <f t="shared" si="42"/>
        <v>8049.78</v>
      </c>
      <c r="AC166" s="3">
        <f t="shared" si="43"/>
        <v>11875.91</v>
      </c>
      <c r="AD166" s="3">
        <f t="shared" si="44"/>
        <v>38807.89</v>
      </c>
      <c r="AE166" s="3">
        <f t="shared" si="45"/>
        <v>20472.28</v>
      </c>
      <c r="AF166" s="3">
        <f>SUM(ecommerce_sales_all_data[[#This Row],[revenue_month_1]:[revenue_month_12]])</f>
        <v>295108.91000000003</v>
      </c>
    </row>
    <row r="167" spans="1:32" x14ac:dyDescent="0.3">
      <c r="A167">
        <v>166</v>
      </c>
      <c r="B167" t="s">
        <v>190</v>
      </c>
      <c r="C167" t="s">
        <v>29</v>
      </c>
      <c r="D167" s="2">
        <v>418.47</v>
      </c>
      <c r="E167">
        <v>4.3</v>
      </c>
      <c r="F167">
        <v>227</v>
      </c>
      <c r="G167" s="1">
        <v>353</v>
      </c>
      <c r="H167" s="1">
        <v>914</v>
      </c>
      <c r="I167" s="1">
        <v>254</v>
      </c>
      <c r="J167" s="1">
        <v>698</v>
      </c>
      <c r="K167" s="1">
        <v>725</v>
      </c>
      <c r="L167" s="1">
        <v>458</v>
      </c>
      <c r="M167" s="1">
        <v>947</v>
      </c>
      <c r="N167" s="1">
        <v>752</v>
      </c>
      <c r="O167" s="1">
        <v>810</v>
      </c>
      <c r="P167" s="1">
        <v>870</v>
      </c>
      <c r="Q167" s="1">
        <v>103</v>
      </c>
      <c r="R167" s="1">
        <v>251</v>
      </c>
      <c r="S167" s="1">
        <f>SUM(ecommerce_sales_all_data[[#This Row],[sales_month_1]:[sales_month_12]])</f>
        <v>7135</v>
      </c>
      <c r="T167" s="3">
        <f t="shared" si="34"/>
        <v>147719.91</v>
      </c>
      <c r="U167" s="3">
        <f t="shared" si="35"/>
        <v>382481.58</v>
      </c>
      <c r="V167" s="3">
        <f t="shared" si="36"/>
        <v>106291.38</v>
      </c>
      <c r="W167" s="3">
        <f t="shared" si="37"/>
        <v>292092.06</v>
      </c>
      <c r="X167" s="3">
        <f t="shared" si="38"/>
        <v>303390.75</v>
      </c>
      <c r="Y167" s="3">
        <f t="shared" si="39"/>
        <v>191659.26</v>
      </c>
      <c r="Z167" s="3">
        <f t="shared" si="40"/>
        <v>396291.09</v>
      </c>
      <c r="AA167" s="3">
        <f t="shared" si="41"/>
        <v>314689.44</v>
      </c>
      <c r="AB167" s="3">
        <f t="shared" si="42"/>
        <v>338960.7</v>
      </c>
      <c r="AC167" s="3">
        <f t="shared" si="43"/>
        <v>364068.9</v>
      </c>
      <c r="AD167" s="3">
        <f t="shared" si="44"/>
        <v>43102.41</v>
      </c>
      <c r="AE167" s="3">
        <f t="shared" si="45"/>
        <v>105035.97</v>
      </c>
      <c r="AF167" s="3">
        <f>SUM(ecommerce_sales_all_data[[#This Row],[revenue_month_1]:[revenue_month_12]])</f>
        <v>2985783.4500000007</v>
      </c>
    </row>
    <row r="168" spans="1:32" x14ac:dyDescent="0.3">
      <c r="A168">
        <v>167</v>
      </c>
      <c r="B168" t="s">
        <v>191</v>
      </c>
      <c r="C168" t="s">
        <v>35</v>
      </c>
      <c r="D168" s="2">
        <v>163.79</v>
      </c>
      <c r="E168">
        <v>4.3</v>
      </c>
      <c r="F168">
        <v>774</v>
      </c>
      <c r="G168" s="1">
        <v>638</v>
      </c>
      <c r="H168" s="1">
        <v>247</v>
      </c>
      <c r="I168" s="1">
        <v>836</v>
      </c>
      <c r="J168" s="1">
        <v>964</v>
      </c>
      <c r="K168" s="1">
        <v>58</v>
      </c>
      <c r="L168" s="1">
        <v>329</v>
      </c>
      <c r="M168" s="1">
        <v>664</v>
      </c>
      <c r="N168" s="1">
        <v>511</v>
      </c>
      <c r="O168" s="1">
        <v>540</v>
      </c>
      <c r="P168" s="1">
        <v>898</v>
      </c>
      <c r="Q168" s="1">
        <v>451</v>
      </c>
      <c r="R168" s="1">
        <v>11</v>
      </c>
      <c r="S168" s="1">
        <f>SUM(ecommerce_sales_all_data[[#This Row],[sales_month_1]:[sales_month_12]])</f>
        <v>6147</v>
      </c>
      <c r="T168" s="3">
        <f t="shared" si="34"/>
        <v>104498.01999999999</v>
      </c>
      <c r="U168" s="3">
        <f t="shared" si="35"/>
        <v>40456.129999999997</v>
      </c>
      <c r="V168" s="3">
        <f t="shared" si="36"/>
        <v>136928.44</v>
      </c>
      <c r="W168" s="3">
        <f t="shared" si="37"/>
        <v>157893.56</v>
      </c>
      <c r="X168" s="3">
        <f t="shared" si="38"/>
        <v>9499.82</v>
      </c>
      <c r="Y168" s="3">
        <f t="shared" si="39"/>
        <v>53886.909999999996</v>
      </c>
      <c r="Z168" s="3">
        <f t="shared" si="40"/>
        <v>108756.56</v>
      </c>
      <c r="AA168" s="3">
        <f t="shared" si="41"/>
        <v>83696.69</v>
      </c>
      <c r="AB168" s="3">
        <f t="shared" si="42"/>
        <v>88446.599999999991</v>
      </c>
      <c r="AC168" s="3">
        <f t="shared" si="43"/>
        <v>147083.41999999998</v>
      </c>
      <c r="AD168" s="3">
        <f t="shared" si="44"/>
        <v>73869.289999999994</v>
      </c>
      <c r="AE168" s="3">
        <f t="shared" si="45"/>
        <v>1801.6899999999998</v>
      </c>
      <c r="AF168" s="3">
        <f>SUM(ecommerce_sales_all_data[[#This Row],[revenue_month_1]:[revenue_month_12]])</f>
        <v>1006817.1299999999</v>
      </c>
    </row>
    <row r="169" spans="1:32" x14ac:dyDescent="0.3">
      <c r="A169">
        <v>168</v>
      </c>
      <c r="B169" t="s">
        <v>192</v>
      </c>
      <c r="C169" t="s">
        <v>48</v>
      </c>
      <c r="D169" s="2">
        <v>97.33</v>
      </c>
      <c r="E169">
        <v>3</v>
      </c>
      <c r="F169">
        <v>679</v>
      </c>
      <c r="G169" s="1">
        <v>74</v>
      </c>
      <c r="H169" s="1">
        <v>859</v>
      </c>
      <c r="I169" s="1">
        <v>701</v>
      </c>
      <c r="J169" s="1">
        <v>451</v>
      </c>
      <c r="K169" s="1">
        <v>326</v>
      </c>
      <c r="L169" s="1">
        <v>819</v>
      </c>
      <c r="M169" s="1">
        <v>693</v>
      </c>
      <c r="N169" s="1">
        <v>848</v>
      </c>
      <c r="O169" s="1">
        <v>164</v>
      </c>
      <c r="P169" s="1">
        <v>502</v>
      </c>
      <c r="Q169" s="1">
        <v>486</v>
      </c>
      <c r="R169" s="1">
        <v>400</v>
      </c>
      <c r="S169" s="1">
        <f>SUM(ecommerce_sales_all_data[[#This Row],[sales_month_1]:[sales_month_12]])</f>
        <v>6323</v>
      </c>
      <c r="T169" s="3">
        <f t="shared" si="34"/>
        <v>7202.42</v>
      </c>
      <c r="U169" s="3">
        <f t="shared" si="35"/>
        <v>83606.47</v>
      </c>
      <c r="V169" s="3">
        <f t="shared" si="36"/>
        <v>68228.33</v>
      </c>
      <c r="W169" s="3">
        <f t="shared" si="37"/>
        <v>43895.83</v>
      </c>
      <c r="X169" s="3">
        <f t="shared" si="38"/>
        <v>31729.579999999998</v>
      </c>
      <c r="Y169" s="3">
        <f t="shared" si="39"/>
        <v>79713.27</v>
      </c>
      <c r="Z169" s="3">
        <f t="shared" si="40"/>
        <v>67449.69</v>
      </c>
      <c r="AA169" s="3">
        <f t="shared" si="41"/>
        <v>82535.839999999997</v>
      </c>
      <c r="AB169" s="3">
        <f t="shared" si="42"/>
        <v>15962.119999999999</v>
      </c>
      <c r="AC169" s="3">
        <f t="shared" si="43"/>
        <v>48859.659999999996</v>
      </c>
      <c r="AD169" s="3">
        <f t="shared" si="44"/>
        <v>47302.38</v>
      </c>
      <c r="AE169" s="3">
        <f t="shared" si="45"/>
        <v>38932</v>
      </c>
      <c r="AF169" s="3">
        <f>SUM(ecommerce_sales_all_data[[#This Row],[revenue_month_1]:[revenue_month_12]])</f>
        <v>615417.59</v>
      </c>
    </row>
    <row r="170" spans="1:32" x14ac:dyDescent="0.3">
      <c r="A170">
        <v>169</v>
      </c>
      <c r="B170" t="s">
        <v>193</v>
      </c>
      <c r="C170" t="s">
        <v>26</v>
      </c>
      <c r="D170" s="2">
        <v>25.18</v>
      </c>
      <c r="E170">
        <v>1</v>
      </c>
      <c r="F170">
        <v>436</v>
      </c>
      <c r="G170" s="1">
        <v>872</v>
      </c>
      <c r="H170" s="1">
        <v>784</v>
      </c>
      <c r="I170" s="1">
        <v>307</v>
      </c>
      <c r="J170" s="1">
        <v>660</v>
      </c>
      <c r="K170" s="1">
        <v>904</v>
      </c>
      <c r="L170" s="1">
        <v>844</v>
      </c>
      <c r="M170" s="1">
        <v>124</v>
      </c>
      <c r="N170" s="1">
        <v>554</v>
      </c>
      <c r="O170" s="1">
        <v>848</v>
      </c>
      <c r="P170" s="1">
        <v>707</v>
      </c>
      <c r="Q170" s="1">
        <v>338</v>
      </c>
      <c r="R170" s="1">
        <v>815</v>
      </c>
      <c r="S170" s="1">
        <f>SUM(ecommerce_sales_all_data[[#This Row],[sales_month_1]:[sales_month_12]])</f>
        <v>7757</v>
      </c>
      <c r="T170" s="3">
        <f t="shared" si="34"/>
        <v>21956.959999999999</v>
      </c>
      <c r="U170" s="3">
        <f t="shared" si="35"/>
        <v>19741.12</v>
      </c>
      <c r="V170" s="3">
        <f t="shared" si="36"/>
        <v>7730.26</v>
      </c>
      <c r="W170" s="3">
        <f t="shared" si="37"/>
        <v>16618.8</v>
      </c>
      <c r="X170" s="3">
        <f t="shared" si="38"/>
        <v>22762.720000000001</v>
      </c>
      <c r="Y170" s="3">
        <f t="shared" si="39"/>
        <v>21251.919999999998</v>
      </c>
      <c r="Z170" s="3">
        <f t="shared" si="40"/>
        <v>3122.32</v>
      </c>
      <c r="AA170" s="3">
        <f t="shared" si="41"/>
        <v>13949.72</v>
      </c>
      <c r="AB170" s="3">
        <f t="shared" si="42"/>
        <v>21352.639999999999</v>
      </c>
      <c r="AC170" s="3">
        <f t="shared" si="43"/>
        <v>17802.259999999998</v>
      </c>
      <c r="AD170" s="3">
        <f t="shared" si="44"/>
        <v>8510.84</v>
      </c>
      <c r="AE170" s="3">
        <f t="shared" si="45"/>
        <v>20521.7</v>
      </c>
      <c r="AF170" s="3">
        <f>SUM(ecommerce_sales_all_data[[#This Row],[revenue_month_1]:[revenue_month_12]])</f>
        <v>195321.26000000004</v>
      </c>
    </row>
    <row r="171" spans="1:32" x14ac:dyDescent="0.3">
      <c r="A171">
        <v>170</v>
      </c>
      <c r="B171" t="s">
        <v>194</v>
      </c>
      <c r="C171" t="s">
        <v>19</v>
      </c>
      <c r="D171" s="2">
        <v>297.49</v>
      </c>
      <c r="E171">
        <v>2.1</v>
      </c>
      <c r="F171">
        <v>791</v>
      </c>
      <c r="G171" s="1">
        <v>715</v>
      </c>
      <c r="H171" s="1">
        <v>42</v>
      </c>
      <c r="I171" s="1">
        <v>344</v>
      </c>
      <c r="J171" s="1">
        <v>103</v>
      </c>
      <c r="K171" s="1">
        <v>620</v>
      </c>
      <c r="L171" s="1">
        <v>168</v>
      </c>
      <c r="M171" s="1">
        <v>66</v>
      </c>
      <c r="N171" s="1">
        <v>94</v>
      </c>
      <c r="O171" s="1">
        <v>697</v>
      </c>
      <c r="P171" s="1">
        <v>808</v>
      </c>
      <c r="Q171" s="1">
        <v>686</v>
      </c>
      <c r="R171" s="1">
        <v>723</v>
      </c>
      <c r="S171" s="1">
        <f>SUM(ecommerce_sales_all_data[[#This Row],[sales_month_1]:[sales_month_12]])</f>
        <v>5066</v>
      </c>
      <c r="T171" s="3">
        <f t="shared" si="34"/>
        <v>212705.35</v>
      </c>
      <c r="U171" s="3">
        <f t="shared" si="35"/>
        <v>12494.58</v>
      </c>
      <c r="V171" s="3">
        <f t="shared" si="36"/>
        <v>102336.56</v>
      </c>
      <c r="W171" s="3">
        <f t="shared" si="37"/>
        <v>30641.47</v>
      </c>
      <c r="X171" s="3">
        <f t="shared" si="38"/>
        <v>184443.80000000002</v>
      </c>
      <c r="Y171" s="3">
        <f t="shared" si="39"/>
        <v>49978.32</v>
      </c>
      <c r="Z171" s="3">
        <f t="shared" si="40"/>
        <v>19634.34</v>
      </c>
      <c r="AA171" s="3">
        <f t="shared" si="41"/>
        <v>27964.06</v>
      </c>
      <c r="AB171" s="3">
        <f t="shared" si="42"/>
        <v>207350.53</v>
      </c>
      <c r="AC171" s="3">
        <f t="shared" si="43"/>
        <v>240371.92</v>
      </c>
      <c r="AD171" s="3">
        <f t="shared" si="44"/>
        <v>204078.14</v>
      </c>
      <c r="AE171" s="3">
        <f t="shared" si="45"/>
        <v>215085.27000000002</v>
      </c>
      <c r="AF171" s="3">
        <f>SUM(ecommerce_sales_all_data[[#This Row],[revenue_month_1]:[revenue_month_12]])</f>
        <v>1507084.3399999999</v>
      </c>
    </row>
    <row r="172" spans="1:32" x14ac:dyDescent="0.3">
      <c r="A172">
        <v>171</v>
      </c>
      <c r="B172" t="s">
        <v>195</v>
      </c>
      <c r="C172" t="s">
        <v>29</v>
      </c>
      <c r="D172" s="2">
        <v>340.39</v>
      </c>
      <c r="E172">
        <v>3.5</v>
      </c>
      <c r="F172">
        <v>601</v>
      </c>
      <c r="G172" s="1">
        <v>560</v>
      </c>
      <c r="H172" s="1">
        <v>376</v>
      </c>
      <c r="I172" s="1">
        <v>126</v>
      </c>
      <c r="J172" s="1">
        <v>754</v>
      </c>
      <c r="K172" s="1">
        <v>896</v>
      </c>
      <c r="L172" s="1">
        <v>692</v>
      </c>
      <c r="M172" s="1">
        <v>5</v>
      </c>
      <c r="N172" s="1">
        <v>225</v>
      </c>
      <c r="O172" s="1">
        <v>565</v>
      </c>
      <c r="P172" s="1">
        <v>676</v>
      </c>
      <c r="Q172" s="1">
        <v>565</v>
      </c>
      <c r="R172" s="1">
        <v>281</v>
      </c>
      <c r="S172" s="1">
        <f>SUM(ecommerce_sales_all_data[[#This Row],[sales_month_1]:[sales_month_12]])</f>
        <v>5721</v>
      </c>
      <c r="T172" s="3">
        <f t="shared" si="34"/>
        <v>190618.4</v>
      </c>
      <c r="U172" s="3">
        <f t="shared" si="35"/>
        <v>127986.64</v>
      </c>
      <c r="V172" s="3">
        <f t="shared" si="36"/>
        <v>42889.14</v>
      </c>
      <c r="W172" s="3">
        <f t="shared" si="37"/>
        <v>256654.06</v>
      </c>
      <c r="X172" s="3">
        <f t="shared" si="38"/>
        <v>304989.44</v>
      </c>
      <c r="Y172" s="3">
        <f t="shared" si="39"/>
        <v>235549.88</v>
      </c>
      <c r="Z172" s="3">
        <f t="shared" si="40"/>
        <v>1701.9499999999998</v>
      </c>
      <c r="AA172" s="3">
        <f t="shared" si="41"/>
        <v>76587.75</v>
      </c>
      <c r="AB172" s="3">
        <f t="shared" si="42"/>
        <v>192320.35</v>
      </c>
      <c r="AC172" s="3">
        <f t="shared" si="43"/>
        <v>230103.63999999998</v>
      </c>
      <c r="AD172" s="3">
        <f t="shared" si="44"/>
        <v>192320.35</v>
      </c>
      <c r="AE172" s="3">
        <f t="shared" si="45"/>
        <v>95649.59</v>
      </c>
      <c r="AF172" s="3">
        <f>SUM(ecommerce_sales_all_data[[#This Row],[revenue_month_1]:[revenue_month_12]])</f>
        <v>1947371.1900000002</v>
      </c>
    </row>
    <row r="173" spans="1:32" x14ac:dyDescent="0.3">
      <c r="A173">
        <v>172</v>
      </c>
      <c r="B173" t="s">
        <v>196</v>
      </c>
      <c r="C173" t="s">
        <v>21</v>
      </c>
      <c r="D173" s="2">
        <v>13.21</v>
      </c>
      <c r="E173">
        <v>4.9000000000000004</v>
      </c>
      <c r="F173">
        <v>379</v>
      </c>
      <c r="G173" s="1">
        <v>590</v>
      </c>
      <c r="H173" s="1">
        <v>40</v>
      </c>
      <c r="I173" s="1">
        <v>936</v>
      </c>
      <c r="J173" s="1">
        <v>461</v>
      </c>
      <c r="K173" s="1">
        <v>668</v>
      </c>
      <c r="L173" s="1">
        <v>365</v>
      </c>
      <c r="M173" s="1">
        <v>636</v>
      </c>
      <c r="N173" s="1">
        <v>517</v>
      </c>
      <c r="O173" s="1">
        <v>294</v>
      </c>
      <c r="P173" s="1">
        <v>818</v>
      </c>
      <c r="Q173" s="1">
        <v>899</v>
      </c>
      <c r="R173" s="1">
        <v>111</v>
      </c>
      <c r="S173" s="1">
        <f>SUM(ecommerce_sales_all_data[[#This Row],[sales_month_1]:[sales_month_12]])</f>
        <v>6335</v>
      </c>
      <c r="T173" s="3">
        <f t="shared" si="34"/>
        <v>7793.9000000000005</v>
      </c>
      <c r="U173" s="3">
        <f t="shared" si="35"/>
        <v>528.40000000000009</v>
      </c>
      <c r="V173" s="3">
        <f t="shared" si="36"/>
        <v>12364.560000000001</v>
      </c>
      <c r="W173" s="3">
        <f t="shared" si="37"/>
        <v>6089.81</v>
      </c>
      <c r="X173" s="3">
        <f t="shared" si="38"/>
        <v>8824.2800000000007</v>
      </c>
      <c r="Y173" s="3">
        <f t="shared" si="39"/>
        <v>4821.6500000000005</v>
      </c>
      <c r="Z173" s="3">
        <f t="shared" si="40"/>
        <v>8401.5600000000013</v>
      </c>
      <c r="AA173" s="3">
        <f t="shared" si="41"/>
        <v>6829.5700000000006</v>
      </c>
      <c r="AB173" s="3">
        <f t="shared" si="42"/>
        <v>3883.7400000000002</v>
      </c>
      <c r="AC173" s="3">
        <f t="shared" si="43"/>
        <v>10805.78</v>
      </c>
      <c r="AD173" s="3">
        <f t="shared" si="44"/>
        <v>11875.79</v>
      </c>
      <c r="AE173" s="3">
        <f t="shared" si="45"/>
        <v>1466.3100000000002</v>
      </c>
      <c r="AF173" s="3">
        <f>SUM(ecommerce_sales_all_data[[#This Row],[revenue_month_1]:[revenue_month_12]])</f>
        <v>83685.350000000006</v>
      </c>
    </row>
    <row r="174" spans="1:32" x14ac:dyDescent="0.3">
      <c r="A174">
        <v>173</v>
      </c>
      <c r="B174" t="s">
        <v>197</v>
      </c>
      <c r="C174" t="s">
        <v>23</v>
      </c>
      <c r="D174" s="2">
        <v>258.49</v>
      </c>
      <c r="E174">
        <v>3.5</v>
      </c>
      <c r="F174">
        <v>178</v>
      </c>
      <c r="G174" s="1">
        <v>440</v>
      </c>
      <c r="H174" s="1">
        <v>169</v>
      </c>
      <c r="I174" s="1">
        <v>286</v>
      </c>
      <c r="J174" s="1">
        <v>742</v>
      </c>
      <c r="K174" s="1">
        <v>190</v>
      </c>
      <c r="L174" s="1">
        <v>177</v>
      </c>
      <c r="M174" s="1">
        <v>313</v>
      </c>
      <c r="N174" s="1">
        <v>213</v>
      </c>
      <c r="O174" s="1">
        <v>41</v>
      </c>
      <c r="P174" s="1">
        <v>270</v>
      </c>
      <c r="Q174" s="1">
        <v>477</v>
      </c>
      <c r="R174" s="1">
        <v>722</v>
      </c>
      <c r="S174" s="1">
        <f>SUM(ecommerce_sales_all_data[[#This Row],[sales_month_1]:[sales_month_12]])</f>
        <v>4040</v>
      </c>
      <c r="T174" s="3">
        <f t="shared" si="34"/>
        <v>113735.6</v>
      </c>
      <c r="U174" s="3">
        <f t="shared" si="35"/>
        <v>43684.810000000005</v>
      </c>
      <c r="V174" s="3">
        <f t="shared" si="36"/>
        <v>73928.14</v>
      </c>
      <c r="W174" s="3">
        <f t="shared" si="37"/>
        <v>191799.58000000002</v>
      </c>
      <c r="X174" s="3">
        <f t="shared" si="38"/>
        <v>49113.1</v>
      </c>
      <c r="Y174" s="3">
        <f t="shared" si="39"/>
        <v>45752.73</v>
      </c>
      <c r="Z174" s="3">
        <f t="shared" si="40"/>
        <v>80907.37000000001</v>
      </c>
      <c r="AA174" s="3">
        <f t="shared" si="41"/>
        <v>55058.37</v>
      </c>
      <c r="AB174" s="3">
        <f t="shared" si="42"/>
        <v>10598.09</v>
      </c>
      <c r="AC174" s="3">
        <f t="shared" si="43"/>
        <v>69792.3</v>
      </c>
      <c r="AD174" s="3">
        <f t="shared" si="44"/>
        <v>123299.73000000001</v>
      </c>
      <c r="AE174" s="3">
        <f t="shared" si="45"/>
        <v>186629.78</v>
      </c>
      <c r="AF174" s="3">
        <f>SUM(ecommerce_sales_all_data[[#This Row],[revenue_month_1]:[revenue_month_12]])</f>
        <v>1044299.6</v>
      </c>
    </row>
    <row r="175" spans="1:32" x14ac:dyDescent="0.3">
      <c r="A175">
        <v>174</v>
      </c>
      <c r="B175" t="s">
        <v>198</v>
      </c>
      <c r="C175" t="s">
        <v>23</v>
      </c>
      <c r="D175" s="2">
        <v>117.12</v>
      </c>
      <c r="E175">
        <v>2</v>
      </c>
      <c r="F175">
        <v>427</v>
      </c>
      <c r="G175" s="1">
        <v>990</v>
      </c>
      <c r="H175" s="1">
        <v>945</v>
      </c>
      <c r="I175" s="1">
        <v>765</v>
      </c>
      <c r="J175" s="1">
        <v>990</v>
      </c>
      <c r="K175" s="1">
        <v>199</v>
      </c>
      <c r="L175" s="1">
        <v>654</v>
      </c>
      <c r="M175" s="1">
        <v>325</v>
      </c>
      <c r="N175" s="1">
        <v>717</v>
      </c>
      <c r="O175" s="1">
        <v>923</v>
      </c>
      <c r="P175" s="1">
        <v>519</v>
      </c>
      <c r="Q175" s="1">
        <v>722</v>
      </c>
      <c r="R175" s="1">
        <v>377</v>
      </c>
      <c r="S175" s="1">
        <f>SUM(ecommerce_sales_all_data[[#This Row],[sales_month_1]:[sales_month_12]])</f>
        <v>8126</v>
      </c>
      <c r="T175" s="3">
        <f t="shared" si="34"/>
        <v>115948.8</v>
      </c>
      <c r="U175" s="3">
        <f t="shared" si="35"/>
        <v>110678.40000000001</v>
      </c>
      <c r="V175" s="3">
        <f t="shared" si="36"/>
        <v>89596.800000000003</v>
      </c>
      <c r="W175" s="3">
        <f t="shared" si="37"/>
        <v>115948.8</v>
      </c>
      <c r="X175" s="3">
        <f t="shared" si="38"/>
        <v>23306.880000000001</v>
      </c>
      <c r="Y175" s="3">
        <f t="shared" si="39"/>
        <v>76596.479999999996</v>
      </c>
      <c r="Z175" s="3">
        <f t="shared" si="40"/>
        <v>38064</v>
      </c>
      <c r="AA175" s="3">
        <f t="shared" si="41"/>
        <v>83975.040000000008</v>
      </c>
      <c r="AB175" s="3">
        <f t="shared" si="42"/>
        <v>108101.76000000001</v>
      </c>
      <c r="AC175" s="3">
        <f t="shared" si="43"/>
        <v>60785.279999999999</v>
      </c>
      <c r="AD175" s="3">
        <f t="shared" si="44"/>
        <v>84560.639999999999</v>
      </c>
      <c r="AE175" s="3">
        <f t="shared" si="45"/>
        <v>44154.240000000005</v>
      </c>
      <c r="AF175" s="3">
        <f>SUM(ecommerce_sales_all_data[[#This Row],[revenue_month_1]:[revenue_month_12]])</f>
        <v>951717.12000000011</v>
      </c>
    </row>
    <row r="176" spans="1:32" x14ac:dyDescent="0.3">
      <c r="A176">
        <v>175</v>
      </c>
      <c r="B176" t="s">
        <v>199</v>
      </c>
      <c r="C176" t="s">
        <v>35</v>
      </c>
      <c r="D176" s="2">
        <v>324.36</v>
      </c>
      <c r="E176">
        <v>3.5</v>
      </c>
      <c r="F176">
        <v>915</v>
      </c>
      <c r="G176" s="1">
        <v>240</v>
      </c>
      <c r="H176" s="1">
        <v>211</v>
      </c>
      <c r="I176" s="1">
        <v>724</v>
      </c>
      <c r="J176" s="1">
        <v>717</v>
      </c>
      <c r="K176" s="1">
        <v>311</v>
      </c>
      <c r="L176" s="1">
        <v>361</v>
      </c>
      <c r="M176" s="1">
        <v>564</v>
      </c>
      <c r="N176" s="1">
        <v>66</v>
      </c>
      <c r="O176" s="1">
        <v>284</v>
      </c>
      <c r="P176" s="1">
        <v>549</v>
      </c>
      <c r="Q176" s="1">
        <v>606</v>
      </c>
      <c r="R176" s="1">
        <v>750</v>
      </c>
      <c r="S176" s="1">
        <f>SUM(ecommerce_sales_all_data[[#This Row],[sales_month_1]:[sales_month_12]])</f>
        <v>5383</v>
      </c>
      <c r="T176" s="3">
        <f t="shared" si="34"/>
        <v>77846.400000000009</v>
      </c>
      <c r="U176" s="3">
        <f t="shared" si="35"/>
        <v>68439.960000000006</v>
      </c>
      <c r="V176" s="3">
        <f t="shared" si="36"/>
        <v>234836.64</v>
      </c>
      <c r="W176" s="3">
        <f t="shared" si="37"/>
        <v>232566.12</v>
      </c>
      <c r="X176" s="3">
        <f t="shared" si="38"/>
        <v>100875.96</v>
      </c>
      <c r="Y176" s="3">
        <f t="shared" si="39"/>
        <v>117093.96</v>
      </c>
      <c r="Z176" s="3">
        <f t="shared" si="40"/>
        <v>182939.04</v>
      </c>
      <c r="AA176" s="3">
        <f t="shared" si="41"/>
        <v>21407.760000000002</v>
      </c>
      <c r="AB176" s="3">
        <f t="shared" si="42"/>
        <v>92118.24</v>
      </c>
      <c r="AC176" s="3">
        <f t="shared" si="43"/>
        <v>178073.64</v>
      </c>
      <c r="AD176" s="3">
        <f t="shared" si="44"/>
        <v>196562.16</v>
      </c>
      <c r="AE176" s="3">
        <f t="shared" si="45"/>
        <v>243270</v>
      </c>
      <c r="AF176" s="3">
        <f>SUM(ecommerce_sales_all_data[[#This Row],[revenue_month_1]:[revenue_month_12]])</f>
        <v>1746029.8800000001</v>
      </c>
    </row>
    <row r="177" spans="1:32" x14ac:dyDescent="0.3">
      <c r="A177">
        <v>176</v>
      </c>
      <c r="B177" t="s">
        <v>200</v>
      </c>
      <c r="C177" t="s">
        <v>26</v>
      </c>
      <c r="D177" s="2">
        <v>91.31</v>
      </c>
      <c r="E177">
        <v>3.2</v>
      </c>
      <c r="F177">
        <v>709</v>
      </c>
      <c r="G177" s="1">
        <v>860</v>
      </c>
      <c r="H177" s="1">
        <v>492</v>
      </c>
      <c r="I177" s="1">
        <v>761</v>
      </c>
      <c r="J177" s="1">
        <v>709</v>
      </c>
      <c r="K177" s="1">
        <v>707</v>
      </c>
      <c r="L177" s="1">
        <v>759</v>
      </c>
      <c r="M177" s="1">
        <v>577</v>
      </c>
      <c r="N177" s="1">
        <v>395</v>
      </c>
      <c r="O177" s="1">
        <v>938</v>
      </c>
      <c r="P177" s="1">
        <v>113</v>
      </c>
      <c r="Q177" s="1">
        <v>222</v>
      </c>
      <c r="R177" s="1">
        <v>267</v>
      </c>
      <c r="S177" s="1">
        <f>SUM(ecommerce_sales_all_data[[#This Row],[sales_month_1]:[sales_month_12]])</f>
        <v>6800</v>
      </c>
      <c r="T177" s="3">
        <f t="shared" si="34"/>
        <v>78526.600000000006</v>
      </c>
      <c r="U177" s="3">
        <f t="shared" si="35"/>
        <v>44924.520000000004</v>
      </c>
      <c r="V177" s="3">
        <f t="shared" si="36"/>
        <v>69486.91</v>
      </c>
      <c r="W177" s="3">
        <f t="shared" si="37"/>
        <v>64738.79</v>
      </c>
      <c r="X177" s="3">
        <f t="shared" si="38"/>
        <v>64556.17</v>
      </c>
      <c r="Y177" s="3">
        <f t="shared" si="39"/>
        <v>69304.290000000008</v>
      </c>
      <c r="Z177" s="3">
        <f t="shared" si="40"/>
        <v>52685.87</v>
      </c>
      <c r="AA177" s="3">
        <f t="shared" si="41"/>
        <v>36067.450000000004</v>
      </c>
      <c r="AB177" s="3">
        <f t="shared" si="42"/>
        <v>85648.78</v>
      </c>
      <c r="AC177" s="3">
        <f t="shared" si="43"/>
        <v>10318.030000000001</v>
      </c>
      <c r="AD177" s="3">
        <f t="shared" si="44"/>
        <v>20270.82</v>
      </c>
      <c r="AE177" s="3">
        <f t="shared" si="45"/>
        <v>24379.77</v>
      </c>
      <c r="AF177" s="3">
        <f>SUM(ecommerce_sales_all_data[[#This Row],[revenue_month_1]:[revenue_month_12]])</f>
        <v>620908</v>
      </c>
    </row>
    <row r="178" spans="1:32" x14ac:dyDescent="0.3">
      <c r="A178">
        <v>177</v>
      </c>
      <c r="B178" t="s">
        <v>201</v>
      </c>
      <c r="C178" t="s">
        <v>21</v>
      </c>
      <c r="D178" s="2">
        <v>347.01</v>
      </c>
      <c r="E178">
        <v>4.0999999999999996</v>
      </c>
      <c r="F178">
        <v>307</v>
      </c>
      <c r="G178" s="1">
        <v>153</v>
      </c>
      <c r="H178" s="1">
        <v>679</v>
      </c>
      <c r="I178" s="1">
        <v>595</v>
      </c>
      <c r="J178" s="1">
        <v>395</v>
      </c>
      <c r="K178" s="1">
        <v>34</v>
      </c>
      <c r="L178" s="1">
        <v>638</v>
      </c>
      <c r="M178" s="1">
        <v>825</v>
      </c>
      <c r="N178" s="1">
        <v>611</v>
      </c>
      <c r="O178" s="1">
        <v>386</v>
      </c>
      <c r="P178" s="1">
        <v>338</v>
      </c>
      <c r="Q178" s="1">
        <v>8</v>
      </c>
      <c r="R178" s="1">
        <v>916</v>
      </c>
      <c r="S178" s="1">
        <f>SUM(ecommerce_sales_all_data[[#This Row],[sales_month_1]:[sales_month_12]])</f>
        <v>5578</v>
      </c>
      <c r="T178" s="3">
        <f t="shared" si="34"/>
        <v>53092.53</v>
      </c>
      <c r="U178" s="3">
        <f t="shared" si="35"/>
        <v>235619.79</v>
      </c>
      <c r="V178" s="3">
        <f t="shared" si="36"/>
        <v>206470.94999999998</v>
      </c>
      <c r="W178" s="3">
        <f t="shared" si="37"/>
        <v>137068.94999999998</v>
      </c>
      <c r="X178" s="3">
        <f t="shared" si="38"/>
        <v>11798.34</v>
      </c>
      <c r="Y178" s="3">
        <f t="shared" si="39"/>
        <v>221392.38</v>
      </c>
      <c r="Z178" s="3">
        <f t="shared" si="40"/>
        <v>286283.25</v>
      </c>
      <c r="AA178" s="3">
        <f t="shared" si="41"/>
        <v>212023.11</v>
      </c>
      <c r="AB178" s="3">
        <f t="shared" si="42"/>
        <v>133945.85999999999</v>
      </c>
      <c r="AC178" s="3">
        <f t="shared" si="43"/>
        <v>117289.37999999999</v>
      </c>
      <c r="AD178" s="3">
        <f t="shared" si="44"/>
        <v>2776.08</v>
      </c>
      <c r="AE178" s="3">
        <f t="shared" si="45"/>
        <v>317861.15999999997</v>
      </c>
      <c r="AF178" s="3">
        <f>SUM(ecommerce_sales_all_data[[#This Row],[revenue_month_1]:[revenue_month_12]])</f>
        <v>1935621.7799999996</v>
      </c>
    </row>
    <row r="179" spans="1:32" x14ac:dyDescent="0.3">
      <c r="A179">
        <v>178</v>
      </c>
      <c r="B179" t="s">
        <v>202</v>
      </c>
      <c r="C179" t="s">
        <v>35</v>
      </c>
      <c r="D179" s="2">
        <v>196.43</v>
      </c>
      <c r="E179">
        <v>1.4</v>
      </c>
      <c r="F179">
        <v>779</v>
      </c>
      <c r="G179" s="1">
        <v>785</v>
      </c>
      <c r="H179" s="1">
        <v>38</v>
      </c>
      <c r="I179" s="1">
        <v>486</v>
      </c>
      <c r="J179" s="1">
        <v>911</v>
      </c>
      <c r="K179" s="1">
        <v>378</v>
      </c>
      <c r="L179" s="1">
        <v>774</v>
      </c>
      <c r="M179" s="1">
        <v>505</v>
      </c>
      <c r="N179" s="1">
        <v>11</v>
      </c>
      <c r="O179" s="1">
        <v>137</v>
      </c>
      <c r="P179" s="1">
        <v>567</v>
      </c>
      <c r="Q179" s="1">
        <v>52</v>
      </c>
      <c r="R179" s="1">
        <v>297</v>
      </c>
      <c r="S179" s="1">
        <f>SUM(ecommerce_sales_all_data[[#This Row],[sales_month_1]:[sales_month_12]])</f>
        <v>4941</v>
      </c>
      <c r="T179" s="3">
        <f t="shared" si="34"/>
        <v>154197.55000000002</v>
      </c>
      <c r="U179" s="3">
        <f t="shared" si="35"/>
        <v>7464.34</v>
      </c>
      <c r="V179" s="3">
        <f t="shared" si="36"/>
        <v>95464.98000000001</v>
      </c>
      <c r="W179" s="3">
        <f t="shared" si="37"/>
        <v>178947.73</v>
      </c>
      <c r="X179" s="3">
        <f t="shared" si="38"/>
        <v>74250.540000000008</v>
      </c>
      <c r="Y179" s="3">
        <f t="shared" si="39"/>
        <v>152036.82</v>
      </c>
      <c r="Z179" s="3">
        <f t="shared" si="40"/>
        <v>99197.150000000009</v>
      </c>
      <c r="AA179" s="3">
        <f t="shared" si="41"/>
        <v>2160.73</v>
      </c>
      <c r="AB179" s="3">
        <f t="shared" si="42"/>
        <v>26910.91</v>
      </c>
      <c r="AC179" s="3">
        <f t="shared" si="43"/>
        <v>111375.81</v>
      </c>
      <c r="AD179" s="3">
        <f t="shared" si="44"/>
        <v>10214.36</v>
      </c>
      <c r="AE179" s="3">
        <f t="shared" si="45"/>
        <v>58339.71</v>
      </c>
      <c r="AF179" s="3">
        <f>SUM(ecommerce_sales_all_data[[#This Row],[revenue_month_1]:[revenue_month_12]])</f>
        <v>970560.63</v>
      </c>
    </row>
    <row r="180" spans="1:32" x14ac:dyDescent="0.3">
      <c r="A180">
        <v>179</v>
      </c>
      <c r="B180" t="s">
        <v>203</v>
      </c>
      <c r="C180" t="s">
        <v>48</v>
      </c>
      <c r="D180" s="2">
        <v>468.68</v>
      </c>
      <c r="E180">
        <v>4</v>
      </c>
      <c r="F180">
        <v>504</v>
      </c>
      <c r="G180" s="1">
        <v>95</v>
      </c>
      <c r="H180" s="1">
        <v>368</v>
      </c>
      <c r="I180" s="1">
        <v>382</v>
      </c>
      <c r="J180" s="1">
        <v>336</v>
      </c>
      <c r="K180" s="1">
        <v>386</v>
      </c>
      <c r="L180" s="1">
        <v>39</v>
      </c>
      <c r="M180" s="1">
        <v>81</v>
      </c>
      <c r="N180" s="1">
        <v>236</v>
      </c>
      <c r="O180" s="1">
        <v>186</v>
      </c>
      <c r="P180" s="1">
        <v>942</v>
      </c>
      <c r="Q180" s="1">
        <v>76</v>
      </c>
      <c r="R180" s="1">
        <v>316</v>
      </c>
      <c r="S180" s="1">
        <f>SUM(ecommerce_sales_all_data[[#This Row],[sales_month_1]:[sales_month_12]])</f>
        <v>3443</v>
      </c>
      <c r="T180" s="3">
        <f t="shared" si="34"/>
        <v>44524.6</v>
      </c>
      <c r="U180" s="3">
        <f t="shared" si="35"/>
        <v>172474.23999999999</v>
      </c>
      <c r="V180" s="3">
        <f t="shared" si="36"/>
        <v>179035.76</v>
      </c>
      <c r="W180" s="3">
        <f t="shared" si="37"/>
        <v>157476.48000000001</v>
      </c>
      <c r="X180" s="3">
        <f t="shared" si="38"/>
        <v>180910.48</v>
      </c>
      <c r="Y180" s="3">
        <f t="shared" si="39"/>
        <v>18278.52</v>
      </c>
      <c r="Z180" s="3">
        <f t="shared" si="40"/>
        <v>37963.08</v>
      </c>
      <c r="AA180" s="3">
        <f t="shared" si="41"/>
        <v>110608.48</v>
      </c>
      <c r="AB180" s="3">
        <f t="shared" si="42"/>
        <v>87174.48</v>
      </c>
      <c r="AC180" s="3">
        <f t="shared" si="43"/>
        <v>441496.56</v>
      </c>
      <c r="AD180" s="3">
        <f t="shared" si="44"/>
        <v>35619.68</v>
      </c>
      <c r="AE180" s="3">
        <f t="shared" si="45"/>
        <v>148102.88</v>
      </c>
      <c r="AF180" s="3">
        <f>SUM(ecommerce_sales_all_data[[#This Row],[revenue_month_1]:[revenue_month_12]])</f>
        <v>1613665.2399999998</v>
      </c>
    </row>
    <row r="181" spans="1:32" x14ac:dyDescent="0.3">
      <c r="A181">
        <v>180</v>
      </c>
      <c r="B181" t="s">
        <v>204</v>
      </c>
      <c r="C181" t="s">
        <v>48</v>
      </c>
      <c r="D181" s="2">
        <v>73.069999999999993</v>
      </c>
      <c r="E181">
        <v>3.2</v>
      </c>
      <c r="F181">
        <v>268</v>
      </c>
      <c r="G181" s="1">
        <v>725</v>
      </c>
      <c r="H181" s="1">
        <v>756</v>
      </c>
      <c r="I181" s="1">
        <v>405</v>
      </c>
      <c r="J181" s="1">
        <v>598</v>
      </c>
      <c r="K181" s="1">
        <v>757</v>
      </c>
      <c r="L181" s="1">
        <v>923</v>
      </c>
      <c r="M181" s="1">
        <v>598</v>
      </c>
      <c r="N181" s="1">
        <v>833</v>
      </c>
      <c r="O181" s="1">
        <v>909</v>
      </c>
      <c r="P181" s="1">
        <v>985</v>
      </c>
      <c r="Q181" s="1">
        <v>717</v>
      </c>
      <c r="R181" s="1">
        <v>569</v>
      </c>
      <c r="S181" s="1">
        <f>SUM(ecommerce_sales_all_data[[#This Row],[sales_month_1]:[sales_month_12]])</f>
        <v>8775</v>
      </c>
      <c r="T181" s="3">
        <f t="shared" si="34"/>
        <v>52975.749999999993</v>
      </c>
      <c r="U181" s="3">
        <f t="shared" si="35"/>
        <v>55240.92</v>
      </c>
      <c r="V181" s="3">
        <f t="shared" si="36"/>
        <v>29593.35</v>
      </c>
      <c r="W181" s="3">
        <f t="shared" si="37"/>
        <v>43695.859999999993</v>
      </c>
      <c r="X181" s="3">
        <f t="shared" si="38"/>
        <v>55313.99</v>
      </c>
      <c r="Y181" s="3">
        <f t="shared" si="39"/>
        <v>67443.61</v>
      </c>
      <c r="Z181" s="3">
        <f t="shared" si="40"/>
        <v>43695.859999999993</v>
      </c>
      <c r="AA181" s="3">
        <f t="shared" si="41"/>
        <v>60867.31</v>
      </c>
      <c r="AB181" s="3">
        <f t="shared" si="42"/>
        <v>66420.62999999999</v>
      </c>
      <c r="AC181" s="3">
        <f t="shared" si="43"/>
        <v>71973.95</v>
      </c>
      <c r="AD181" s="3">
        <f t="shared" si="44"/>
        <v>52391.189999999995</v>
      </c>
      <c r="AE181" s="3">
        <f t="shared" si="45"/>
        <v>41576.829999999994</v>
      </c>
      <c r="AF181" s="3">
        <f>SUM(ecommerce_sales_all_data[[#This Row],[revenue_month_1]:[revenue_month_12]])</f>
        <v>641189.24999999988</v>
      </c>
    </row>
    <row r="182" spans="1:32" x14ac:dyDescent="0.3">
      <c r="A182">
        <v>181</v>
      </c>
      <c r="B182" t="s">
        <v>205</v>
      </c>
      <c r="C182" t="s">
        <v>35</v>
      </c>
      <c r="D182" s="2">
        <v>173.83</v>
      </c>
      <c r="E182">
        <v>4.9000000000000004</v>
      </c>
      <c r="F182">
        <v>586</v>
      </c>
      <c r="G182" s="1">
        <v>293</v>
      </c>
      <c r="H182" s="1">
        <v>150</v>
      </c>
      <c r="I182" s="1">
        <v>387</v>
      </c>
      <c r="J182" s="1">
        <v>141</v>
      </c>
      <c r="K182" s="1">
        <v>236</v>
      </c>
      <c r="L182" s="1">
        <v>415</v>
      </c>
      <c r="M182" s="1">
        <v>1</v>
      </c>
      <c r="N182" s="1">
        <v>769</v>
      </c>
      <c r="O182" s="1">
        <v>715</v>
      </c>
      <c r="P182" s="1">
        <v>358</v>
      </c>
      <c r="Q182" s="1">
        <v>502</v>
      </c>
      <c r="R182" s="1">
        <v>508</v>
      </c>
      <c r="S182" s="1">
        <f>SUM(ecommerce_sales_all_data[[#This Row],[sales_month_1]:[sales_month_12]])</f>
        <v>4475</v>
      </c>
      <c r="T182" s="3">
        <f t="shared" si="34"/>
        <v>50932.19</v>
      </c>
      <c r="U182" s="3">
        <f t="shared" si="35"/>
        <v>26074.500000000004</v>
      </c>
      <c r="V182" s="3">
        <f t="shared" si="36"/>
        <v>67272.210000000006</v>
      </c>
      <c r="W182" s="3">
        <f t="shared" si="37"/>
        <v>24510.030000000002</v>
      </c>
      <c r="X182" s="3">
        <f t="shared" si="38"/>
        <v>41023.880000000005</v>
      </c>
      <c r="Y182" s="3">
        <f t="shared" si="39"/>
        <v>72139.450000000012</v>
      </c>
      <c r="Z182" s="3">
        <f t="shared" si="40"/>
        <v>173.83</v>
      </c>
      <c r="AA182" s="3">
        <f t="shared" si="41"/>
        <v>133675.27000000002</v>
      </c>
      <c r="AB182" s="3">
        <f t="shared" si="42"/>
        <v>124288.45000000001</v>
      </c>
      <c r="AC182" s="3">
        <f t="shared" si="43"/>
        <v>62231.140000000007</v>
      </c>
      <c r="AD182" s="3">
        <f t="shared" si="44"/>
        <v>87262.66</v>
      </c>
      <c r="AE182" s="3">
        <f t="shared" si="45"/>
        <v>88305.64</v>
      </c>
      <c r="AF182" s="3">
        <f>SUM(ecommerce_sales_all_data[[#This Row],[revenue_month_1]:[revenue_month_12]])</f>
        <v>777889.25000000012</v>
      </c>
    </row>
    <row r="183" spans="1:32" x14ac:dyDescent="0.3">
      <c r="A183">
        <v>182</v>
      </c>
      <c r="B183" t="s">
        <v>206</v>
      </c>
      <c r="C183" t="s">
        <v>19</v>
      </c>
      <c r="D183" s="2">
        <v>61.17</v>
      </c>
      <c r="E183">
        <v>2.4</v>
      </c>
      <c r="F183">
        <v>8</v>
      </c>
      <c r="G183" s="1">
        <v>208</v>
      </c>
      <c r="H183" s="1">
        <v>110</v>
      </c>
      <c r="I183" s="1">
        <v>524</v>
      </c>
      <c r="J183" s="1">
        <v>316</v>
      </c>
      <c r="K183" s="1">
        <v>615</v>
      </c>
      <c r="L183" s="1">
        <v>354</v>
      </c>
      <c r="M183" s="1">
        <v>203</v>
      </c>
      <c r="N183" s="1">
        <v>398</v>
      </c>
      <c r="O183" s="1">
        <v>430</v>
      </c>
      <c r="P183" s="1">
        <v>649</v>
      </c>
      <c r="Q183" s="1">
        <v>315</v>
      </c>
      <c r="R183" s="1">
        <v>949</v>
      </c>
      <c r="S183" s="1">
        <f>SUM(ecommerce_sales_all_data[[#This Row],[sales_month_1]:[sales_month_12]])</f>
        <v>5071</v>
      </c>
      <c r="T183" s="3">
        <f t="shared" si="34"/>
        <v>12723.36</v>
      </c>
      <c r="U183" s="3">
        <f t="shared" si="35"/>
        <v>6728.7</v>
      </c>
      <c r="V183" s="3">
        <f t="shared" si="36"/>
        <v>32053.08</v>
      </c>
      <c r="W183" s="3">
        <f t="shared" si="37"/>
        <v>19329.72</v>
      </c>
      <c r="X183" s="3">
        <f t="shared" si="38"/>
        <v>37619.550000000003</v>
      </c>
      <c r="Y183" s="3">
        <f t="shared" si="39"/>
        <v>21654.18</v>
      </c>
      <c r="Z183" s="3">
        <f t="shared" si="40"/>
        <v>12417.51</v>
      </c>
      <c r="AA183" s="3">
        <f t="shared" si="41"/>
        <v>24345.66</v>
      </c>
      <c r="AB183" s="3">
        <f t="shared" si="42"/>
        <v>26303.100000000002</v>
      </c>
      <c r="AC183" s="3">
        <f t="shared" si="43"/>
        <v>39699.33</v>
      </c>
      <c r="AD183" s="3">
        <f t="shared" si="44"/>
        <v>19268.55</v>
      </c>
      <c r="AE183" s="3">
        <f t="shared" si="45"/>
        <v>58050.33</v>
      </c>
      <c r="AF183" s="3">
        <f>SUM(ecommerce_sales_all_data[[#This Row],[revenue_month_1]:[revenue_month_12]])</f>
        <v>310193.07</v>
      </c>
    </row>
    <row r="184" spans="1:32" x14ac:dyDescent="0.3">
      <c r="A184">
        <v>183</v>
      </c>
      <c r="B184" t="s">
        <v>207</v>
      </c>
      <c r="C184" t="s">
        <v>23</v>
      </c>
      <c r="D184" s="2">
        <v>462.72</v>
      </c>
      <c r="E184">
        <v>3.5</v>
      </c>
      <c r="F184">
        <v>920</v>
      </c>
      <c r="G184" s="1">
        <v>342</v>
      </c>
      <c r="H184" s="1">
        <v>479</v>
      </c>
      <c r="I184" s="1">
        <v>556</v>
      </c>
      <c r="J184" s="1">
        <v>710</v>
      </c>
      <c r="K184" s="1">
        <v>518</v>
      </c>
      <c r="L184" s="1">
        <v>254</v>
      </c>
      <c r="M184" s="1">
        <v>661</v>
      </c>
      <c r="N184" s="1">
        <v>406</v>
      </c>
      <c r="O184" s="1">
        <v>553</v>
      </c>
      <c r="P184" s="1">
        <v>613</v>
      </c>
      <c r="Q184" s="1">
        <v>813</v>
      </c>
      <c r="R184" s="1">
        <v>545</v>
      </c>
      <c r="S184" s="1">
        <f>SUM(ecommerce_sales_all_data[[#This Row],[sales_month_1]:[sales_month_12]])</f>
        <v>6450</v>
      </c>
      <c r="T184" s="3">
        <f t="shared" si="34"/>
        <v>158250.24000000002</v>
      </c>
      <c r="U184" s="3">
        <f t="shared" si="35"/>
        <v>221642.88</v>
      </c>
      <c r="V184" s="3">
        <f t="shared" si="36"/>
        <v>257272.32000000001</v>
      </c>
      <c r="W184" s="3">
        <f t="shared" si="37"/>
        <v>328531.20000000001</v>
      </c>
      <c r="X184" s="3">
        <f t="shared" si="38"/>
        <v>239688.96000000002</v>
      </c>
      <c r="Y184" s="3">
        <f t="shared" si="39"/>
        <v>117530.88</v>
      </c>
      <c r="Z184" s="3">
        <f t="shared" si="40"/>
        <v>305857.92000000004</v>
      </c>
      <c r="AA184" s="3">
        <f t="shared" si="41"/>
        <v>187864.32000000001</v>
      </c>
      <c r="AB184" s="3">
        <f t="shared" si="42"/>
        <v>255884.16</v>
      </c>
      <c r="AC184" s="3">
        <f t="shared" si="43"/>
        <v>283647.36000000004</v>
      </c>
      <c r="AD184" s="3">
        <f t="shared" si="44"/>
        <v>376191.36000000004</v>
      </c>
      <c r="AE184" s="3">
        <f t="shared" si="45"/>
        <v>252182.40000000002</v>
      </c>
      <c r="AF184" s="3">
        <f>SUM(ecommerce_sales_all_data[[#This Row],[revenue_month_1]:[revenue_month_12]])</f>
        <v>2984543.9999999995</v>
      </c>
    </row>
    <row r="185" spans="1:32" x14ac:dyDescent="0.3">
      <c r="A185">
        <v>184</v>
      </c>
      <c r="B185" t="s">
        <v>208</v>
      </c>
      <c r="C185" t="s">
        <v>21</v>
      </c>
      <c r="D185" s="2">
        <v>439.28</v>
      </c>
      <c r="E185">
        <v>4.7</v>
      </c>
      <c r="F185">
        <v>508</v>
      </c>
      <c r="G185" s="1">
        <v>87</v>
      </c>
      <c r="H185" s="1">
        <v>435</v>
      </c>
      <c r="I185" s="1">
        <v>638</v>
      </c>
      <c r="J185" s="1">
        <v>557</v>
      </c>
      <c r="K185" s="1">
        <v>282</v>
      </c>
      <c r="L185" s="1">
        <v>142</v>
      </c>
      <c r="M185" s="1">
        <v>804</v>
      </c>
      <c r="N185" s="1">
        <v>924</v>
      </c>
      <c r="O185" s="1">
        <v>861</v>
      </c>
      <c r="P185" s="1">
        <v>333</v>
      </c>
      <c r="Q185" s="1">
        <v>821</v>
      </c>
      <c r="R185" s="1">
        <v>774</v>
      </c>
      <c r="S185" s="1">
        <f>SUM(ecommerce_sales_all_data[[#This Row],[sales_month_1]:[sales_month_12]])</f>
        <v>6658</v>
      </c>
      <c r="T185" s="3">
        <f t="shared" si="34"/>
        <v>38217.360000000001</v>
      </c>
      <c r="U185" s="3">
        <f t="shared" si="35"/>
        <v>191086.8</v>
      </c>
      <c r="V185" s="3">
        <f t="shared" si="36"/>
        <v>280260.63999999996</v>
      </c>
      <c r="W185" s="3">
        <f t="shared" si="37"/>
        <v>244678.96</v>
      </c>
      <c r="X185" s="3">
        <f t="shared" si="38"/>
        <v>123876.95999999999</v>
      </c>
      <c r="Y185" s="3">
        <f t="shared" si="39"/>
        <v>62377.759999999995</v>
      </c>
      <c r="Z185" s="3">
        <f t="shared" si="40"/>
        <v>353181.12</v>
      </c>
      <c r="AA185" s="3">
        <f t="shared" si="41"/>
        <v>405894.72</v>
      </c>
      <c r="AB185" s="3">
        <f t="shared" si="42"/>
        <v>378220.07999999996</v>
      </c>
      <c r="AC185" s="3">
        <f t="shared" si="43"/>
        <v>146280.24</v>
      </c>
      <c r="AD185" s="3">
        <f t="shared" si="44"/>
        <v>360648.88</v>
      </c>
      <c r="AE185" s="3">
        <f t="shared" si="45"/>
        <v>340002.72</v>
      </c>
      <c r="AF185" s="3">
        <f>SUM(ecommerce_sales_all_data[[#This Row],[revenue_month_1]:[revenue_month_12]])</f>
        <v>2924726.2399999993</v>
      </c>
    </row>
    <row r="186" spans="1:32" x14ac:dyDescent="0.3">
      <c r="A186">
        <v>185</v>
      </c>
      <c r="B186" t="s">
        <v>209</v>
      </c>
      <c r="C186" t="s">
        <v>26</v>
      </c>
      <c r="D186" s="2">
        <v>132.68</v>
      </c>
      <c r="E186">
        <v>1.4</v>
      </c>
      <c r="F186">
        <v>476</v>
      </c>
      <c r="G186" s="1">
        <v>817</v>
      </c>
      <c r="H186" s="1">
        <v>46</v>
      </c>
      <c r="I186" s="1">
        <v>937</v>
      </c>
      <c r="J186" s="1">
        <v>799</v>
      </c>
      <c r="K186" s="1">
        <v>0</v>
      </c>
      <c r="L186" s="1">
        <v>751</v>
      </c>
      <c r="M186" s="1">
        <v>403</v>
      </c>
      <c r="N186" s="1">
        <v>848</v>
      </c>
      <c r="O186" s="1">
        <v>415</v>
      </c>
      <c r="P186" s="1">
        <v>688</v>
      </c>
      <c r="Q186" s="1">
        <v>841</v>
      </c>
      <c r="R186" s="1">
        <v>364</v>
      </c>
      <c r="S186" s="1">
        <f>SUM(ecommerce_sales_all_data[[#This Row],[sales_month_1]:[sales_month_12]])</f>
        <v>6909</v>
      </c>
      <c r="T186" s="3">
        <f t="shared" si="34"/>
        <v>108399.56000000001</v>
      </c>
      <c r="U186" s="3">
        <f t="shared" si="35"/>
        <v>6103.2800000000007</v>
      </c>
      <c r="V186" s="3">
        <f t="shared" si="36"/>
        <v>124321.16</v>
      </c>
      <c r="W186" s="3">
        <f t="shared" si="37"/>
        <v>106011.32</v>
      </c>
      <c r="X186" s="3">
        <f t="shared" si="38"/>
        <v>0</v>
      </c>
      <c r="Y186" s="3">
        <f t="shared" si="39"/>
        <v>99642.680000000008</v>
      </c>
      <c r="Z186" s="3">
        <f t="shared" si="40"/>
        <v>53470.04</v>
      </c>
      <c r="AA186" s="3">
        <f t="shared" si="41"/>
        <v>112512.64</v>
      </c>
      <c r="AB186" s="3">
        <f t="shared" si="42"/>
        <v>55062.200000000004</v>
      </c>
      <c r="AC186" s="3">
        <f t="shared" si="43"/>
        <v>91283.840000000011</v>
      </c>
      <c r="AD186" s="3">
        <f t="shared" si="44"/>
        <v>111583.88</v>
      </c>
      <c r="AE186" s="3">
        <f t="shared" si="45"/>
        <v>48295.520000000004</v>
      </c>
      <c r="AF186" s="3">
        <f>SUM(ecommerce_sales_all_data[[#This Row],[revenue_month_1]:[revenue_month_12]])</f>
        <v>916686.11999999988</v>
      </c>
    </row>
    <row r="187" spans="1:32" x14ac:dyDescent="0.3">
      <c r="A187">
        <v>186</v>
      </c>
      <c r="B187" t="s">
        <v>210</v>
      </c>
      <c r="C187" t="s">
        <v>29</v>
      </c>
      <c r="D187" s="2">
        <v>331.69</v>
      </c>
      <c r="E187">
        <v>4.7</v>
      </c>
      <c r="F187">
        <v>297</v>
      </c>
      <c r="G187" s="1">
        <v>775</v>
      </c>
      <c r="H187" s="1">
        <v>574</v>
      </c>
      <c r="I187" s="1">
        <v>625</v>
      </c>
      <c r="J187" s="1">
        <v>526</v>
      </c>
      <c r="K187" s="1">
        <v>730</v>
      </c>
      <c r="L187" s="1">
        <v>739</v>
      </c>
      <c r="M187" s="1">
        <v>102</v>
      </c>
      <c r="N187" s="1">
        <v>479</v>
      </c>
      <c r="O187" s="1">
        <v>799</v>
      </c>
      <c r="P187" s="1">
        <v>168</v>
      </c>
      <c r="Q187" s="1">
        <v>623</v>
      </c>
      <c r="R187" s="1">
        <v>546</v>
      </c>
      <c r="S187" s="1">
        <f>SUM(ecommerce_sales_all_data[[#This Row],[sales_month_1]:[sales_month_12]])</f>
        <v>6686</v>
      </c>
      <c r="T187" s="3">
        <f t="shared" si="34"/>
        <v>257059.75</v>
      </c>
      <c r="U187" s="3">
        <f t="shared" si="35"/>
        <v>190390.06</v>
      </c>
      <c r="V187" s="3">
        <f t="shared" si="36"/>
        <v>207306.25</v>
      </c>
      <c r="W187" s="3">
        <f t="shared" si="37"/>
        <v>174468.94</v>
      </c>
      <c r="X187" s="3">
        <f t="shared" si="38"/>
        <v>242133.7</v>
      </c>
      <c r="Y187" s="3">
        <f t="shared" si="39"/>
        <v>245118.91</v>
      </c>
      <c r="Z187" s="3">
        <f t="shared" si="40"/>
        <v>33832.379999999997</v>
      </c>
      <c r="AA187" s="3">
        <f t="shared" si="41"/>
        <v>158879.51</v>
      </c>
      <c r="AB187" s="3">
        <f t="shared" si="42"/>
        <v>265020.31</v>
      </c>
      <c r="AC187" s="3">
        <f t="shared" si="43"/>
        <v>55723.92</v>
      </c>
      <c r="AD187" s="3">
        <f t="shared" si="44"/>
        <v>206642.87</v>
      </c>
      <c r="AE187" s="3">
        <f t="shared" si="45"/>
        <v>181102.74</v>
      </c>
      <c r="AF187" s="3">
        <f>SUM(ecommerce_sales_all_data[[#This Row],[revenue_month_1]:[revenue_month_12]])</f>
        <v>2217679.34</v>
      </c>
    </row>
    <row r="188" spans="1:32" x14ac:dyDescent="0.3">
      <c r="A188">
        <v>187</v>
      </c>
      <c r="B188" t="s">
        <v>211</v>
      </c>
      <c r="C188" t="s">
        <v>26</v>
      </c>
      <c r="D188" s="2">
        <v>409.52</v>
      </c>
      <c r="E188">
        <v>3.8</v>
      </c>
      <c r="F188">
        <v>164</v>
      </c>
      <c r="G188" s="1">
        <v>936</v>
      </c>
      <c r="H188" s="1">
        <v>736</v>
      </c>
      <c r="I188" s="1">
        <v>944</v>
      </c>
      <c r="J188" s="1">
        <v>555</v>
      </c>
      <c r="K188" s="1">
        <v>463</v>
      </c>
      <c r="L188" s="1">
        <v>852</v>
      </c>
      <c r="M188" s="1">
        <v>535</v>
      </c>
      <c r="N188" s="1">
        <v>646</v>
      </c>
      <c r="O188" s="1">
        <v>425</v>
      </c>
      <c r="P188" s="1">
        <v>338</v>
      </c>
      <c r="Q188" s="1">
        <v>862</v>
      </c>
      <c r="R188" s="1">
        <v>270</v>
      </c>
      <c r="S188" s="1">
        <f>SUM(ecommerce_sales_all_data[[#This Row],[sales_month_1]:[sales_month_12]])</f>
        <v>7562</v>
      </c>
      <c r="T188" s="3">
        <f t="shared" si="34"/>
        <v>383310.72</v>
      </c>
      <c r="U188" s="3">
        <f t="shared" si="35"/>
        <v>301406.71999999997</v>
      </c>
      <c r="V188" s="3">
        <f t="shared" si="36"/>
        <v>386586.88</v>
      </c>
      <c r="W188" s="3">
        <f t="shared" si="37"/>
        <v>227283.59999999998</v>
      </c>
      <c r="X188" s="3">
        <f t="shared" si="38"/>
        <v>189607.75999999998</v>
      </c>
      <c r="Y188" s="3">
        <f t="shared" si="39"/>
        <v>348911.04</v>
      </c>
      <c r="Z188" s="3">
        <f t="shared" si="40"/>
        <v>219093.19999999998</v>
      </c>
      <c r="AA188" s="3">
        <f t="shared" si="41"/>
        <v>264549.92</v>
      </c>
      <c r="AB188" s="3">
        <f t="shared" si="42"/>
        <v>174046</v>
      </c>
      <c r="AC188" s="3">
        <f t="shared" si="43"/>
        <v>138417.75999999998</v>
      </c>
      <c r="AD188" s="3">
        <f t="shared" si="44"/>
        <v>353006.24</v>
      </c>
      <c r="AE188" s="3">
        <f t="shared" si="45"/>
        <v>110570.4</v>
      </c>
      <c r="AF188" s="3">
        <f>SUM(ecommerce_sales_all_data[[#This Row],[revenue_month_1]:[revenue_month_12]])</f>
        <v>3096790.2399999998</v>
      </c>
    </row>
    <row r="189" spans="1:32" x14ac:dyDescent="0.3">
      <c r="A189">
        <v>188</v>
      </c>
      <c r="B189" t="s">
        <v>212</v>
      </c>
      <c r="C189" t="s">
        <v>26</v>
      </c>
      <c r="D189" s="2">
        <v>279.82</v>
      </c>
      <c r="E189">
        <v>1.3</v>
      </c>
      <c r="F189">
        <v>485</v>
      </c>
      <c r="G189" s="1">
        <v>389</v>
      </c>
      <c r="H189" s="1">
        <v>365</v>
      </c>
      <c r="I189" s="1">
        <v>275</v>
      </c>
      <c r="J189" s="1">
        <v>400</v>
      </c>
      <c r="K189" s="1">
        <v>229</v>
      </c>
      <c r="L189" s="1">
        <v>709</v>
      </c>
      <c r="M189" s="1">
        <v>367</v>
      </c>
      <c r="N189" s="1">
        <v>221</v>
      </c>
      <c r="O189" s="1">
        <v>415</v>
      </c>
      <c r="P189" s="1">
        <v>797</v>
      </c>
      <c r="Q189" s="1">
        <v>164</v>
      </c>
      <c r="R189" s="1">
        <v>960</v>
      </c>
      <c r="S189" s="1">
        <f>SUM(ecommerce_sales_all_data[[#This Row],[sales_month_1]:[sales_month_12]])</f>
        <v>5291</v>
      </c>
      <c r="T189" s="3">
        <f t="shared" si="34"/>
        <v>108849.98</v>
      </c>
      <c r="U189" s="3">
        <f t="shared" si="35"/>
        <v>102134.3</v>
      </c>
      <c r="V189" s="3">
        <f t="shared" si="36"/>
        <v>76950.5</v>
      </c>
      <c r="W189" s="3">
        <f t="shared" si="37"/>
        <v>111928</v>
      </c>
      <c r="X189" s="3">
        <f t="shared" si="38"/>
        <v>64078.78</v>
      </c>
      <c r="Y189" s="3">
        <f t="shared" si="39"/>
        <v>198392.38</v>
      </c>
      <c r="Z189" s="3">
        <f t="shared" si="40"/>
        <v>102693.94</v>
      </c>
      <c r="AA189" s="3">
        <f t="shared" si="41"/>
        <v>61840.22</v>
      </c>
      <c r="AB189" s="3">
        <f t="shared" si="42"/>
        <v>116125.3</v>
      </c>
      <c r="AC189" s="3">
        <f t="shared" si="43"/>
        <v>223016.54</v>
      </c>
      <c r="AD189" s="3">
        <f t="shared" si="44"/>
        <v>45890.479999999996</v>
      </c>
      <c r="AE189" s="3">
        <f t="shared" si="45"/>
        <v>268627.20000000001</v>
      </c>
      <c r="AF189" s="3">
        <f>SUM(ecommerce_sales_all_data[[#This Row],[revenue_month_1]:[revenue_month_12]])</f>
        <v>1480527.62</v>
      </c>
    </row>
    <row r="190" spans="1:32" x14ac:dyDescent="0.3">
      <c r="A190">
        <v>189</v>
      </c>
      <c r="B190" t="s">
        <v>213</v>
      </c>
      <c r="C190" t="s">
        <v>21</v>
      </c>
      <c r="D190" s="2">
        <v>267.18</v>
      </c>
      <c r="E190">
        <v>2.2000000000000002</v>
      </c>
      <c r="F190">
        <v>597</v>
      </c>
      <c r="G190" s="1">
        <v>324</v>
      </c>
      <c r="H190" s="1">
        <v>68</v>
      </c>
      <c r="I190" s="1">
        <v>499</v>
      </c>
      <c r="J190" s="1">
        <v>680</v>
      </c>
      <c r="K190" s="1">
        <v>966</v>
      </c>
      <c r="L190" s="1">
        <v>576</v>
      </c>
      <c r="M190" s="1">
        <v>211</v>
      </c>
      <c r="N190" s="1">
        <v>155</v>
      </c>
      <c r="O190" s="1">
        <v>25</v>
      </c>
      <c r="P190" s="1">
        <v>260</v>
      </c>
      <c r="Q190" s="1">
        <v>278</v>
      </c>
      <c r="R190" s="1">
        <v>473</v>
      </c>
      <c r="S190" s="1">
        <f>SUM(ecommerce_sales_all_data[[#This Row],[sales_month_1]:[sales_month_12]])</f>
        <v>4515</v>
      </c>
      <c r="T190" s="3">
        <f t="shared" si="34"/>
        <v>86566.32</v>
      </c>
      <c r="U190" s="3">
        <f t="shared" si="35"/>
        <v>18168.240000000002</v>
      </c>
      <c r="V190" s="3">
        <f t="shared" si="36"/>
        <v>133322.82</v>
      </c>
      <c r="W190" s="3">
        <f t="shared" si="37"/>
        <v>181682.4</v>
      </c>
      <c r="X190" s="3">
        <f t="shared" si="38"/>
        <v>258095.88</v>
      </c>
      <c r="Y190" s="3">
        <f t="shared" si="39"/>
        <v>153895.67999999999</v>
      </c>
      <c r="Z190" s="3">
        <f t="shared" si="40"/>
        <v>56374.98</v>
      </c>
      <c r="AA190" s="3">
        <f t="shared" si="41"/>
        <v>41412.9</v>
      </c>
      <c r="AB190" s="3">
        <f t="shared" si="42"/>
        <v>6679.5</v>
      </c>
      <c r="AC190" s="3">
        <f t="shared" si="43"/>
        <v>69466.8</v>
      </c>
      <c r="AD190" s="3">
        <f t="shared" si="44"/>
        <v>74276.040000000008</v>
      </c>
      <c r="AE190" s="3">
        <f t="shared" si="45"/>
        <v>126376.14</v>
      </c>
      <c r="AF190" s="3">
        <f>SUM(ecommerce_sales_all_data[[#This Row],[revenue_month_1]:[revenue_month_12]])</f>
        <v>1206317.7</v>
      </c>
    </row>
    <row r="191" spans="1:32" x14ac:dyDescent="0.3">
      <c r="A191">
        <v>190</v>
      </c>
      <c r="B191" t="s">
        <v>214</v>
      </c>
      <c r="C191" t="s">
        <v>23</v>
      </c>
      <c r="D191" s="2">
        <v>124.72</v>
      </c>
      <c r="E191">
        <v>3.8</v>
      </c>
      <c r="F191">
        <v>72</v>
      </c>
      <c r="G191" s="1">
        <v>939</v>
      </c>
      <c r="H191" s="1">
        <v>298</v>
      </c>
      <c r="I191" s="1">
        <v>716</v>
      </c>
      <c r="J191" s="1">
        <v>309</v>
      </c>
      <c r="K191" s="1">
        <v>171</v>
      </c>
      <c r="L191" s="1">
        <v>899</v>
      </c>
      <c r="M191" s="1">
        <v>576</v>
      </c>
      <c r="N191" s="1">
        <v>653</v>
      </c>
      <c r="O191" s="1">
        <v>370</v>
      </c>
      <c r="P191" s="1">
        <v>886</v>
      </c>
      <c r="Q191" s="1">
        <v>26</v>
      </c>
      <c r="R191" s="1">
        <v>738</v>
      </c>
      <c r="S191" s="1">
        <f>SUM(ecommerce_sales_all_data[[#This Row],[sales_month_1]:[sales_month_12]])</f>
        <v>6581</v>
      </c>
      <c r="T191" s="3">
        <f t="shared" si="34"/>
        <v>117112.08</v>
      </c>
      <c r="U191" s="3">
        <f t="shared" si="35"/>
        <v>37166.559999999998</v>
      </c>
      <c r="V191" s="3">
        <f t="shared" si="36"/>
        <v>89299.520000000004</v>
      </c>
      <c r="W191" s="3">
        <f t="shared" si="37"/>
        <v>38538.480000000003</v>
      </c>
      <c r="X191" s="3">
        <f t="shared" si="38"/>
        <v>21327.119999999999</v>
      </c>
      <c r="Y191" s="3">
        <f t="shared" si="39"/>
        <v>112123.28</v>
      </c>
      <c r="Z191" s="3">
        <f t="shared" si="40"/>
        <v>71838.720000000001</v>
      </c>
      <c r="AA191" s="3">
        <f t="shared" si="41"/>
        <v>81442.16</v>
      </c>
      <c r="AB191" s="3">
        <f t="shared" si="42"/>
        <v>46146.400000000001</v>
      </c>
      <c r="AC191" s="3">
        <f t="shared" si="43"/>
        <v>110501.92</v>
      </c>
      <c r="AD191" s="3">
        <f t="shared" si="44"/>
        <v>3242.72</v>
      </c>
      <c r="AE191" s="3">
        <f t="shared" si="45"/>
        <v>92043.36</v>
      </c>
      <c r="AF191" s="3">
        <f>SUM(ecommerce_sales_all_data[[#This Row],[revenue_month_1]:[revenue_month_12]])</f>
        <v>820782.32000000007</v>
      </c>
    </row>
    <row r="192" spans="1:32" x14ac:dyDescent="0.3">
      <c r="A192">
        <v>191</v>
      </c>
      <c r="B192" t="s">
        <v>215</v>
      </c>
      <c r="C192" t="s">
        <v>21</v>
      </c>
      <c r="D192" s="2">
        <v>51.09</v>
      </c>
      <c r="E192">
        <v>1.3</v>
      </c>
      <c r="F192">
        <v>567</v>
      </c>
      <c r="G192" s="1">
        <v>888</v>
      </c>
      <c r="H192" s="1">
        <v>943</v>
      </c>
      <c r="I192" s="1">
        <v>336</v>
      </c>
      <c r="J192" s="1">
        <v>494</v>
      </c>
      <c r="K192" s="1">
        <v>86</v>
      </c>
      <c r="L192" s="1">
        <v>10</v>
      </c>
      <c r="M192" s="1">
        <v>960</v>
      </c>
      <c r="N192" s="1">
        <v>427</v>
      </c>
      <c r="O192" s="1">
        <v>384</v>
      </c>
      <c r="P192" s="1">
        <v>734</v>
      </c>
      <c r="Q192" s="1">
        <v>69</v>
      </c>
      <c r="R192" s="1">
        <v>536</v>
      </c>
      <c r="S192" s="1">
        <f>SUM(ecommerce_sales_all_data[[#This Row],[sales_month_1]:[sales_month_12]])</f>
        <v>5867</v>
      </c>
      <c r="T192" s="3">
        <f t="shared" si="34"/>
        <v>45367.920000000006</v>
      </c>
      <c r="U192" s="3">
        <f t="shared" si="35"/>
        <v>48177.87</v>
      </c>
      <c r="V192" s="3">
        <f t="shared" si="36"/>
        <v>17166.240000000002</v>
      </c>
      <c r="W192" s="3">
        <f t="shared" si="37"/>
        <v>25238.460000000003</v>
      </c>
      <c r="X192" s="3">
        <f t="shared" si="38"/>
        <v>4393.7400000000007</v>
      </c>
      <c r="Y192" s="3">
        <f t="shared" si="39"/>
        <v>510.90000000000003</v>
      </c>
      <c r="Z192" s="3">
        <f t="shared" si="40"/>
        <v>49046.400000000001</v>
      </c>
      <c r="AA192" s="3">
        <f t="shared" si="41"/>
        <v>21815.43</v>
      </c>
      <c r="AB192" s="3">
        <f t="shared" si="42"/>
        <v>19618.560000000001</v>
      </c>
      <c r="AC192" s="3">
        <f t="shared" si="43"/>
        <v>37500.060000000005</v>
      </c>
      <c r="AD192" s="3">
        <f t="shared" si="44"/>
        <v>3525.21</v>
      </c>
      <c r="AE192" s="3">
        <f t="shared" si="45"/>
        <v>27384.240000000002</v>
      </c>
      <c r="AF192" s="3">
        <f>SUM(ecommerce_sales_all_data[[#This Row],[revenue_month_1]:[revenue_month_12]])</f>
        <v>299745.03000000003</v>
      </c>
    </row>
    <row r="193" spans="1:32" x14ac:dyDescent="0.3">
      <c r="A193">
        <v>192</v>
      </c>
      <c r="B193" t="s">
        <v>216</v>
      </c>
      <c r="C193" t="s">
        <v>29</v>
      </c>
      <c r="D193" s="2">
        <v>449.12</v>
      </c>
      <c r="E193">
        <v>3.3</v>
      </c>
      <c r="F193">
        <v>905</v>
      </c>
      <c r="G193" s="1">
        <v>831</v>
      </c>
      <c r="H193" s="1">
        <v>801</v>
      </c>
      <c r="I193" s="1">
        <v>949</v>
      </c>
      <c r="J193" s="1">
        <v>555</v>
      </c>
      <c r="K193" s="1">
        <v>552</v>
      </c>
      <c r="L193" s="1">
        <v>619</v>
      </c>
      <c r="M193" s="1">
        <v>208</v>
      </c>
      <c r="N193" s="1">
        <v>157</v>
      </c>
      <c r="O193" s="1">
        <v>55</v>
      </c>
      <c r="P193" s="1">
        <v>198</v>
      </c>
      <c r="Q193" s="1">
        <v>217</v>
      </c>
      <c r="R193" s="1">
        <v>233</v>
      </c>
      <c r="S193" s="1">
        <f>SUM(ecommerce_sales_all_data[[#This Row],[sales_month_1]:[sales_month_12]])</f>
        <v>5375</v>
      </c>
      <c r="T193" s="3">
        <f t="shared" si="34"/>
        <v>373218.72000000003</v>
      </c>
      <c r="U193" s="3">
        <f t="shared" si="35"/>
        <v>359745.12</v>
      </c>
      <c r="V193" s="3">
        <f t="shared" si="36"/>
        <v>426214.88</v>
      </c>
      <c r="W193" s="3">
        <f t="shared" si="37"/>
        <v>249261.6</v>
      </c>
      <c r="X193" s="3">
        <f t="shared" si="38"/>
        <v>247914.23999999999</v>
      </c>
      <c r="Y193" s="3">
        <f t="shared" si="39"/>
        <v>278005.28000000003</v>
      </c>
      <c r="Z193" s="3">
        <f t="shared" si="40"/>
        <v>93416.960000000006</v>
      </c>
      <c r="AA193" s="3">
        <f t="shared" si="41"/>
        <v>70511.839999999997</v>
      </c>
      <c r="AB193" s="3">
        <f t="shared" si="42"/>
        <v>24701.599999999999</v>
      </c>
      <c r="AC193" s="3">
        <f t="shared" si="43"/>
        <v>88925.759999999995</v>
      </c>
      <c r="AD193" s="3">
        <f t="shared" si="44"/>
        <v>97459.040000000008</v>
      </c>
      <c r="AE193" s="3">
        <f t="shared" si="45"/>
        <v>104644.96</v>
      </c>
      <c r="AF193" s="3">
        <f>SUM(ecommerce_sales_all_data[[#This Row],[revenue_month_1]:[revenue_month_12]])</f>
        <v>2414020</v>
      </c>
    </row>
    <row r="194" spans="1:32" x14ac:dyDescent="0.3">
      <c r="A194">
        <v>193</v>
      </c>
      <c r="B194" t="s">
        <v>217</v>
      </c>
      <c r="C194" t="s">
        <v>35</v>
      </c>
      <c r="D194" s="2">
        <v>450.71</v>
      </c>
      <c r="E194">
        <v>2.4</v>
      </c>
      <c r="F194">
        <v>559</v>
      </c>
      <c r="G194" s="1">
        <v>156</v>
      </c>
      <c r="H194" s="1">
        <v>295</v>
      </c>
      <c r="I194" s="1">
        <v>931</v>
      </c>
      <c r="J194" s="1">
        <v>609</v>
      </c>
      <c r="K194" s="1">
        <v>122</v>
      </c>
      <c r="L194" s="1">
        <v>25</v>
      </c>
      <c r="M194" s="1">
        <v>762</v>
      </c>
      <c r="N194" s="1">
        <v>976</v>
      </c>
      <c r="O194" s="1">
        <v>252</v>
      </c>
      <c r="P194" s="1">
        <v>210</v>
      </c>
      <c r="Q194" s="1">
        <v>961</v>
      </c>
      <c r="R194" s="1">
        <v>58</v>
      </c>
      <c r="S194" s="1">
        <f>SUM(ecommerce_sales_all_data[[#This Row],[sales_month_1]:[sales_month_12]])</f>
        <v>5357</v>
      </c>
      <c r="T194" s="3">
        <f t="shared" ref="T194:T257" si="46">G194*$D194</f>
        <v>70310.759999999995</v>
      </c>
      <c r="U194" s="3">
        <f t="shared" ref="U194:U257" si="47">H194*$D194</f>
        <v>132959.44999999998</v>
      </c>
      <c r="V194" s="3">
        <f t="shared" si="36"/>
        <v>419611.01</v>
      </c>
      <c r="W194" s="3">
        <f t="shared" si="37"/>
        <v>274482.39</v>
      </c>
      <c r="X194" s="3">
        <f t="shared" si="38"/>
        <v>54986.619999999995</v>
      </c>
      <c r="Y194" s="3">
        <f t="shared" si="39"/>
        <v>11267.75</v>
      </c>
      <c r="Z194" s="3">
        <f t="shared" si="40"/>
        <v>343441.01999999996</v>
      </c>
      <c r="AA194" s="3">
        <f t="shared" si="41"/>
        <v>439892.95999999996</v>
      </c>
      <c r="AB194" s="3">
        <f t="shared" si="42"/>
        <v>113578.92</v>
      </c>
      <c r="AC194" s="3">
        <f t="shared" si="43"/>
        <v>94649.099999999991</v>
      </c>
      <c r="AD194" s="3">
        <f t="shared" si="44"/>
        <v>433132.31</v>
      </c>
      <c r="AE194" s="3">
        <f t="shared" si="45"/>
        <v>26141.18</v>
      </c>
      <c r="AF194" s="3">
        <f>SUM(ecommerce_sales_all_data[[#This Row],[revenue_month_1]:[revenue_month_12]])</f>
        <v>2414453.4700000002</v>
      </c>
    </row>
    <row r="195" spans="1:32" x14ac:dyDescent="0.3">
      <c r="A195">
        <v>194</v>
      </c>
      <c r="B195" t="s">
        <v>218</v>
      </c>
      <c r="C195" t="s">
        <v>21</v>
      </c>
      <c r="D195" s="2">
        <v>318.39</v>
      </c>
      <c r="E195">
        <v>3.5</v>
      </c>
      <c r="F195">
        <v>911</v>
      </c>
      <c r="G195" s="1">
        <v>667</v>
      </c>
      <c r="H195" s="1">
        <v>202</v>
      </c>
      <c r="I195" s="1">
        <v>480</v>
      </c>
      <c r="J195" s="1">
        <v>772</v>
      </c>
      <c r="K195" s="1">
        <v>842</v>
      </c>
      <c r="L195" s="1">
        <v>956</v>
      </c>
      <c r="M195" s="1">
        <v>896</v>
      </c>
      <c r="N195" s="1">
        <v>415</v>
      </c>
      <c r="O195" s="1">
        <v>633</v>
      </c>
      <c r="P195" s="1">
        <v>286</v>
      </c>
      <c r="Q195" s="1">
        <v>364</v>
      </c>
      <c r="R195" s="1">
        <v>250</v>
      </c>
      <c r="S195" s="1">
        <f>SUM(ecommerce_sales_all_data[[#This Row],[sales_month_1]:[sales_month_12]])</f>
        <v>6763</v>
      </c>
      <c r="T195" s="3">
        <f t="shared" si="46"/>
        <v>212366.13</v>
      </c>
      <c r="U195" s="3">
        <f t="shared" si="47"/>
        <v>64314.78</v>
      </c>
      <c r="V195" s="3">
        <f t="shared" ref="V195:V258" si="48">I195*$D195</f>
        <v>152827.19999999998</v>
      </c>
      <c r="W195" s="3">
        <f t="shared" ref="W195:W258" si="49">J195*$D195</f>
        <v>245797.08</v>
      </c>
      <c r="X195" s="3">
        <f t="shared" ref="X195:X258" si="50">K195*$D195</f>
        <v>268084.38</v>
      </c>
      <c r="Y195" s="3">
        <f t="shared" ref="Y195:Y258" si="51">L195*$D195</f>
        <v>304380.83999999997</v>
      </c>
      <c r="Z195" s="3">
        <f t="shared" ref="Z195:Z258" si="52">M195*$D195</f>
        <v>285277.44</v>
      </c>
      <c r="AA195" s="3">
        <f t="shared" ref="AA195:AA258" si="53">N195*$D195</f>
        <v>132131.85</v>
      </c>
      <c r="AB195" s="3">
        <f t="shared" ref="AB195:AB258" si="54">O195*$D195</f>
        <v>201540.87</v>
      </c>
      <c r="AC195" s="3">
        <f t="shared" ref="AC195:AC258" si="55">P195*$D195</f>
        <v>91059.54</v>
      </c>
      <c r="AD195" s="3">
        <f t="shared" ref="AD195:AD258" si="56">Q195*$D195</f>
        <v>115893.95999999999</v>
      </c>
      <c r="AE195" s="3">
        <f t="shared" ref="AE195:AE258" si="57">R195*$D195</f>
        <v>79597.5</v>
      </c>
      <c r="AF195" s="3">
        <f>SUM(ecommerce_sales_all_data[[#This Row],[revenue_month_1]:[revenue_month_12]])</f>
        <v>2153271.5699999998</v>
      </c>
    </row>
    <row r="196" spans="1:32" x14ac:dyDescent="0.3">
      <c r="A196">
        <v>195</v>
      </c>
      <c r="B196" t="s">
        <v>219</v>
      </c>
      <c r="C196" t="s">
        <v>19</v>
      </c>
      <c r="D196" s="2">
        <v>172.82</v>
      </c>
      <c r="E196">
        <v>1.2</v>
      </c>
      <c r="F196">
        <v>944</v>
      </c>
      <c r="G196" s="1">
        <v>650</v>
      </c>
      <c r="H196" s="1">
        <v>60</v>
      </c>
      <c r="I196" s="1">
        <v>896</v>
      </c>
      <c r="J196" s="1">
        <v>108</v>
      </c>
      <c r="K196" s="1">
        <v>297</v>
      </c>
      <c r="L196" s="1">
        <v>420</v>
      </c>
      <c r="M196" s="1">
        <v>116</v>
      </c>
      <c r="N196" s="1">
        <v>325</v>
      </c>
      <c r="O196" s="1">
        <v>105</v>
      </c>
      <c r="P196" s="1">
        <v>691</v>
      </c>
      <c r="Q196" s="1">
        <v>700</v>
      </c>
      <c r="R196" s="1">
        <v>846</v>
      </c>
      <c r="S196" s="1">
        <f>SUM(ecommerce_sales_all_data[[#This Row],[sales_month_1]:[sales_month_12]])</f>
        <v>5214</v>
      </c>
      <c r="T196" s="3">
        <f t="shared" si="46"/>
        <v>112333</v>
      </c>
      <c r="U196" s="3">
        <f t="shared" si="47"/>
        <v>10369.199999999999</v>
      </c>
      <c r="V196" s="3">
        <f t="shared" si="48"/>
        <v>154846.72</v>
      </c>
      <c r="W196" s="3">
        <f t="shared" si="49"/>
        <v>18664.559999999998</v>
      </c>
      <c r="X196" s="3">
        <f t="shared" si="50"/>
        <v>51327.54</v>
      </c>
      <c r="Y196" s="3">
        <f t="shared" si="51"/>
        <v>72584.399999999994</v>
      </c>
      <c r="Z196" s="3">
        <f t="shared" si="52"/>
        <v>20047.12</v>
      </c>
      <c r="AA196" s="3">
        <f t="shared" si="53"/>
        <v>56166.5</v>
      </c>
      <c r="AB196" s="3">
        <f t="shared" si="54"/>
        <v>18146.099999999999</v>
      </c>
      <c r="AC196" s="3">
        <f t="shared" si="55"/>
        <v>119418.62</v>
      </c>
      <c r="AD196" s="3">
        <f t="shared" si="56"/>
        <v>120974</v>
      </c>
      <c r="AE196" s="3">
        <f t="shared" si="57"/>
        <v>146205.72</v>
      </c>
      <c r="AF196" s="3">
        <f>SUM(ecommerce_sales_all_data[[#This Row],[revenue_month_1]:[revenue_month_12]])</f>
        <v>901083.47999999986</v>
      </c>
    </row>
    <row r="197" spans="1:32" x14ac:dyDescent="0.3">
      <c r="A197">
        <v>196</v>
      </c>
      <c r="B197" t="s">
        <v>220</v>
      </c>
      <c r="C197" t="s">
        <v>26</v>
      </c>
      <c r="D197" s="2">
        <v>177.86</v>
      </c>
      <c r="E197">
        <v>4.5</v>
      </c>
      <c r="F197">
        <v>238</v>
      </c>
      <c r="G197" s="1">
        <v>632</v>
      </c>
      <c r="H197" s="1">
        <v>945</v>
      </c>
      <c r="I197" s="1">
        <v>910</v>
      </c>
      <c r="J197" s="1">
        <v>794</v>
      </c>
      <c r="K197" s="1">
        <v>884</v>
      </c>
      <c r="L197" s="1">
        <v>662</v>
      </c>
      <c r="M197" s="1">
        <v>627</v>
      </c>
      <c r="N197" s="1">
        <v>370</v>
      </c>
      <c r="O197" s="1">
        <v>129</v>
      </c>
      <c r="P197" s="1">
        <v>761</v>
      </c>
      <c r="Q197" s="1">
        <v>844</v>
      </c>
      <c r="R197" s="1">
        <v>85</v>
      </c>
      <c r="S197" s="1">
        <f>SUM(ecommerce_sales_all_data[[#This Row],[sales_month_1]:[sales_month_12]])</f>
        <v>7643</v>
      </c>
      <c r="T197" s="3">
        <f t="shared" si="46"/>
        <v>112407.52</v>
      </c>
      <c r="U197" s="3">
        <f t="shared" si="47"/>
        <v>168077.7</v>
      </c>
      <c r="V197" s="3">
        <f t="shared" si="48"/>
        <v>161852.6</v>
      </c>
      <c r="W197" s="3">
        <f t="shared" si="49"/>
        <v>141220.84</v>
      </c>
      <c r="X197" s="3">
        <f t="shared" si="50"/>
        <v>157228.24000000002</v>
      </c>
      <c r="Y197" s="3">
        <f t="shared" si="51"/>
        <v>117743.32</v>
      </c>
      <c r="Z197" s="3">
        <f t="shared" si="52"/>
        <v>111518.22000000002</v>
      </c>
      <c r="AA197" s="3">
        <f t="shared" si="53"/>
        <v>65808.200000000012</v>
      </c>
      <c r="AB197" s="3">
        <f t="shared" si="54"/>
        <v>22943.940000000002</v>
      </c>
      <c r="AC197" s="3">
        <f t="shared" si="55"/>
        <v>135351.46000000002</v>
      </c>
      <c r="AD197" s="3">
        <f t="shared" si="56"/>
        <v>150113.84000000003</v>
      </c>
      <c r="AE197" s="3">
        <f t="shared" si="57"/>
        <v>15118.1</v>
      </c>
      <c r="AF197" s="3">
        <f>SUM(ecommerce_sales_all_data[[#This Row],[revenue_month_1]:[revenue_month_12]])</f>
        <v>1359383.98</v>
      </c>
    </row>
    <row r="198" spans="1:32" x14ac:dyDescent="0.3">
      <c r="A198">
        <v>197</v>
      </c>
      <c r="B198" t="s">
        <v>221</v>
      </c>
      <c r="C198" t="s">
        <v>23</v>
      </c>
      <c r="D198" s="2">
        <v>364.35</v>
      </c>
      <c r="E198">
        <v>4.9000000000000004</v>
      </c>
      <c r="F198">
        <v>104</v>
      </c>
      <c r="G198" s="1">
        <v>576</v>
      </c>
      <c r="H198" s="1">
        <v>962</v>
      </c>
      <c r="I198" s="1">
        <v>972</v>
      </c>
      <c r="J198" s="1">
        <v>371</v>
      </c>
      <c r="K198" s="1">
        <v>928</v>
      </c>
      <c r="L198" s="1">
        <v>220</v>
      </c>
      <c r="M198" s="1">
        <v>748</v>
      </c>
      <c r="N198" s="1">
        <v>343</v>
      </c>
      <c r="O198" s="1">
        <v>848</v>
      </c>
      <c r="P198" s="1">
        <v>742</v>
      </c>
      <c r="Q198" s="1">
        <v>946</v>
      </c>
      <c r="R198" s="1">
        <v>762</v>
      </c>
      <c r="S198" s="1">
        <f>SUM(ecommerce_sales_all_data[[#This Row],[sales_month_1]:[sales_month_12]])</f>
        <v>8418</v>
      </c>
      <c r="T198" s="3">
        <f t="shared" si="46"/>
        <v>209865.60000000001</v>
      </c>
      <c r="U198" s="3">
        <f t="shared" si="47"/>
        <v>350504.7</v>
      </c>
      <c r="V198" s="3">
        <f t="shared" si="48"/>
        <v>354148.2</v>
      </c>
      <c r="W198" s="3">
        <f t="shared" si="49"/>
        <v>135173.85</v>
      </c>
      <c r="X198" s="3">
        <f t="shared" si="50"/>
        <v>338116.80000000005</v>
      </c>
      <c r="Y198" s="3">
        <f t="shared" si="51"/>
        <v>80157</v>
      </c>
      <c r="Z198" s="3">
        <f t="shared" si="52"/>
        <v>272533.8</v>
      </c>
      <c r="AA198" s="3">
        <f t="shared" si="53"/>
        <v>124972.05</v>
      </c>
      <c r="AB198" s="3">
        <f t="shared" si="54"/>
        <v>308968.80000000005</v>
      </c>
      <c r="AC198" s="3">
        <f t="shared" si="55"/>
        <v>270347.7</v>
      </c>
      <c r="AD198" s="3">
        <f t="shared" si="56"/>
        <v>344675.10000000003</v>
      </c>
      <c r="AE198" s="3">
        <f t="shared" si="57"/>
        <v>277634.7</v>
      </c>
      <c r="AF198" s="3">
        <f>SUM(ecommerce_sales_all_data[[#This Row],[revenue_month_1]:[revenue_month_12]])</f>
        <v>3067098.3000000007</v>
      </c>
    </row>
    <row r="199" spans="1:32" x14ac:dyDescent="0.3">
      <c r="A199">
        <v>198</v>
      </c>
      <c r="B199" t="s">
        <v>222</v>
      </c>
      <c r="C199" t="s">
        <v>48</v>
      </c>
      <c r="D199" s="2">
        <v>449.07</v>
      </c>
      <c r="E199">
        <v>4.9000000000000004</v>
      </c>
      <c r="F199">
        <v>210</v>
      </c>
      <c r="G199" s="1">
        <v>618</v>
      </c>
      <c r="H199" s="1">
        <v>829</v>
      </c>
      <c r="I199" s="1">
        <v>272</v>
      </c>
      <c r="J199" s="1">
        <v>854</v>
      </c>
      <c r="K199" s="1">
        <v>689</v>
      </c>
      <c r="L199" s="1">
        <v>852</v>
      </c>
      <c r="M199" s="1">
        <v>477</v>
      </c>
      <c r="N199" s="1">
        <v>261</v>
      </c>
      <c r="O199" s="1">
        <v>669</v>
      </c>
      <c r="P199" s="1">
        <v>471</v>
      </c>
      <c r="Q199" s="1">
        <v>305</v>
      </c>
      <c r="R199" s="1">
        <v>389</v>
      </c>
      <c r="S199" s="1">
        <f>SUM(ecommerce_sales_all_data[[#This Row],[sales_month_1]:[sales_month_12]])</f>
        <v>6686</v>
      </c>
      <c r="T199" s="3">
        <f t="shared" si="46"/>
        <v>277525.26</v>
      </c>
      <c r="U199" s="3">
        <f t="shared" si="47"/>
        <v>372279.02999999997</v>
      </c>
      <c r="V199" s="3">
        <f t="shared" si="48"/>
        <v>122147.04</v>
      </c>
      <c r="W199" s="3">
        <f t="shared" si="49"/>
        <v>383505.77999999997</v>
      </c>
      <c r="X199" s="3">
        <f t="shared" si="50"/>
        <v>309409.23</v>
      </c>
      <c r="Y199" s="3">
        <f t="shared" si="51"/>
        <v>382607.64</v>
      </c>
      <c r="Z199" s="3">
        <f t="shared" si="52"/>
        <v>214206.38999999998</v>
      </c>
      <c r="AA199" s="3">
        <f t="shared" si="53"/>
        <v>117207.27</v>
      </c>
      <c r="AB199" s="3">
        <f t="shared" si="54"/>
        <v>300427.83</v>
      </c>
      <c r="AC199" s="3">
        <f t="shared" si="55"/>
        <v>211511.97</v>
      </c>
      <c r="AD199" s="3">
        <f t="shared" si="56"/>
        <v>136966.35</v>
      </c>
      <c r="AE199" s="3">
        <f t="shared" si="57"/>
        <v>174688.23</v>
      </c>
      <c r="AF199" s="3">
        <f>SUM(ecommerce_sales_all_data[[#This Row],[revenue_month_1]:[revenue_month_12]])</f>
        <v>3002482.02</v>
      </c>
    </row>
    <row r="200" spans="1:32" x14ac:dyDescent="0.3">
      <c r="A200">
        <v>199</v>
      </c>
      <c r="B200" t="s">
        <v>223</v>
      </c>
      <c r="C200" t="s">
        <v>29</v>
      </c>
      <c r="D200" s="2">
        <v>444.11</v>
      </c>
      <c r="E200">
        <v>4</v>
      </c>
      <c r="F200">
        <v>554</v>
      </c>
      <c r="G200" s="1">
        <v>658</v>
      </c>
      <c r="H200" s="1">
        <v>313</v>
      </c>
      <c r="I200" s="1">
        <v>919</v>
      </c>
      <c r="J200" s="1">
        <v>615</v>
      </c>
      <c r="K200" s="1">
        <v>574</v>
      </c>
      <c r="L200" s="1">
        <v>495</v>
      </c>
      <c r="M200" s="1">
        <v>104</v>
      </c>
      <c r="N200" s="1">
        <v>282</v>
      </c>
      <c r="O200" s="1">
        <v>375</v>
      </c>
      <c r="P200" s="1">
        <v>481</v>
      </c>
      <c r="Q200" s="1">
        <v>123</v>
      </c>
      <c r="R200" s="1">
        <v>179</v>
      </c>
      <c r="S200" s="1">
        <f>SUM(ecommerce_sales_all_data[[#This Row],[sales_month_1]:[sales_month_12]])</f>
        <v>5118</v>
      </c>
      <c r="T200" s="3">
        <f t="shared" si="46"/>
        <v>292224.38</v>
      </c>
      <c r="U200" s="3">
        <f t="shared" si="47"/>
        <v>139006.43</v>
      </c>
      <c r="V200" s="3">
        <f t="shared" si="48"/>
        <v>408137.09</v>
      </c>
      <c r="W200" s="3">
        <f t="shared" si="49"/>
        <v>273127.65000000002</v>
      </c>
      <c r="X200" s="3">
        <f t="shared" si="50"/>
        <v>254919.14</v>
      </c>
      <c r="Y200" s="3">
        <f t="shared" si="51"/>
        <v>219834.45</v>
      </c>
      <c r="Z200" s="3">
        <f t="shared" si="52"/>
        <v>46187.44</v>
      </c>
      <c r="AA200" s="3">
        <f t="shared" si="53"/>
        <v>125239.02</v>
      </c>
      <c r="AB200" s="3">
        <f t="shared" si="54"/>
        <v>166541.25</v>
      </c>
      <c r="AC200" s="3">
        <f t="shared" si="55"/>
        <v>213616.91</v>
      </c>
      <c r="AD200" s="3">
        <f t="shared" si="56"/>
        <v>54625.53</v>
      </c>
      <c r="AE200" s="3">
        <f t="shared" si="57"/>
        <v>79495.69</v>
      </c>
      <c r="AF200" s="3">
        <f>SUM(ecommerce_sales_all_data[[#This Row],[revenue_month_1]:[revenue_month_12]])</f>
        <v>2272954.9799999995</v>
      </c>
    </row>
    <row r="201" spans="1:32" x14ac:dyDescent="0.3">
      <c r="A201">
        <v>200</v>
      </c>
      <c r="B201" t="s">
        <v>224</v>
      </c>
      <c r="C201" t="s">
        <v>48</v>
      </c>
      <c r="D201" s="2">
        <v>391.04</v>
      </c>
      <c r="E201">
        <v>1.5</v>
      </c>
      <c r="F201">
        <v>828</v>
      </c>
      <c r="G201" s="1">
        <v>136</v>
      </c>
      <c r="H201" s="1">
        <v>160</v>
      </c>
      <c r="I201" s="1">
        <v>57</v>
      </c>
      <c r="J201" s="1">
        <v>767</v>
      </c>
      <c r="K201" s="1">
        <v>483</v>
      </c>
      <c r="L201" s="1">
        <v>236</v>
      </c>
      <c r="M201" s="1">
        <v>494</v>
      </c>
      <c r="N201" s="1">
        <v>849</v>
      </c>
      <c r="O201" s="1">
        <v>742</v>
      </c>
      <c r="P201" s="1">
        <v>22</v>
      </c>
      <c r="Q201" s="1">
        <v>18</v>
      </c>
      <c r="R201" s="1">
        <v>718</v>
      </c>
      <c r="S201" s="1">
        <f>SUM(ecommerce_sales_all_data[[#This Row],[sales_month_1]:[sales_month_12]])</f>
        <v>4682</v>
      </c>
      <c r="T201" s="3">
        <f t="shared" si="46"/>
        <v>53181.440000000002</v>
      </c>
      <c r="U201" s="3">
        <f t="shared" si="47"/>
        <v>62566.400000000001</v>
      </c>
      <c r="V201" s="3">
        <f t="shared" si="48"/>
        <v>22289.280000000002</v>
      </c>
      <c r="W201" s="3">
        <f t="shared" si="49"/>
        <v>299927.67999999999</v>
      </c>
      <c r="X201" s="3">
        <f t="shared" si="50"/>
        <v>188872.32000000001</v>
      </c>
      <c r="Y201" s="3">
        <f t="shared" si="51"/>
        <v>92285.440000000002</v>
      </c>
      <c r="Z201" s="3">
        <f t="shared" si="52"/>
        <v>193173.76000000001</v>
      </c>
      <c r="AA201" s="3">
        <f t="shared" si="53"/>
        <v>331992.96000000002</v>
      </c>
      <c r="AB201" s="3">
        <f t="shared" si="54"/>
        <v>290151.67999999999</v>
      </c>
      <c r="AC201" s="3">
        <f t="shared" si="55"/>
        <v>8602.880000000001</v>
      </c>
      <c r="AD201" s="3">
        <f t="shared" si="56"/>
        <v>7038.72</v>
      </c>
      <c r="AE201" s="3">
        <f t="shared" si="57"/>
        <v>280766.72000000003</v>
      </c>
      <c r="AF201" s="3">
        <f>SUM(ecommerce_sales_all_data[[#This Row],[revenue_month_1]:[revenue_month_12]])</f>
        <v>1830849.2799999998</v>
      </c>
    </row>
    <row r="202" spans="1:32" x14ac:dyDescent="0.3">
      <c r="A202">
        <v>201</v>
      </c>
      <c r="B202" t="s">
        <v>225</v>
      </c>
      <c r="C202" t="s">
        <v>26</v>
      </c>
      <c r="D202" s="2">
        <v>322.81</v>
      </c>
      <c r="E202">
        <v>4</v>
      </c>
      <c r="F202">
        <v>468</v>
      </c>
      <c r="G202" s="1">
        <v>922</v>
      </c>
      <c r="H202" s="1">
        <v>330</v>
      </c>
      <c r="I202" s="1">
        <v>327</v>
      </c>
      <c r="J202" s="1">
        <v>890</v>
      </c>
      <c r="K202" s="1">
        <v>164</v>
      </c>
      <c r="L202" s="1">
        <v>236</v>
      </c>
      <c r="M202" s="1">
        <v>770</v>
      </c>
      <c r="N202" s="1">
        <v>855</v>
      </c>
      <c r="O202" s="1">
        <v>966</v>
      </c>
      <c r="P202" s="1">
        <v>559</v>
      </c>
      <c r="Q202" s="1">
        <v>256</v>
      </c>
      <c r="R202" s="1">
        <v>855</v>
      </c>
      <c r="S202" s="1">
        <f>SUM(ecommerce_sales_all_data[[#This Row],[sales_month_1]:[sales_month_12]])</f>
        <v>7130</v>
      </c>
      <c r="T202" s="3">
        <f t="shared" si="46"/>
        <v>297630.82</v>
      </c>
      <c r="U202" s="3">
        <f t="shared" si="47"/>
        <v>106527.3</v>
      </c>
      <c r="V202" s="3">
        <f t="shared" si="48"/>
        <v>105558.87</v>
      </c>
      <c r="W202" s="3">
        <f t="shared" si="49"/>
        <v>287300.90000000002</v>
      </c>
      <c r="X202" s="3">
        <f t="shared" si="50"/>
        <v>52940.840000000004</v>
      </c>
      <c r="Y202" s="3">
        <f t="shared" si="51"/>
        <v>76183.16</v>
      </c>
      <c r="Z202" s="3">
        <f t="shared" si="52"/>
        <v>248563.7</v>
      </c>
      <c r="AA202" s="3">
        <f t="shared" si="53"/>
        <v>276002.55</v>
      </c>
      <c r="AB202" s="3">
        <f t="shared" si="54"/>
        <v>311834.46000000002</v>
      </c>
      <c r="AC202" s="3">
        <f t="shared" si="55"/>
        <v>180450.79</v>
      </c>
      <c r="AD202" s="3">
        <f t="shared" si="56"/>
        <v>82639.360000000001</v>
      </c>
      <c r="AE202" s="3">
        <f t="shared" si="57"/>
        <v>276002.55</v>
      </c>
      <c r="AF202" s="3">
        <f>SUM(ecommerce_sales_all_data[[#This Row],[revenue_month_1]:[revenue_month_12]])</f>
        <v>2301635.3000000003</v>
      </c>
    </row>
    <row r="203" spans="1:32" x14ac:dyDescent="0.3">
      <c r="A203">
        <v>202</v>
      </c>
      <c r="B203" t="s">
        <v>226</v>
      </c>
      <c r="C203" t="s">
        <v>21</v>
      </c>
      <c r="D203" s="2">
        <v>46.65</v>
      </c>
      <c r="E203">
        <v>1.1000000000000001</v>
      </c>
      <c r="F203">
        <v>454</v>
      </c>
      <c r="G203" s="1">
        <v>673</v>
      </c>
      <c r="H203" s="1">
        <v>527</v>
      </c>
      <c r="I203" s="1">
        <v>730</v>
      </c>
      <c r="J203" s="1">
        <v>205</v>
      </c>
      <c r="K203" s="1">
        <v>1000</v>
      </c>
      <c r="L203" s="1">
        <v>218</v>
      </c>
      <c r="M203" s="1">
        <v>45</v>
      </c>
      <c r="N203" s="1">
        <v>228</v>
      </c>
      <c r="O203" s="1">
        <v>307</v>
      </c>
      <c r="P203" s="1">
        <v>108</v>
      </c>
      <c r="Q203" s="1">
        <v>295</v>
      </c>
      <c r="R203" s="1">
        <v>148</v>
      </c>
      <c r="S203" s="1">
        <f>SUM(ecommerce_sales_all_data[[#This Row],[sales_month_1]:[sales_month_12]])</f>
        <v>4484</v>
      </c>
      <c r="T203" s="3">
        <f t="shared" si="46"/>
        <v>31395.45</v>
      </c>
      <c r="U203" s="3">
        <f t="shared" si="47"/>
        <v>24584.55</v>
      </c>
      <c r="V203" s="3">
        <f t="shared" si="48"/>
        <v>34054.5</v>
      </c>
      <c r="W203" s="3">
        <f t="shared" si="49"/>
        <v>9563.25</v>
      </c>
      <c r="X203" s="3">
        <f t="shared" si="50"/>
        <v>46650</v>
      </c>
      <c r="Y203" s="3">
        <f t="shared" si="51"/>
        <v>10169.699999999999</v>
      </c>
      <c r="Z203" s="3">
        <f t="shared" si="52"/>
        <v>2099.25</v>
      </c>
      <c r="AA203" s="3">
        <f t="shared" si="53"/>
        <v>10636.199999999999</v>
      </c>
      <c r="AB203" s="3">
        <f t="shared" si="54"/>
        <v>14321.55</v>
      </c>
      <c r="AC203" s="3">
        <f t="shared" si="55"/>
        <v>5038.2</v>
      </c>
      <c r="AD203" s="3">
        <f t="shared" si="56"/>
        <v>13761.75</v>
      </c>
      <c r="AE203" s="3">
        <f t="shared" si="57"/>
        <v>6904.2</v>
      </c>
      <c r="AF203" s="3">
        <f>SUM(ecommerce_sales_all_data[[#This Row],[revenue_month_1]:[revenue_month_12]])</f>
        <v>209178.60000000003</v>
      </c>
    </row>
    <row r="204" spans="1:32" x14ac:dyDescent="0.3">
      <c r="A204">
        <v>203</v>
      </c>
      <c r="B204" t="s">
        <v>227</v>
      </c>
      <c r="C204" t="s">
        <v>48</v>
      </c>
      <c r="D204" s="2">
        <v>85.01</v>
      </c>
      <c r="E204">
        <v>1.1000000000000001</v>
      </c>
      <c r="F204">
        <v>268</v>
      </c>
      <c r="G204" s="1">
        <v>427</v>
      </c>
      <c r="H204" s="1">
        <v>337</v>
      </c>
      <c r="I204" s="1">
        <v>108</v>
      </c>
      <c r="J204" s="1">
        <v>846</v>
      </c>
      <c r="K204" s="1">
        <v>698</v>
      </c>
      <c r="L204" s="1">
        <v>486</v>
      </c>
      <c r="M204" s="1">
        <v>822</v>
      </c>
      <c r="N204" s="1">
        <v>887</v>
      </c>
      <c r="O204" s="1">
        <v>90</v>
      </c>
      <c r="P204" s="1">
        <v>295</v>
      </c>
      <c r="Q204" s="1">
        <v>927</v>
      </c>
      <c r="R204" s="1">
        <v>582</v>
      </c>
      <c r="S204" s="1">
        <f>SUM(ecommerce_sales_all_data[[#This Row],[sales_month_1]:[sales_month_12]])</f>
        <v>6505</v>
      </c>
      <c r="T204" s="3">
        <f t="shared" si="46"/>
        <v>36299.270000000004</v>
      </c>
      <c r="U204" s="3">
        <f t="shared" si="47"/>
        <v>28648.370000000003</v>
      </c>
      <c r="V204" s="3">
        <f t="shared" si="48"/>
        <v>9181.08</v>
      </c>
      <c r="W204" s="3">
        <f t="shared" si="49"/>
        <v>71918.460000000006</v>
      </c>
      <c r="X204" s="3">
        <f t="shared" si="50"/>
        <v>59336.98</v>
      </c>
      <c r="Y204" s="3">
        <f t="shared" si="51"/>
        <v>41314.86</v>
      </c>
      <c r="Z204" s="3">
        <f t="shared" si="52"/>
        <v>69878.22</v>
      </c>
      <c r="AA204" s="3">
        <f t="shared" si="53"/>
        <v>75403.87000000001</v>
      </c>
      <c r="AB204" s="3">
        <f t="shared" si="54"/>
        <v>7650.9000000000005</v>
      </c>
      <c r="AC204" s="3">
        <f t="shared" si="55"/>
        <v>25077.95</v>
      </c>
      <c r="AD204" s="3">
        <f t="shared" si="56"/>
        <v>78804.27</v>
      </c>
      <c r="AE204" s="3">
        <f t="shared" si="57"/>
        <v>49475.82</v>
      </c>
      <c r="AF204" s="3">
        <f>SUM(ecommerce_sales_all_data[[#This Row],[revenue_month_1]:[revenue_month_12]])</f>
        <v>552990.05000000005</v>
      </c>
    </row>
    <row r="205" spans="1:32" x14ac:dyDescent="0.3">
      <c r="A205">
        <v>204</v>
      </c>
      <c r="B205" t="s">
        <v>228</v>
      </c>
      <c r="C205" t="s">
        <v>19</v>
      </c>
      <c r="D205" s="2">
        <v>449.78</v>
      </c>
      <c r="E205">
        <v>2.2999999999999998</v>
      </c>
      <c r="F205">
        <v>386</v>
      </c>
      <c r="G205" s="1">
        <v>451</v>
      </c>
      <c r="H205" s="1">
        <v>605</v>
      </c>
      <c r="I205" s="1">
        <v>278</v>
      </c>
      <c r="J205" s="1">
        <v>42</v>
      </c>
      <c r="K205" s="1">
        <v>382</v>
      </c>
      <c r="L205" s="1">
        <v>935</v>
      </c>
      <c r="M205" s="1">
        <v>330</v>
      </c>
      <c r="N205" s="1">
        <v>279</v>
      </c>
      <c r="O205" s="1">
        <v>392</v>
      </c>
      <c r="P205" s="1">
        <v>5</v>
      </c>
      <c r="Q205" s="1">
        <v>21</v>
      </c>
      <c r="R205" s="1">
        <v>120</v>
      </c>
      <c r="S205" s="1">
        <f>SUM(ecommerce_sales_all_data[[#This Row],[sales_month_1]:[sales_month_12]])</f>
        <v>3840</v>
      </c>
      <c r="T205" s="3">
        <f t="shared" si="46"/>
        <v>202850.78</v>
      </c>
      <c r="U205" s="3">
        <f t="shared" si="47"/>
        <v>272116.89999999997</v>
      </c>
      <c r="V205" s="3">
        <f t="shared" si="48"/>
        <v>125038.84</v>
      </c>
      <c r="W205" s="3">
        <f t="shared" si="49"/>
        <v>18890.759999999998</v>
      </c>
      <c r="X205" s="3">
        <f t="shared" si="50"/>
        <v>171815.96</v>
      </c>
      <c r="Y205" s="3">
        <f t="shared" si="51"/>
        <v>420544.3</v>
      </c>
      <c r="Z205" s="3">
        <f t="shared" si="52"/>
        <v>148427.4</v>
      </c>
      <c r="AA205" s="3">
        <f t="shared" si="53"/>
        <v>125488.62</v>
      </c>
      <c r="AB205" s="3">
        <f t="shared" si="54"/>
        <v>176313.75999999998</v>
      </c>
      <c r="AC205" s="3">
        <f t="shared" si="55"/>
        <v>2248.8999999999996</v>
      </c>
      <c r="AD205" s="3">
        <f t="shared" si="56"/>
        <v>9445.3799999999992</v>
      </c>
      <c r="AE205" s="3">
        <f t="shared" si="57"/>
        <v>53973.599999999999</v>
      </c>
      <c r="AF205" s="3">
        <f>SUM(ecommerce_sales_all_data[[#This Row],[revenue_month_1]:[revenue_month_12]])</f>
        <v>1727155.1999999995</v>
      </c>
    </row>
    <row r="206" spans="1:32" x14ac:dyDescent="0.3">
      <c r="A206">
        <v>205</v>
      </c>
      <c r="B206" t="s">
        <v>229</v>
      </c>
      <c r="C206" t="s">
        <v>21</v>
      </c>
      <c r="D206" s="2">
        <v>305.18</v>
      </c>
      <c r="E206">
        <v>3</v>
      </c>
      <c r="F206">
        <v>775</v>
      </c>
      <c r="G206" s="1">
        <v>611</v>
      </c>
      <c r="H206" s="1">
        <v>303</v>
      </c>
      <c r="I206" s="1">
        <v>685</v>
      </c>
      <c r="J206" s="1">
        <v>864</v>
      </c>
      <c r="K206" s="1">
        <v>208</v>
      </c>
      <c r="L206" s="1">
        <v>460</v>
      </c>
      <c r="M206" s="1">
        <v>215</v>
      </c>
      <c r="N206" s="1">
        <v>869</v>
      </c>
      <c r="O206" s="1">
        <v>533</v>
      </c>
      <c r="P206" s="1">
        <v>549</v>
      </c>
      <c r="Q206" s="1">
        <v>879</v>
      </c>
      <c r="R206" s="1">
        <v>764</v>
      </c>
      <c r="S206" s="1">
        <f>SUM(ecommerce_sales_all_data[[#This Row],[sales_month_1]:[sales_month_12]])</f>
        <v>6940</v>
      </c>
      <c r="T206" s="3">
        <f t="shared" si="46"/>
        <v>186464.98</v>
      </c>
      <c r="U206" s="3">
        <f t="shared" si="47"/>
        <v>92469.540000000008</v>
      </c>
      <c r="V206" s="3">
        <f t="shared" si="48"/>
        <v>209048.30000000002</v>
      </c>
      <c r="W206" s="3">
        <f t="shared" si="49"/>
        <v>263675.52000000002</v>
      </c>
      <c r="X206" s="3">
        <f t="shared" si="50"/>
        <v>63477.440000000002</v>
      </c>
      <c r="Y206" s="3">
        <f t="shared" si="51"/>
        <v>140382.80000000002</v>
      </c>
      <c r="Z206" s="3">
        <f t="shared" si="52"/>
        <v>65613.7</v>
      </c>
      <c r="AA206" s="3">
        <f t="shared" si="53"/>
        <v>265201.42</v>
      </c>
      <c r="AB206" s="3">
        <f t="shared" si="54"/>
        <v>162660.94</v>
      </c>
      <c r="AC206" s="3">
        <f t="shared" si="55"/>
        <v>167543.82</v>
      </c>
      <c r="AD206" s="3">
        <f t="shared" si="56"/>
        <v>268253.22000000003</v>
      </c>
      <c r="AE206" s="3">
        <f t="shared" si="57"/>
        <v>233157.52000000002</v>
      </c>
      <c r="AF206" s="3">
        <f>SUM(ecommerce_sales_all_data[[#This Row],[revenue_month_1]:[revenue_month_12]])</f>
        <v>2117949.2000000002</v>
      </c>
    </row>
    <row r="207" spans="1:32" x14ac:dyDescent="0.3">
      <c r="A207">
        <v>206</v>
      </c>
      <c r="B207" t="s">
        <v>230</v>
      </c>
      <c r="C207" t="s">
        <v>26</v>
      </c>
      <c r="D207" s="2">
        <v>9.5500000000000007</v>
      </c>
      <c r="E207">
        <v>4.0999999999999996</v>
      </c>
      <c r="F207">
        <v>848</v>
      </c>
      <c r="G207" s="1">
        <v>849</v>
      </c>
      <c r="H207" s="1">
        <v>502</v>
      </c>
      <c r="I207" s="1">
        <v>327</v>
      </c>
      <c r="J207" s="1">
        <v>244</v>
      </c>
      <c r="K207" s="1">
        <v>738</v>
      </c>
      <c r="L207" s="1">
        <v>662</v>
      </c>
      <c r="M207" s="1">
        <v>981</v>
      </c>
      <c r="N207" s="1">
        <v>289</v>
      </c>
      <c r="O207" s="1">
        <v>801</v>
      </c>
      <c r="P207" s="1">
        <v>680</v>
      </c>
      <c r="Q207" s="1">
        <v>988</v>
      </c>
      <c r="R207" s="1">
        <v>604</v>
      </c>
      <c r="S207" s="1">
        <f>SUM(ecommerce_sales_all_data[[#This Row],[sales_month_1]:[sales_month_12]])</f>
        <v>7665</v>
      </c>
      <c r="T207" s="3">
        <f t="shared" si="46"/>
        <v>8107.9500000000007</v>
      </c>
      <c r="U207" s="3">
        <f t="shared" si="47"/>
        <v>4794.1000000000004</v>
      </c>
      <c r="V207" s="3">
        <f t="shared" si="48"/>
        <v>3122.8500000000004</v>
      </c>
      <c r="W207" s="3">
        <f t="shared" si="49"/>
        <v>2330.2000000000003</v>
      </c>
      <c r="X207" s="3">
        <f t="shared" si="50"/>
        <v>7047.9000000000005</v>
      </c>
      <c r="Y207" s="3">
        <f t="shared" si="51"/>
        <v>6322.1</v>
      </c>
      <c r="Z207" s="3">
        <f t="shared" si="52"/>
        <v>9368.5500000000011</v>
      </c>
      <c r="AA207" s="3">
        <f t="shared" si="53"/>
        <v>2759.9500000000003</v>
      </c>
      <c r="AB207" s="3">
        <f t="shared" si="54"/>
        <v>7649.55</v>
      </c>
      <c r="AC207" s="3">
        <f t="shared" si="55"/>
        <v>6494.0000000000009</v>
      </c>
      <c r="AD207" s="3">
        <f t="shared" si="56"/>
        <v>9435.4000000000015</v>
      </c>
      <c r="AE207" s="3">
        <f t="shared" si="57"/>
        <v>5768.2000000000007</v>
      </c>
      <c r="AF207" s="3">
        <f>SUM(ecommerce_sales_all_data[[#This Row],[revenue_month_1]:[revenue_month_12]])</f>
        <v>73200.750000000015</v>
      </c>
    </row>
    <row r="208" spans="1:32" x14ac:dyDescent="0.3">
      <c r="A208">
        <v>207</v>
      </c>
      <c r="B208" t="s">
        <v>231</v>
      </c>
      <c r="C208" t="s">
        <v>48</v>
      </c>
      <c r="D208" s="2">
        <v>55.23</v>
      </c>
      <c r="E208">
        <v>3.7</v>
      </c>
      <c r="F208">
        <v>387</v>
      </c>
      <c r="G208" s="1">
        <v>910</v>
      </c>
      <c r="H208" s="1">
        <v>649</v>
      </c>
      <c r="I208" s="1">
        <v>775</v>
      </c>
      <c r="J208" s="1">
        <v>286</v>
      </c>
      <c r="K208" s="1">
        <v>431</v>
      </c>
      <c r="L208" s="1">
        <v>634</v>
      </c>
      <c r="M208" s="1">
        <v>959</v>
      </c>
      <c r="N208" s="1">
        <v>679</v>
      </c>
      <c r="O208" s="1">
        <v>109</v>
      </c>
      <c r="P208" s="1">
        <v>867</v>
      </c>
      <c r="Q208" s="1">
        <v>449</v>
      </c>
      <c r="R208" s="1">
        <v>255</v>
      </c>
      <c r="S208" s="1">
        <f>SUM(ecommerce_sales_all_data[[#This Row],[sales_month_1]:[sales_month_12]])</f>
        <v>7003</v>
      </c>
      <c r="T208" s="3">
        <f t="shared" si="46"/>
        <v>50259.299999999996</v>
      </c>
      <c r="U208" s="3">
        <f t="shared" si="47"/>
        <v>35844.269999999997</v>
      </c>
      <c r="V208" s="3">
        <f t="shared" si="48"/>
        <v>42803.25</v>
      </c>
      <c r="W208" s="3">
        <f t="shared" si="49"/>
        <v>15795.779999999999</v>
      </c>
      <c r="X208" s="3">
        <f t="shared" si="50"/>
        <v>23804.129999999997</v>
      </c>
      <c r="Y208" s="3">
        <f t="shared" si="51"/>
        <v>35015.82</v>
      </c>
      <c r="Z208" s="3">
        <f t="shared" si="52"/>
        <v>52965.57</v>
      </c>
      <c r="AA208" s="3">
        <f t="shared" si="53"/>
        <v>37501.17</v>
      </c>
      <c r="AB208" s="3">
        <f t="shared" si="54"/>
        <v>6020.07</v>
      </c>
      <c r="AC208" s="3">
        <f t="shared" si="55"/>
        <v>47884.409999999996</v>
      </c>
      <c r="AD208" s="3">
        <f t="shared" si="56"/>
        <v>24798.269999999997</v>
      </c>
      <c r="AE208" s="3">
        <f t="shared" si="57"/>
        <v>14083.65</v>
      </c>
      <c r="AF208" s="3">
        <f>SUM(ecommerce_sales_all_data[[#This Row],[revenue_month_1]:[revenue_month_12]])</f>
        <v>386775.69</v>
      </c>
    </row>
    <row r="209" spans="1:32" x14ac:dyDescent="0.3">
      <c r="A209">
        <v>208</v>
      </c>
      <c r="B209" t="s">
        <v>232</v>
      </c>
      <c r="C209" t="s">
        <v>35</v>
      </c>
      <c r="D209" s="2">
        <v>333.43</v>
      </c>
      <c r="E209">
        <v>2.8</v>
      </c>
      <c r="F209">
        <v>877</v>
      </c>
      <c r="G209" s="1">
        <v>818</v>
      </c>
      <c r="H209" s="1">
        <v>337</v>
      </c>
      <c r="I209" s="1">
        <v>314</v>
      </c>
      <c r="J209" s="1">
        <v>354</v>
      </c>
      <c r="K209" s="1">
        <v>388</v>
      </c>
      <c r="L209" s="1">
        <v>143</v>
      </c>
      <c r="M209" s="1">
        <v>491</v>
      </c>
      <c r="N209" s="1">
        <v>46</v>
      </c>
      <c r="O209" s="1">
        <v>560</v>
      </c>
      <c r="P209" s="1">
        <v>794</v>
      </c>
      <c r="Q209" s="1">
        <v>551</v>
      </c>
      <c r="R209" s="1">
        <v>765</v>
      </c>
      <c r="S209" s="1">
        <f>SUM(ecommerce_sales_all_data[[#This Row],[sales_month_1]:[sales_month_12]])</f>
        <v>5561</v>
      </c>
      <c r="T209" s="3">
        <f t="shared" si="46"/>
        <v>272745.74</v>
      </c>
      <c r="U209" s="3">
        <f t="shared" si="47"/>
        <v>112365.91</v>
      </c>
      <c r="V209" s="3">
        <f t="shared" si="48"/>
        <v>104697.02</v>
      </c>
      <c r="W209" s="3">
        <f t="shared" si="49"/>
        <v>118034.22</v>
      </c>
      <c r="X209" s="3">
        <f t="shared" si="50"/>
        <v>129370.84</v>
      </c>
      <c r="Y209" s="3">
        <f t="shared" si="51"/>
        <v>47680.49</v>
      </c>
      <c r="Z209" s="3">
        <f t="shared" si="52"/>
        <v>163714.13</v>
      </c>
      <c r="AA209" s="3">
        <f t="shared" si="53"/>
        <v>15337.78</v>
      </c>
      <c r="AB209" s="3">
        <f t="shared" si="54"/>
        <v>186720.80000000002</v>
      </c>
      <c r="AC209" s="3">
        <f t="shared" si="55"/>
        <v>264743.42</v>
      </c>
      <c r="AD209" s="3">
        <f t="shared" si="56"/>
        <v>183719.93</v>
      </c>
      <c r="AE209" s="3">
        <f t="shared" si="57"/>
        <v>255073.95</v>
      </c>
      <c r="AF209" s="3">
        <f>SUM(ecommerce_sales_all_data[[#This Row],[revenue_month_1]:[revenue_month_12]])</f>
        <v>1854204.2299999997</v>
      </c>
    </row>
    <row r="210" spans="1:32" x14ac:dyDescent="0.3">
      <c r="A210">
        <v>209</v>
      </c>
      <c r="B210" t="s">
        <v>233</v>
      </c>
      <c r="C210" t="s">
        <v>29</v>
      </c>
      <c r="D210" s="2">
        <v>7.51</v>
      </c>
      <c r="E210">
        <v>2.1</v>
      </c>
      <c r="F210">
        <v>259</v>
      </c>
      <c r="G210" s="1">
        <v>140</v>
      </c>
      <c r="H210" s="1">
        <v>549</v>
      </c>
      <c r="I210" s="1">
        <v>473</v>
      </c>
      <c r="J210" s="1">
        <v>784</v>
      </c>
      <c r="K210" s="1">
        <v>559</v>
      </c>
      <c r="L210" s="1">
        <v>989</v>
      </c>
      <c r="M210" s="1">
        <v>812</v>
      </c>
      <c r="N210" s="1">
        <v>974</v>
      </c>
      <c r="O210" s="1">
        <v>640</v>
      </c>
      <c r="P210" s="1">
        <v>202</v>
      </c>
      <c r="Q210" s="1">
        <v>549</v>
      </c>
      <c r="R210" s="1">
        <v>863</v>
      </c>
      <c r="S210" s="1">
        <f>SUM(ecommerce_sales_all_data[[#This Row],[sales_month_1]:[sales_month_12]])</f>
        <v>7534</v>
      </c>
      <c r="T210" s="3">
        <f t="shared" si="46"/>
        <v>1051.3999999999999</v>
      </c>
      <c r="U210" s="3">
        <f t="shared" si="47"/>
        <v>4122.99</v>
      </c>
      <c r="V210" s="3">
        <f t="shared" si="48"/>
        <v>3552.23</v>
      </c>
      <c r="W210" s="3">
        <f t="shared" si="49"/>
        <v>5887.84</v>
      </c>
      <c r="X210" s="3">
        <f t="shared" si="50"/>
        <v>4198.09</v>
      </c>
      <c r="Y210" s="3">
        <f t="shared" si="51"/>
        <v>7427.3899999999994</v>
      </c>
      <c r="Z210" s="3">
        <f t="shared" si="52"/>
        <v>6098.12</v>
      </c>
      <c r="AA210" s="3">
        <f t="shared" si="53"/>
        <v>7314.74</v>
      </c>
      <c r="AB210" s="3">
        <f t="shared" si="54"/>
        <v>4806.3999999999996</v>
      </c>
      <c r="AC210" s="3">
        <f t="shared" si="55"/>
        <v>1517.02</v>
      </c>
      <c r="AD210" s="3">
        <f t="shared" si="56"/>
        <v>4122.99</v>
      </c>
      <c r="AE210" s="3">
        <f t="shared" si="57"/>
        <v>6481.13</v>
      </c>
      <c r="AF210" s="3">
        <f>SUM(ecommerce_sales_all_data[[#This Row],[revenue_month_1]:[revenue_month_12]])</f>
        <v>56580.339999999989</v>
      </c>
    </row>
    <row r="211" spans="1:32" x14ac:dyDescent="0.3">
      <c r="A211">
        <v>210</v>
      </c>
      <c r="B211" t="s">
        <v>234</v>
      </c>
      <c r="C211" t="s">
        <v>48</v>
      </c>
      <c r="D211" s="2">
        <v>84.6</v>
      </c>
      <c r="E211">
        <v>5</v>
      </c>
      <c r="F211">
        <v>283</v>
      </c>
      <c r="G211" s="1">
        <v>82</v>
      </c>
      <c r="H211" s="1">
        <v>638</v>
      </c>
      <c r="I211" s="1">
        <v>110</v>
      </c>
      <c r="J211" s="1">
        <v>475</v>
      </c>
      <c r="K211" s="1">
        <v>223</v>
      </c>
      <c r="L211" s="1">
        <v>188</v>
      </c>
      <c r="M211" s="1">
        <v>921</v>
      </c>
      <c r="N211" s="1">
        <v>714</v>
      </c>
      <c r="O211" s="1">
        <v>584</v>
      </c>
      <c r="P211" s="1">
        <v>324</v>
      </c>
      <c r="Q211" s="1">
        <v>47</v>
      </c>
      <c r="R211" s="1">
        <v>799</v>
      </c>
      <c r="S211" s="1">
        <f>SUM(ecommerce_sales_all_data[[#This Row],[sales_month_1]:[sales_month_12]])</f>
        <v>5105</v>
      </c>
      <c r="T211" s="3">
        <f t="shared" si="46"/>
        <v>6937.2</v>
      </c>
      <c r="U211" s="3">
        <f t="shared" si="47"/>
        <v>53974.799999999996</v>
      </c>
      <c r="V211" s="3">
        <f t="shared" si="48"/>
        <v>9306</v>
      </c>
      <c r="W211" s="3">
        <f t="shared" si="49"/>
        <v>40185</v>
      </c>
      <c r="X211" s="3">
        <f t="shared" si="50"/>
        <v>18865.8</v>
      </c>
      <c r="Y211" s="3">
        <f t="shared" si="51"/>
        <v>15904.8</v>
      </c>
      <c r="Z211" s="3">
        <f t="shared" si="52"/>
        <v>77916.599999999991</v>
      </c>
      <c r="AA211" s="3">
        <f t="shared" si="53"/>
        <v>60404.399999999994</v>
      </c>
      <c r="AB211" s="3">
        <f t="shared" si="54"/>
        <v>49406.399999999994</v>
      </c>
      <c r="AC211" s="3">
        <f t="shared" si="55"/>
        <v>27410.399999999998</v>
      </c>
      <c r="AD211" s="3">
        <f t="shared" si="56"/>
        <v>3976.2</v>
      </c>
      <c r="AE211" s="3">
        <f t="shared" si="57"/>
        <v>67595.399999999994</v>
      </c>
      <c r="AF211" s="3">
        <f>SUM(ecommerce_sales_all_data[[#This Row],[revenue_month_1]:[revenue_month_12]])</f>
        <v>431883</v>
      </c>
    </row>
    <row r="212" spans="1:32" x14ac:dyDescent="0.3">
      <c r="A212">
        <v>211</v>
      </c>
      <c r="B212" t="s">
        <v>235</v>
      </c>
      <c r="C212" t="s">
        <v>35</v>
      </c>
      <c r="D212" s="2">
        <v>276.62</v>
      </c>
      <c r="E212">
        <v>2.7</v>
      </c>
      <c r="F212">
        <v>626</v>
      </c>
      <c r="G212" s="1">
        <v>176</v>
      </c>
      <c r="H212" s="1">
        <v>274</v>
      </c>
      <c r="I212" s="1">
        <v>698</v>
      </c>
      <c r="J212" s="1">
        <v>82</v>
      </c>
      <c r="K212" s="1">
        <v>2</v>
      </c>
      <c r="L212" s="1">
        <v>254</v>
      </c>
      <c r="M212" s="1">
        <v>844</v>
      </c>
      <c r="N212" s="1">
        <v>213</v>
      </c>
      <c r="O212" s="1">
        <v>339</v>
      </c>
      <c r="P212" s="1">
        <v>824</v>
      </c>
      <c r="Q212" s="1">
        <v>694</v>
      </c>
      <c r="R212" s="1">
        <v>308</v>
      </c>
      <c r="S212" s="1">
        <f>SUM(ecommerce_sales_all_data[[#This Row],[sales_month_1]:[sales_month_12]])</f>
        <v>4708</v>
      </c>
      <c r="T212" s="3">
        <f t="shared" si="46"/>
        <v>48685.120000000003</v>
      </c>
      <c r="U212" s="3">
        <f t="shared" si="47"/>
        <v>75793.88</v>
      </c>
      <c r="V212" s="3">
        <f t="shared" si="48"/>
        <v>193080.76</v>
      </c>
      <c r="W212" s="3">
        <f t="shared" si="49"/>
        <v>22682.84</v>
      </c>
      <c r="X212" s="3">
        <f t="shared" si="50"/>
        <v>553.24</v>
      </c>
      <c r="Y212" s="3">
        <f t="shared" si="51"/>
        <v>70261.48</v>
      </c>
      <c r="Z212" s="3">
        <f t="shared" si="52"/>
        <v>233467.28</v>
      </c>
      <c r="AA212" s="3">
        <f t="shared" si="53"/>
        <v>58920.06</v>
      </c>
      <c r="AB212" s="3">
        <f t="shared" si="54"/>
        <v>93774.180000000008</v>
      </c>
      <c r="AC212" s="3">
        <f t="shared" si="55"/>
        <v>227934.88</v>
      </c>
      <c r="AD212" s="3">
        <f t="shared" si="56"/>
        <v>191974.28</v>
      </c>
      <c r="AE212" s="3">
        <f t="shared" si="57"/>
        <v>85198.96</v>
      </c>
      <c r="AF212" s="3">
        <f>SUM(ecommerce_sales_all_data[[#This Row],[revenue_month_1]:[revenue_month_12]])</f>
        <v>1302326.96</v>
      </c>
    </row>
    <row r="213" spans="1:32" x14ac:dyDescent="0.3">
      <c r="A213">
        <v>212</v>
      </c>
      <c r="B213" t="s">
        <v>236</v>
      </c>
      <c r="C213" t="s">
        <v>35</v>
      </c>
      <c r="D213" s="2">
        <v>347.49</v>
      </c>
      <c r="E213">
        <v>2.8</v>
      </c>
      <c r="F213">
        <v>875</v>
      </c>
      <c r="G213" s="1">
        <v>197</v>
      </c>
      <c r="H213" s="1">
        <v>163</v>
      </c>
      <c r="I213" s="1">
        <v>780</v>
      </c>
      <c r="J213" s="1">
        <v>109</v>
      </c>
      <c r="K213" s="1">
        <v>371</v>
      </c>
      <c r="L213" s="1">
        <v>67</v>
      </c>
      <c r="M213" s="1">
        <v>448</v>
      </c>
      <c r="N213" s="1">
        <v>757</v>
      </c>
      <c r="O213" s="1">
        <v>564</v>
      </c>
      <c r="P213" s="1">
        <v>784</v>
      </c>
      <c r="Q213" s="1">
        <v>586</v>
      </c>
      <c r="R213" s="1">
        <v>58</v>
      </c>
      <c r="S213" s="1">
        <f>SUM(ecommerce_sales_all_data[[#This Row],[sales_month_1]:[sales_month_12]])</f>
        <v>4884</v>
      </c>
      <c r="T213" s="3">
        <f t="shared" si="46"/>
        <v>68455.53</v>
      </c>
      <c r="U213" s="3">
        <f t="shared" si="47"/>
        <v>56640.87</v>
      </c>
      <c r="V213" s="3">
        <f t="shared" si="48"/>
        <v>271042.2</v>
      </c>
      <c r="W213" s="3">
        <f t="shared" si="49"/>
        <v>37876.410000000003</v>
      </c>
      <c r="X213" s="3">
        <f t="shared" si="50"/>
        <v>128918.79000000001</v>
      </c>
      <c r="Y213" s="3">
        <f t="shared" si="51"/>
        <v>23281.83</v>
      </c>
      <c r="Z213" s="3">
        <f t="shared" si="52"/>
        <v>155675.52000000002</v>
      </c>
      <c r="AA213" s="3">
        <f t="shared" si="53"/>
        <v>263049.93</v>
      </c>
      <c r="AB213" s="3">
        <f t="shared" si="54"/>
        <v>195984.36000000002</v>
      </c>
      <c r="AC213" s="3">
        <f t="shared" si="55"/>
        <v>272432.16000000003</v>
      </c>
      <c r="AD213" s="3">
        <f t="shared" si="56"/>
        <v>203629.14</v>
      </c>
      <c r="AE213" s="3">
        <f t="shared" si="57"/>
        <v>20154.420000000002</v>
      </c>
      <c r="AF213" s="3">
        <f>SUM(ecommerce_sales_all_data[[#This Row],[revenue_month_1]:[revenue_month_12]])</f>
        <v>1697141.1600000001</v>
      </c>
    </row>
    <row r="214" spans="1:32" x14ac:dyDescent="0.3">
      <c r="A214">
        <v>213</v>
      </c>
      <c r="B214" t="s">
        <v>237</v>
      </c>
      <c r="C214" t="s">
        <v>48</v>
      </c>
      <c r="D214" s="2">
        <v>327.72</v>
      </c>
      <c r="E214">
        <v>1.7</v>
      </c>
      <c r="F214">
        <v>40</v>
      </c>
      <c r="G214" s="1">
        <v>623</v>
      </c>
      <c r="H214" s="1">
        <v>442</v>
      </c>
      <c r="I214" s="1">
        <v>934</v>
      </c>
      <c r="J214" s="1">
        <v>949</v>
      </c>
      <c r="K214" s="1">
        <v>686</v>
      </c>
      <c r="L214" s="1">
        <v>615</v>
      </c>
      <c r="M214" s="1">
        <v>535</v>
      </c>
      <c r="N214" s="1">
        <v>23</v>
      </c>
      <c r="O214" s="1">
        <v>978</v>
      </c>
      <c r="P214" s="1">
        <v>243</v>
      </c>
      <c r="Q214" s="1">
        <v>720</v>
      </c>
      <c r="R214" s="1">
        <v>68</v>
      </c>
      <c r="S214" s="1">
        <f>SUM(ecommerce_sales_all_data[[#This Row],[sales_month_1]:[sales_month_12]])</f>
        <v>6816</v>
      </c>
      <c r="T214" s="3">
        <f t="shared" si="46"/>
        <v>204169.56000000003</v>
      </c>
      <c r="U214" s="3">
        <f t="shared" si="47"/>
        <v>144852.24000000002</v>
      </c>
      <c r="V214" s="3">
        <f t="shared" si="48"/>
        <v>306090.48000000004</v>
      </c>
      <c r="W214" s="3">
        <f t="shared" si="49"/>
        <v>311006.28000000003</v>
      </c>
      <c r="X214" s="3">
        <f t="shared" si="50"/>
        <v>224815.92</v>
      </c>
      <c r="Y214" s="3">
        <f t="shared" si="51"/>
        <v>201547.80000000002</v>
      </c>
      <c r="Z214" s="3">
        <f t="shared" si="52"/>
        <v>175330.2</v>
      </c>
      <c r="AA214" s="3">
        <f t="shared" si="53"/>
        <v>7537.56</v>
      </c>
      <c r="AB214" s="3">
        <f t="shared" si="54"/>
        <v>320510.16000000003</v>
      </c>
      <c r="AC214" s="3">
        <f t="shared" si="55"/>
        <v>79635.960000000006</v>
      </c>
      <c r="AD214" s="3">
        <f t="shared" si="56"/>
        <v>235958.40000000002</v>
      </c>
      <c r="AE214" s="3">
        <f t="shared" si="57"/>
        <v>22284.960000000003</v>
      </c>
      <c r="AF214" s="3">
        <f>SUM(ecommerce_sales_all_data[[#This Row],[revenue_month_1]:[revenue_month_12]])</f>
        <v>2233739.52</v>
      </c>
    </row>
    <row r="215" spans="1:32" x14ac:dyDescent="0.3">
      <c r="A215">
        <v>214</v>
      </c>
      <c r="B215" t="s">
        <v>238</v>
      </c>
      <c r="C215" t="s">
        <v>23</v>
      </c>
      <c r="D215" s="2">
        <v>116.01</v>
      </c>
      <c r="E215">
        <v>4.2</v>
      </c>
      <c r="F215">
        <v>486</v>
      </c>
      <c r="G215" s="1">
        <v>567</v>
      </c>
      <c r="H215" s="1">
        <v>318</v>
      </c>
      <c r="I215" s="1">
        <v>228</v>
      </c>
      <c r="J215" s="1">
        <v>189</v>
      </c>
      <c r="K215" s="1">
        <v>445</v>
      </c>
      <c r="L215" s="1">
        <v>335</v>
      </c>
      <c r="M215" s="1">
        <v>510</v>
      </c>
      <c r="N215" s="1">
        <v>320</v>
      </c>
      <c r="O215" s="1">
        <v>355</v>
      </c>
      <c r="P215" s="1">
        <v>326</v>
      </c>
      <c r="Q215" s="1">
        <v>182</v>
      </c>
      <c r="R215" s="1">
        <v>445</v>
      </c>
      <c r="S215" s="1">
        <f>SUM(ecommerce_sales_all_data[[#This Row],[sales_month_1]:[sales_month_12]])</f>
        <v>4220</v>
      </c>
      <c r="T215" s="3">
        <f t="shared" si="46"/>
        <v>65777.67</v>
      </c>
      <c r="U215" s="3">
        <f t="shared" si="47"/>
        <v>36891.18</v>
      </c>
      <c r="V215" s="3">
        <f t="shared" si="48"/>
        <v>26450.280000000002</v>
      </c>
      <c r="W215" s="3">
        <f t="shared" si="49"/>
        <v>21925.89</v>
      </c>
      <c r="X215" s="3">
        <f t="shared" si="50"/>
        <v>51624.450000000004</v>
      </c>
      <c r="Y215" s="3">
        <f t="shared" si="51"/>
        <v>38863.35</v>
      </c>
      <c r="Z215" s="3">
        <f t="shared" si="52"/>
        <v>59165.100000000006</v>
      </c>
      <c r="AA215" s="3">
        <f t="shared" si="53"/>
        <v>37123.200000000004</v>
      </c>
      <c r="AB215" s="3">
        <f t="shared" si="54"/>
        <v>41183.550000000003</v>
      </c>
      <c r="AC215" s="3">
        <f t="shared" si="55"/>
        <v>37819.26</v>
      </c>
      <c r="AD215" s="3">
        <f t="shared" si="56"/>
        <v>21113.82</v>
      </c>
      <c r="AE215" s="3">
        <f t="shared" si="57"/>
        <v>51624.450000000004</v>
      </c>
      <c r="AF215" s="3">
        <f>SUM(ecommerce_sales_all_data[[#This Row],[revenue_month_1]:[revenue_month_12]])</f>
        <v>489562.20000000007</v>
      </c>
    </row>
    <row r="216" spans="1:32" x14ac:dyDescent="0.3">
      <c r="A216">
        <v>215</v>
      </c>
      <c r="B216" t="s">
        <v>239</v>
      </c>
      <c r="C216" t="s">
        <v>48</v>
      </c>
      <c r="D216" s="2">
        <v>357.53</v>
      </c>
      <c r="E216">
        <v>3.8</v>
      </c>
      <c r="F216">
        <v>929</v>
      </c>
      <c r="G216" s="1">
        <v>971</v>
      </c>
      <c r="H216" s="1">
        <v>588</v>
      </c>
      <c r="I216" s="1">
        <v>496</v>
      </c>
      <c r="J216" s="1">
        <v>982</v>
      </c>
      <c r="K216" s="1">
        <v>610</v>
      </c>
      <c r="L216" s="1">
        <v>670</v>
      </c>
      <c r="M216" s="1">
        <v>457</v>
      </c>
      <c r="N216" s="1">
        <v>273</v>
      </c>
      <c r="O216" s="1">
        <v>891</v>
      </c>
      <c r="P216" s="1">
        <v>986</v>
      </c>
      <c r="Q216" s="1">
        <v>434</v>
      </c>
      <c r="R216" s="1">
        <v>387</v>
      </c>
      <c r="S216" s="1">
        <f>SUM(ecommerce_sales_all_data[[#This Row],[sales_month_1]:[sales_month_12]])</f>
        <v>7745</v>
      </c>
      <c r="T216" s="3">
        <f t="shared" si="46"/>
        <v>347161.62999999995</v>
      </c>
      <c r="U216" s="3">
        <f t="shared" si="47"/>
        <v>210227.63999999998</v>
      </c>
      <c r="V216" s="3">
        <f t="shared" si="48"/>
        <v>177334.87999999998</v>
      </c>
      <c r="W216" s="3">
        <f t="shared" si="49"/>
        <v>351094.45999999996</v>
      </c>
      <c r="X216" s="3">
        <f t="shared" si="50"/>
        <v>218093.3</v>
      </c>
      <c r="Y216" s="3">
        <f t="shared" si="51"/>
        <v>239545.09999999998</v>
      </c>
      <c r="Z216" s="3">
        <f t="shared" si="52"/>
        <v>163391.21</v>
      </c>
      <c r="AA216" s="3">
        <f t="shared" si="53"/>
        <v>97605.689999999988</v>
      </c>
      <c r="AB216" s="3">
        <f t="shared" si="54"/>
        <v>318559.23</v>
      </c>
      <c r="AC216" s="3">
        <f t="shared" si="55"/>
        <v>352524.57999999996</v>
      </c>
      <c r="AD216" s="3">
        <f t="shared" si="56"/>
        <v>155168.01999999999</v>
      </c>
      <c r="AE216" s="3">
        <f t="shared" si="57"/>
        <v>138364.10999999999</v>
      </c>
      <c r="AF216" s="3">
        <f>SUM(ecommerce_sales_all_data[[#This Row],[revenue_month_1]:[revenue_month_12]])</f>
        <v>2769069.8499999996</v>
      </c>
    </row>
    <row r="217" spans="1:32" x14ac:dyDescent="0.3">
      <c r="A217">
        <v>216</v>
      </c>
      <c r="B217" t="s">
        <v>240</v>
      </c>
      <c r="C217" t="s">
        <v>26</v>
      </c>
      <c r="D217" s="2">
        <v>122.44</v>
      </c>
      <c r="E217">
        <v>1.9</v>
      </c>
      <c r="F217">
        <v>220</v>
      </c>
      <c r="G217" s="1">
        <v>690</v>
      </c>
      <c r="H217" s="1">
        <v>503</v>
      </c>
      <c r="I217" s="1">
        <v>155</v>
      </c>
      <c r="J217" s="1">
        <v>799</v>
      </c>
      <c r="K217" s="1">
        <v>115</v>
      </c>
      <c r="L217" s="1">
        <v>820</v>
      </c>
      <c r="M217" s="1">
        <v>546</v>
      </c>
      <c r="N217" s="1">
        <v>555</v>
      </c>
      <c r="O217" s="1">
        <v>167</v>
      </c>
      <c r="P217" s="1">
        <v>46</v>
      </c>
      <c r="Q217" s="1">
        <v>106</v>
      </c>
      <c r="R217" s="1">
        <v>85</v>
      </c>
      <c r="S217" s="1">
        <f>SUM(ecommerce_sales_all_data[[#This Row],[sales_month_1]:[sales_month_12]])</f>
        <v>4587</v>
      </c>
      <c r="T217" s="3">
        <f t="shared" si="46"/>
        <v>84483.599999999991</v>
      </c>
      <c r="U217" s="3">
        <f t="shared" si="47"/>
        <v>61587.32</v>
      </c>
      <c r="V217" s="3">
        <f t="shared" si="48"/>
        <v>18978.2</v>
      </c>
      <c r="W217" s="3">
        <f t="shared" si="49"/>
        <v>97829.56</v>
      </c>
      <c r="X217" s="3">
        <f t="shared" si="50"/>
        <v>14080.6</v>
      </c>
      <c r="Y217" s="3">
        <f t="shared" si="51"/>
        <v>100400.8</v>
      </c>
      <c r="Z217" s="3">
        <f t="shared" si="52"/>
        <v>66852.240000000005</v>
      </c>
      <c r="AA217" s="3">
        <f t="shared" si="53"/>
        <v>67954.2</v>
      </c>
      <c r="AB217" s="3">
        <f t="shared" si="54"/>
        <v>20447.48</v>
      </c>
      <c r="AC217" s="3">
        <f t="shared" si="55"/>
        <v>5632.24</v>
      </c>
      <c r="AD217" s="3">
        <f t="shared" si="56"/>
        <v>12978.64</v>
      </c>
      <c r="AE217" s="3">
        <f t="shared" si="57"/>
        <v>10407.4</v>
      </c>
      <c r="AF217" s="3">
        <f>SUM(ecommerce_sales_all_data[[#This Row],[revenue_month_1]:[revenue_month_12]])</f>
        <v>561632.28</v>
      </c>
    </row>
    <row r="218" spans="1:32" x14ac:dyDescent="0.3">
      <c r="A218">
        <v>217</v>
      </c>
      <c r="B218" t="s">
        <v>241</v>
      </c>
      <c r="C218" t="s">
        <v>35</v>
      </c>
      <c r="D218" s="2">
        <v>166.07</v>
      </c>
      <c r="E218">
        <v>1.3</v>
      </c>
      <c r="F218">
        <v>129</v>
      </c>
      <c r="G218" s="1">
        <v>420</v>
      </c>
      <c r="H218" s="1">
        <v>685</v>
      </c>
      <c r="I218" s="1">
        <v>472</v>
      </c>
      <c r="J218" s="1">
        <v>935</v>
      </c>
      <c r="K218" s="1">
        <v>269</v>
      </c>
      <c r="L218" s="1">
        <v>873</v>
      </c>
      <c r="M218" s="1">
        <v>535</v>
      </c>
      <c r="N218" s="1">
        <v>843</v>
      </c>
      <c r="O218" s="1">
        <v>556</v>
      </c>
      <c r="P218" s="1">
        <v>760</v>
      </c>
      <c r="Q218" s="1">
        <v>187</v>
      </c>
      <c r="R218" s="1">
        <v>785</v>
      </c>
      <c r="S218" s="1">
        <f>SUM(ecommerce_sales_all_data[[#This Row],[sales_month_1]:[sales_month_12]])</f>
        <v>7320</v>
      </c>
      <c r="T218" s="3">
        <f t="shared" si="46"/>
        <v>69749.399999999994</v>
      </c>
      <c r="U218" s="3">
        <f t="shared" si="47"/>
        <v>113757.95</v>
      </c>
      <c r="V218" s="3">
        <f t="shared" si="48"/>
        <v>78385.039999999994</v>
      </c>
      <c r="W218" s="3">
        <f t="shared" si="49"/>
        <v>155275.44999999998</v>
      </c>
      <c r="X218" s="3">
        <f t="shared" si="50"/>
        <v>44672.83</v>
      </c>
      <c r="Y218" s="3">
        <f t="shared" si="51"/>
        <v>144979.10999999999</v>
      </c>
      <c r="Z218" s="3">
        <f t="shared" si="52"/>
        <v>88847.45</v>
      </c>
      <c r="AA218" s="3">
        <f t="shared" si="53"/>
        <v>139997.00999999998</v>
      </c>
      <c r="AB218" s="3">
        <f t="shared" si="54"/>
        <v>92334.92</v>
      </c>
      <c r="AC218" s="3">
        <f t="shared" si="55"/>
        <v>126213.2</v>
      </c>
      <c r="AD218" s="3">
        <f t="shared" si="56"/>
        <v>31055.09</v>
      </c>
      <c r="AE218" s="3">
        <f t="shared" si="57"/>
        <v>130364.95</v>
      </c>
      <c r="AF218" s="3">
        <f>SUM(ecommerce_sales_all_data[[#This Row],[revenue_month_1]:[revenue_month_12]])</f>
        <v>1215632.4000000001</v>
      </c>
    </row>
    <row r="219" spans="1:32" x14ac:dyDescent="0.3">
      <c r="A219">
        <v>218</v>
      </c>
      <c r="B219" t="s">
        <v>242</v>
      </c>
      <c r="C219" t="s">
        <v>29</v>
      </c>
      <c r="D219" s="2">
        <v>374.51</v>
      </c>
      <c r="E219">
        <v>3.7</v>
      </c>
      <c r="F219">
        <v>520</v>
      </c>
      <c r="G219" s="1">
        <v>400</v>
      </c>
      <c r="H219" s="1">
        <v>386</v>
      </c>
      <c r="I219" s="1">
        <v>700</v>
      </c>
      <c r="J219" s="1">
        <v>908</v>
      </c>
      <c r="K219" s="1">
        <v>446</v>
      </c>
      <c r="L219" s="1">
        <v>408</v>
      </c>
      <c r="M219" s="1">
        <v>539</v>
      </c>
      <c r="N219" s="1">
        <v>312</v>
      </c>
      <c r="O219" s="1">
        <v>451</v>
      </c>
      <c r="P219" s="1">
        <v>590</v>
      </c>
      <c r="Q219" s="1">
        <v>775</v>
      </c>
      <c r="R219" s="1">
        <v>226</v>
      </c>
      <c r="S219" s="1">
        <f>SUM(ecommerce_sales_all_data[[#This Row],[sales_month_1]:[sales_month_12]])</f>
        <v>6141</v>
      </c>
      <c r="T219" s="3">
        <f t="shared" si="46"/>
        <v>149804</v>
      </c>
      <c r="U219" s="3">
        <f t="shared" si="47"/>
        <v>144560.85999999999</v>
      </c>
      <c r="V219" s="3">
        <f t="shared" si="48"/>
        <v>262157</v>
      </c>
      <c r="W219" s="3">
        <f t="shared" si="49"/>
        <v>340055.08</v>
      </c>
      <c r="X219" s="3">
        <f t="shared" si="50"/>
        <v>167031.46</v>
      </c>
      <c r="Y219" s="3">
        <f t="shared" si="51"/>
        <v>152800.07999999999</v>
      </c>
      <c r="Z219" s="3">
        <f t="shared" si="52"/>
        <v>201860.88999999998</v>
      </c>
      <c r="AA219" s="3">
        <f t="shared" si="53"/>
        <v>116847.12</v>
      </c>
      <c r="AB219" s="3">
        <f t="shared" si="54"/>
        <v>168904.01</v>
      </c>
      <c r="AC219" s="3">
        <f t="shared" si="55"/>
        <v>220960.9</v>
      </c>
      <c r="AD219" s="3">
        <f t="shared" si="56"/>
        <v>290245.25</v>
      </c>
      <c r="AE219" s="3">
        <f t="shared" si="57"/>
        <v>84639.26</v>
      </c>
      <c r="AF219" s="3">
        <f>SUM(ecommerce_sales_all_data[[#This Row],[revenue_month_1]:[revenue_month_12]])</f>
        <v>2299865.9099999992</v>
      </c>
    </row>
    <row r="220" spans="1:32" x14ac:dyDescent="0.3">
      <c r="A220">
        <v>219</v>
      </c>
      <c r="B220" t="s">
        <v>243</v>
      </c>
      <c r="C220" t="s">
        <v>26</v>
      </c>
      <c r="D220" s="2">
        <v>326.57</v>
      </c>
      <c r="E220">
        <v>3.6</v>
      </c>
      <c r="F220">
        <v>613</v>
      </c>
      <c r="G220" s="1">
        <v>697</v>
      </c>
      <c r="H220" s="1">
        <v>969</v>
      </c>
      <c r="I220" s="1">
        <v>271</v>
      </c>
      <c r="J220" s="1">
        <v>250</v>
      </c>
      <c r="K220" s="1">
        <v>367</v>
      </c>
      <c r="L220" s="1">
        <v>299</v>
      </c>
      <c r="M220" s="1">
        <v>483</v>
      </c>
      <c r="N220" s="1">
        <v>362</v>
      </c>
      <c r="O220" s="1">
        <v>904</v>
      </c>
      <c r="P220" s="1">
        <v>621</v>
      </c>
      <c r="Q220" s="1">
        <v>85</v>
      </c>
      <c r="R220" s="1">
        <v>592</v>
      </c>
      <c r="S220" s="1">
        <f>SUM(ecommerce_sales_all_data[[#This Row],[sales_month_1]:[sales_month_12]])</f>
        <v>5900</v>
      </c>
      <c r="T220" s="3">
        <f t="shared" si="46"/>
        <v>227619.29</v>
      </c>
      <c r="U220" s="3">
        <f t="shared" si="47"/>
        <v>316446.33</v>
      </c>
      <c r="V220" s="3">
        <f t="shared" si="48"/>
        <v>88500.47</v>
      </c>
      <c r="W220" s="3">
        <f t="shared" si="49"/>
        <v>81642.5</v>
      </c>
      <c r="X220" s="3">
        <f t="shared" si="50"/>
        <v>119851.19</v>
      </c>
      <c r="Y220" s="3">
        <f t="shared" si="51"/>
        <v>97644.43</v>
      </c>
      <c r="Z220" s="3">
        <f t="shared" si="52"/>
        <v>157733.31</v>
      </c>
      <c r="AA220" s="3">
        <f t="shared" si="53"/>
        <v>118218.34</v>
      </c>
      <c r="AB220" s="3">
        <f t="shared" si="54"/>
        <v>295219.27999999997</v>
      </c>
      <c r="AC220" s="3">
        <f t="shared" si="55"/>
        <v>202799.97</v>
      </c>
      <c r="AD220" s="3">
        <f t="shared" si="56"/>
        <v>27758.45</v>
      </c>
      <c r="AE220" s="3">
        <f t="shared" si="57"/>
        <v>193329.44</v>
      </c>
      <c r="AF220" s="3">
        <f>SUM(ecommerce_sales_all_data[[#This Row],[revenue_month_1]:[revenue_month_12]])</f>
        <v>1926763</v>
      </c>
    </row>
    <row r="221" spans="1:32" x14ac:dyDescent="0.3">
      <c r="A221">
        <v>220</v>
      </c>
      <c r="B221" t="s">
        <v>244</v>
      </c>
      <c r="C221" t="s">
        <v>19</v>
      </c>
      <c r="D221" s="2">
        <v>425.37</v>
      </c>
      <c r="E221">
        <v>2.1</v>
      </c>
      <c r="F221">
        <v>928</v>
      </c>
      <c r="G221" s="1">
        <v>470</v>
      </c>
      <c r="H221" s="1">
        <v>869</v>
      </c>
      <c r="I221" s="1">
        <v>886</v>
      </c>
      <c r="J221" s="1">
        <v>723</v>
      </c>
      <c r="K221" s="1">
        <v>252</v>
      </c>
      <c r="L221" s="1">
        <v>907</v>
      </c>
      <c r="M221" s="1">
        <v>975</v>
      </c>
      <c r="N221" s="1">
        <v>667</v>
      </c>
      <c r="O221" s="1">
        <v>104</v>
      </c>
      <c r="P221" s="1">
        <v>12</v>
      </c>
      <c r="Q221" s="1">
        <v>835</v>
      </c>
      <c r="R221" s="1">
        <v>625</v>
      </c>
      <c r="S221" s="1">
        <f>SUM(ecommerce_sales_all_data[[#This Row],[sales_month_1]:[sales_month_12]])</f>
        <v>7325</v>
      </c>
      <c r="T221" s="3">
        <f t="shared" si="46"/>
        <v>199923.9</v>
      </c>
      <c r="U221" s="3">
        <f t="shared" si="47"/>
        <v>369646.53</v>
      </c>
      <c r="V221" s="3">
        <f t="shared" si="48"/>
        <v>376877.82</v>
      </c>
      <c r="W221" s="3">
        <f t="shared" si="49"/>
        <v>307542.51</v>
      </c>
      <c r="X221" s="3">
        <f t="shared" si="50"/>
        <v>107193.24</v>
      </c>
      <c r="Y221" s="3">
        <f t="shared" si="51"/>
        <v>385810.59</v>
      </c>
      <c r="Z221" s="3">
        <f t="shared" si="52"/>
        <v>414735.75</v>
      </c>
      <c r="AA221" s="3">
        <f t="shared" si="53"/>
        <v>283721.78999999998</v>
      </c>
      <c r="AB221" s="3">
        <f t="shared" si="54"/>
        <v>44238.48</v>
      </c>
      <c r="AC221" s="3">
        <f t="shared" si="55"/>
        <v>5104.4400000000005</v>
      </c>
      <c r="AD221" s="3">
        <f t="shared" si="56"/>
        <v>355183.95</v>
      </c>
      <c r="AE221" s="3">
        <f t="shared" si="57"/>
        <v>265856.25</v>
      </c>
      <c r="AF221" s="3">
        <f>SUM(ecommerce_sales_all_data[[#This Row],[revenue_month_1]:[revenue_month_12]])</f>
        <v>3115835.25</v>
      </c>
    </row>
    <row r="222" spans="1:32" x14ac:dyDescent="0.3">
      <c r="A222">
        <v>221</v>
      </c>
      <c r="B222" t="s">
        <v>245</v>
      </c>
      <c r="C222" t="s">
        <v>21</v>
      </c>
      <c r="D222" s="2">
        <v>330.52</v>
      </c>
      <c r="E222">
        <v>4.8</v>
      </c>
      <c r="F222">
        <v>892</v>
      </c>
      <c r="G222" s="1">
        <v>217</v>
      </c>
      <c r="H222" s="1">
        <v>832</v>
      </c>
      <c r="I222" s="1">
        <v>1</v>
      </c>
      <c r="J222" s="1">
        <v>290</v>
      </c>
      <c r="K222" s="1">
        <v>316</v>
      </c>
      <c r="L222" s="1">
        <v>601</v>
      </c>
      <c r="M222" s="1">
        <v>999</v>
      </c>
      <c r="N222" s="1">
        <v>999</v>
      </c>
      <c r="O222" s="1">
        <v>149</v>
      </c>
      <c r="P222" s="1">
        <v>906</v>
      </c>
      <c r="Q222" s="1">
        <v>842</v>
      </c>
      <c r="R222" s="1">
        <v>183</v>
      </c>
      <c r="S222" s="1">
        <f>SUM(ecommerce_sales_all_data[[#This Row],[sales_month_1]:[sales_month_12]])</f>
        <v>6335</v>
      </c>
      <c r="T222" s="3">
        <f t="shared" si="46"/>
        <v>71722.84</v>
      </c>
      <c r="U222" s="3">
        <f t="shared" si="47"/>
        <v>274992.64000000001</v>
      </c>
      <c r="V222" s="3">
        <f t="shared" si="48"/>
        <v>330.52</v>
      </c>
      <c r="W222" s="3">
        <f t="shared" si="49"/>
        <v>95850.799999999988</v>
      </c>
      <c r="X222" s="3">
        <f t="shared" si="50"/>
        <v>104444.31999999999</v>
      </c>
      <c r="Y222" s="3">
        <f t="shared" si="51"/>
        <v>198642.52</v>
      </c>
      <c r="Z222" s="3">
        <f t="shared" si="52"/>
        <v>330189.48</v>
      </c>
      <c r="AA222" s="3">
        <f t="shared" si="53"/>
        <v>330189.48</v>
      </c>
      <c r="AB222" s="3">
        <f t="shared" si="54"/>
        <v>49247.479999999996</v>
      </c>
      <c r="AC222" s="3">
        <f t="shared" si="55"/>
        <v>299451.12</v>
      </c>
      <c r="AD222" s="3">
        <f t="shared" si="56"/>
        <v>278297.83999999997</v>
      </c>
      <c r="AE222" s="3">
        <f t="shared" si="57"/>
        <v>60485.159999999996</v>
      </c>
      <c r="AF222" s="3">
        <f>SUM(ecommerce_sales_all_data[[#This Row],[revenue_month_1]:[revenue_month_12]])</f>
        <v>2093844.2</v>
      </c>
    </row>
    <row r="223" spans="1:32" x14ac:dyDescent="0.3">
      <c r="A223">
        <v>222</v>
      </c>
      <c r="B223" t="s">
        <v>246</v>
      </c>
      <c r="C223" t="s">
        <v>48</v>
      </c>
      <c r="D223" s="2">
        <v>286.31</v>
      </c>
      <c r="E223">
        <v>1.6</v>
      </c>
      <c r="F223">
        <v>688</v>
      </c>
      <c r="G223" s="1">
        <v>924</v>
      </c>
      <c r="H223" s="1">
        <v>887</v>
      </c>
      <c r="I223" s="1">
        <v>757</v>
      </c>
      <c r="J223" s="1">
        <v>644</v>
      </c>
      <c r="K223" s="1">
        <v>414</v>
      </c>
      <c r="L223" s="1">
        <v>356</v>
      </c>
      <c r="M223" s="1">
        <v>15</v>
      </c>
      <c r="N223" s="1">
        <v>379</v>
      </c>
      <c r="O223" s="1">
        <v>145</v>
      </c>
      <c r="P223" s="1">
        <v>379</v>
      </c>
      <c r="Q223" s="1">
        <v>455</v>
      </c>
      <c r="R223" s="1">
        <v>791</v>
      </c>
      <c r="S223" s="1">
        <f>SUM(ecommerce_sales_all_data[[#This Row],[sales_month_1]:[sales_month_12]])</f>
        <v>6146</v>
      </c>
      <c r="T223" s="3">
        <f t="shared" si="46"/>
        <v>264550.44</v>
      </c>
      <c r="U223" s="3">
        <f t="shared" si="47"/>
        <v>253956.97</v>
      </c>
      <c r="V223" s="3">
        <f t="shared" si="48"/>
        <v>216736.67</v>
      </c>
      <c r="W223" s="3">
        <f t="shared" si="49"/>
        <v>184383.64</v>
      </c>
      <c r="X223" s="3">
        <f t="shared" si="50"/>
        <v>118532.34</v>
      </c>
      <c r="Y223" s="3">
        <f t="shared" si="51"/>
        <v>101926.36</v>
      </c>
      <c r="Z223" s="3">
        <f t="shared" si="52"/>
        <v>4294.6499999999996</v>
      </c>
      <c r="AA223" s="3">
        <f t="shared" si="53"/>
        <v>108511.49</v>
      </c>
      <c r="AB223" s="3">
        <f t="shared" si="54"/>
        <v>41514.949999999997</v>
      </c>
      <c r="AC223" s="3">
        <f t="shared" si="55"/>
        <v>108511.49</v>
      </c>
      <c r="AD223" s="3">
        <f t="shared" si="56"/>
        <v>130271.05</v>
      </c>
      <c r="AE223" s="3">
        <f t="shared" si="57"/>
        <v>226471.21</v>
      </c>
      <c r="AF223" s="3">
        <f>SUM(ecommerce_sales_all_data[[#This Row],[revenue_month_1]:[revenue_month_12]])</f>
        <v>1759661.26</v>
      </c>
    </row>
    <row r="224" spans="1:32" x14ac:dyDescent="0.3">
      <c r="A224">
        <v>223</v>
      </c>
      <c r="B224" t="s">
        <v>247</v>
      </c>
      <c r="C224" t="s">
        <v>23</v>
      </c>
      <c r="D224" s="2">
        <v>51.37</v>
      </c>
      <c r="E224">
        <v>2.7</v>
      </c>
      <c r="F224">
        <v>619</v>
      </c>
      <c r="G224" s="1">
        <v>928</v>
      </c>
      <c r="H224" s="1">
        <v>602</v>
      </c>
      <c r="I224" s="1">
        <v>721</v>
      </c>
      <c r="J224" s="1">
        <v>200</v>
      </c>
      <c r="K224" s="1">
        <v>94</v>
      </c>
      <c r="L224" s="1">
        <v>255</v>
      </c>
      <c r="M224" s="1">
        <v>570</v>
      </c>
      <c r="N224" s="1">
        <v>710</v>
      </c>
      <c r="O224" s="1">
        <v>715</v>
      </c>
      <c r="P224" s="1">
        <v>364</v>
      </c>
      <c r="Q224" s="1">
        <v>136</v>
      </c>
      <c r="R224" s="1">
        <v>321</v>
      </c>
      <c r="S224" s="1">
        <f>SUM(ecommerce_sales_all_data[[#This Row],[sales_month_1]:[sales_month_12]])</f>
        <v>5616</v>
      </c>
      <c r="T224" s="3">
        <f t="shared" si="46"/>
        <v>47671.360000000001</v>
      </c>
      <c r="U224" s="3">
        <f t="shared" si="47"/>
        <v>30924.739999999998</v>
      </c>
      <c r="V224" s="3">
        <f t="shared" si="48"/>
        <v>37037.769999999997</v>
      </c>
      <c r="W224" s="3">
        <f t="shared" si="49"/>
        <v>10274</v>
      </c>
      <c r="X224" s="3">
        <f t="shared" si="50"/>
        <v>4828.78</v>
      </c>
      <c r="Y224" s="3">
        <f t="shared" si="51"/>
        <v>13099.349999999999</v>
      </c>
      <c r="Z224" s="3">
        <f t="shared" si="52"/>
        <v>29280.899999999998</v>
      </c>
      <c r="AA224" s="3">
        <f t="shared" si="53"/>
        <v>36472.699999999997</v>
      </c>
      <c r="AB224" s="3">
        <f t="shared" si="54"/>
        <v>36729.549999999996</v>
      </c>
      <c r="AC224" s="3">
        <f t="shared" si="55"/>
        <v>18698.68</v>
      </c>
      <c r="AD224" s="3">
        <f t="shared" si="56"/>
        <v>6986.32</v>
      </c>
      <c r="AE224" s="3">
        <f t="shared" si="57"/>
        <v>16489.77</v>
      </c>
      <c r="AF224" s="3">
        <f>SUM(ecommerce_sales_all_data[[#This Row],[revenue_month_1]:[revenue_month_12]])</f>
        <v>288493.92</v>
      </c>
    </row>
    <row r="225" spans="1:32" x14ac:dyDescent="0.3">
      <c r="A225">
        <v>224</v>
      </c>
      <c r="B225" t="s">
        <v>248</v>
      </c>
      <c r="C225" t="s">
        <v>29</v>
      </c>
      <c r="D225" s="2">
        <v>187.02</v>
      </c>
      <c r="E225">
        <v>4.8</v>
      </c>
      <c r="F225">
        <v>613</v>
      </c>
      <c r="G225" s="1">
        <v>827</v>
      </c>
      <c r="H225" s="1">
        <v>749</v>
      </c>
      <c r="I225" s="1">
        <v>510</v>
      </c>
      <c r="J225" s="1">
        <v>796</v>
      </c>
      <c r="K225" s="1">
        <v>784</v>
      </c>
      <c r="L225" s="1">
        <v>352</v>
      </c>
      <c r="M225" s="1">
        <v>976</v>
      </c>
      <c r="N225" s="1">
        <v>918</v>
      </c>
      <c r="O225" s="1">
        <v>873</v>
      </c>
      <c r="P225" s="1">
        <v>601</v>
      </c>
      <c r="Q225" s="1">
        <v>857</v>
      </c>
      <c r="R225" s="1">
        <v>908</v>
      </c>
      <c r="S225" s="1">
        <f>SUM(ecommerce_sales_all_data[[#This Row],[sales_month_1]:[sales_month_12]])</f>
        <v>9151</v>
      </c>
      <c r="T225" s="3">
        <f t="shared" si="46"/>
        <v>154665.54</v>
      </c>
      <c r="U225" s="3">
        <f t="shared" si="47"/>
        <v>140077.98000000001</v>
      </c>
      <c r="V225" s="3">
        <f t="shared" si="48"/>
        <v>95380.200000000012</v>
      </c>
      <c r="W225" s="3">
        <f t="shared" si="49"/>
        <v>148867.92000000001</v>
      </c>
      <c r="X225" s="3">
        <f t="shared" si="50"/>
        <v>146623.68000000002</v>
      </c>
      <c r="Y225" s="3">
        <f t="shared" si="51"/>
        <v>65831.040000000008</v>
      </c>
      <c r="Z225" s="3">
        <f t="shared" si="52"/>
        <v>182531.52000000002</v>
      </c>
      <c r="AA225" s="3">
        <f t="shared" si="53"/>
        <v>171684.36000000002</v>
      </c>
      <c r="AB225" s="3">
        <f t="shared" si="54"/>
        <v>163268.46000000002</v>
      </c>
      <c r="AC225" s="3">
        <f t="shared" si="55"/>
        <v>112399.02</v>
      </c>
      <c r="AD225" s="3">
        <f t="shared" si="56"/>
        <v>160276.14000000001</v>
      </c>
      <c r="AE225" s="3">
        <f t="shared" si="57"/>
        <v>169814.16</v>
      </c>
      <c r="AF225" s="3">
        <f>SUM(ecommerce_sales_all_data[[#This Row],[revenue_month_1]:[revenue_month_12]])</f>
        <v>1711420.0200000003</v>
      </c>
    </row>
    <row r="226" spans="1:32" x14ac:dyDescent="0.3">
      <c r="A226">
        <v>225</v>
      </c>
      <c r="B226" t="s">
        <v>249</v>
      </c>
      <c r="C226" t="s">
        <v>23</v>
      </c>
      <c r="D226" s="2">
        <v>136.28</v>
      </c>
      <c r="E226">
        <v>2.7</v>
      </c>
      <c r="F226">
        <v>260</v>
      </c>
      <c r="G226" s="1">
        <v>986</v>
      </c>
      <c r="H226" s="1">
        <v>775</v>
      </c>
      <c r="I226" s="1">
        <v>912</v>
      </c>
      <c r="J226" s="1">
        <v>325</v>
      </c>
      <c r="K226" s="1">
        <v>891</v>
      </c>
      <c r="L226" s="1">
        <v>731</v>
      </c>
      <c r="M226" s="1">
        <v>242</v>
      </c>
      <c r="N226" s="1">
        <v>980</v>
      </c>
      <c r="O226" s="1">
        <v>298</v>
      </c>
      <c r="P226" s="1">
        <v>341</v>
      </c>
      <c r="Q226" s="1">
        <v>897</v>
      </c>
      <c r="R226" s="1">
        <v>317</v>
      </c>
      <c r="S226" s="1">
        <f>SUM(ecommerce_sales_all_data[[#This Row],[sales_month_1]:[sales_month_12]])</f>
        <v>7695</v>
      </c>
      <c r="T226" s="3">
        <f t="shared" si="46"/>
        <v>134372.07999999999</v>
      </c>
      <c r="U226" s="3">
        <f t="shared" si="47"/>
        <v>105617</v>
      </c>
      <c r="V226" s="3">
        <f t="shared" si="48"/>
        <v>124287.36</v>
      </c>
      <c r="W226" s="3">
        <f t="shared" si="49"/>
        <v>44291</v>
      </c>
      <c r="X226" s="3">
        <f t="shared" si="50"/>
        <v>121425.48</v>
      </c>
      <c r="Y226" s="3">
        <f t="shared" si="51"/>
        <v>99620.680000000008</v>
      </c>
      <c r="Z226" s="3">
        <f t="shared" si="52"/>
        <v>32979.760000000002</v>
      </c>
      <c r="AA226" s="3">
        <f t="shared" si="53"/>
        <v>133554.4</v>
      </c>
      <c r="AB226" s="3">
        <f t="shared" si="54"/>
        <v>40611.440000000002</v>
      </c>
      <c r="AC226" s="3">
        <f t="shared" si="55"/>
        <v>46471.48</v>
      </c>
      <c r="AD226" s="3">
        <f t="shared" si="56"/>
        <v>122243.16</v>
      </c>
      <c r="AE226" s="3">
        <f t="shared" si="57"/>
        <v>43200.76</v>
      </c>
      <c r="AF226" s="3">
        <f>SUM(ecommerce_sales_all_data[[#This Row],[revenue_month_1]:[revenue_month_12]])</f>
        <v>1048674.6000000001</v>
      </c>
    </row>
    <row r="227" spans="1:32" x14ac:dyDescent="0.3">
      <c r="A227">
        <v>226</v>
      </c>
      <c r="B227" t="s">
        <v>250</v>
      </c>
      <c r="C227" t="s">
        <v>23</v>
      </c>
      <c r="D227" s="2">
        <v>125.77</v>
      </c>
      <c r="E227">
        <v>3.6</v>
      </c>
      <c r="F227">
        <v>990</v>
      </c>
      <c r="G227" s="1">
        <v>728</v>
      </c>
      <c r="H227" s="1">
        <v>690</v>
      </c>
      <c r="I227" s="1">
        <v>285</v>
      </c>
      <c r="J227" s="1">
        <v>510</v>
      </c>
      <c r="K227" s="1">
        <v>23</v>
      </c>
      <c r="L227" s="1">
        <v>520</v>
      </c>
      <c r="M227" s="1">
        <v>949</v>
      </c>
      <c r="N227" s="1">
        <v>673</v>
      </c>
      <c r="O227" s="1">
        <v>166</v>
      </c>
      <c r="P227" s="1">
        <v>859</v>
      </c>
      <c r="Q227" s="1">
        <v>335</v>
      </c>
      <c r="R227" s="1">
        <v>565</v>
      </c>
      <c r="S227" s="1">
        <f>SUM(ecommerce_sales_all_data[[#This Row],[sales_month_1]:[sales_month_12]])</f>
        <v>6303</v>
      </c>
      <c r="T227" s="3">
        <f t="shared" si="46"/>
        <v>91560.56</v>
      </c>
      <c r="U227" s="3">
        <f t="shared" si="47"/>
        <v>86781.3</v>
      </c>
      <c r="V227" s="3">
        <f t="shared" si="48"/>
        <v>35844.449999999997</v>
      </c>
      <c r="W227" s="3">
        <f t="shared" si="49"/>
        <v>64142.7</v>
      </c>
      <c r="X227" s="3">
        <f t="shared" si="50"/>
        <v>2892.71</v>
      </c>
      <c r="Y227" s="3">
        <f t="shared" si="51"/>
        <v>65400.4</v>
      </c>
      <c r="Z227" s="3">
        <f t="shared" si="52"/>
        <v>119355.73</v>
      </c>
      <c r="AA227" s="3">
        <f t="shared" si="53"/>
        <v>84643.209999999992</v>
      </c>
      <c r="AB227" s="3">
        <f t="shared" si="54"/>
        <v>20877.82</v>
      </c>
      <c r="AC227" s="3">
        <f t="shared" si="55"/>
        <v>108036.43</v>
      </c>
      <c r="AD227" s="3">
        <f t="shared" si="56"/>
        <v>42132.95</v>
      </c>
      <c r="AE227" s="3">
        <f t="shared" si="57"/>
        <v>71060.05</v>
      </c>
      <c r="AF227" s="3">
        <f>SUM(ecommerce_sales_all_data[[#This Row],[revenue_month_1]:[revenue_month_12]])</f>
        <v>792728.31</v>
      </c>
    </row>
    <row r="228" spans="1:32" x14ac:dyDescent="0.3">
      <c r="A228">
        <v>227</v>
      </c>
      <c r="B228" t="s">
        <v>251</v>
      </c>
      <c r="C228" t="s">
        <v>23</v>
      </c>
      <c r="D228" s="2">
        <v>486.64</v>
      </c>
      <c r="E228">
        <v>2.6</v>
      </c>
      <c r="F228">
        <v>966</v>
      </c>
      <c r="G228" s="1">
        <v>631</v>
      </c>
      <c r="H228" s="1">
        <v>493</v>
      </c>
      <c r="I228" s="1">
        <v>870</v>
      </c>
      <c r="J228" s="1">
        <v>408</v>
      </c>
      <c r="K228" s="1">
        <v>627</v>
      </c>
      <c r="L228" s="1">
        <v>523</v>
      </c>
      <c r="M228" s="1">
        <v>206</v>
      </c>
      <c r="N228" s="1">
        <v>906</v>
      </c>
      <c r="O228" s="1">
        <v>712</v>
      </c>
      <c r="P228" s="1">
        <v>791</v>
      </c>
      <c r="Q228" s="1">
        <v>606</v>
      </c>
      <c r="R228" s="1">
        <v>398</v>
      </c>
      <c r="S228" s="1">
        <f>SUM(ecommerce_sales_all_data[[#This Row],[sales_month_1]:[sales_month_12]])</f>
        <v>7171</v>
      </c>
      <c r="T228" s="3">
        <f t="shared" si="46"/>
        <v>307069.83999999997</v>
      </c>
      <c r="U228" s="3">
        <f t="shared" si="47"/>
        <v>239913.52</v>
      </c>
      <c r="V228" s="3">
        <f t="shared" si="48"/>
        <v>423376.8</v>
      </c>
      <c r="W228" s="3">
        <f t="shared" si="49"/>
        <v>198549.12</v>
      </c>
      <c r="X228" s="3">
        <f t="shared" si="50"/>
        <v>305123.27999999997</v>
      </c>
      <c r="Y228" s="3">
        <f t="shared" si="51"/>
        <v>254512.72</v>
      </c>
      <c r="Z228" s="3">
        <f t="shared" si="52"/>
        <v>100247.84</v>
      </c>
      <c r="AA228" s="3">
        <f t="shared" si="53"/>
        <v>440895.83999999997</v>
      </c>
      <c r="AB228" s="3">
        <f t="shared" si="54"/>
        <v>346487.68</v>
      </c>
      <c r="AC228" s="3">
        <f t="shared" si="55"/>
        <v>384932.24</v>
      </c>
      <c r="AD228" s="3">
        <f t="shared" si="56"/>
        <v>294903.83999999997</v>
      </c>
      <c r="AE228" s="3">
        <f t="shared" si="57"/>
        <v>193682.72</v>
      </c>
      <c r="AF228" s="3">
        <f>SUM(ecommerce_sales_all_data[[#This Row],[revenue_month_1]:[revenue_month_12]])</f>
        <v>3489695.44</v>
      </c>
    </row>
    <row r="229" spans="1:32" x14ac:dyDescent="0.3">
      <c r="A229">
        <v>228</v>
      </c>
      <c r="B229" t="s">
        <v>252</v>
      </c>
      <c r="C229" t="s">
        <v>48</v>
      </c>
      <c r="D229" s="2">
        <v>199.58</v>
      </c>
      <c r="E229">
        <v>2.1</v>
      </c>
      <c r="F229">
        <v>366</v>
      </c>
      <c r="G229" s="1">
        <v>950</v>
      </c>
      <c r="H229" s="1">
        <v>489</v>
      </c>
      <c r="I229" s="1">
        <v>12</v>
      </c>
      <c r="J229" s="1">
        <v>606</v>
      </c>
      <c r="K229" s="1">
        <v>662</v>
      </c>
      <c r="L229" s="1">
        <v>836</v>
      </c>
      <c r="M229" s="1">
        <v>911</v>
      </c>
      <c r="N229" s="1">
        <v>469</v>
      </c>
      <c r="O229" s="1">
        <v>645</v>
      </c>
      <c r="P229" s="1">
        <v>220</v>
      </c>
      <c r="Q229" s="1">
        <v>837</v>
      </c>
      <c r="R229" s="1">
        <v>708</v>
      </c>
      <c r="S229" s="1">
        <f>SUM(ecommerce_sales_all_data[[#This Row],[sales_month_1]:[sales_month_12]])</f>
        <v>7345</v>
      </c>
      <c r="T229" s="3">
        <f t="shared" si="46"/>
        <v>189601</v>
      </c>
      <c r="U229" s="3">
        <f t="shared" si="47"/>
        <v>97594.62000000001</v>
      </c>
      <c r="V229" s="3">
        <f t="shared" si="48"/>
        <v>2394.96</v>
      </c>
      <c r="W229" s="3">
        <f t="shared" si="49"/>
        <v>120945.48000000001</v>
      </c>
      <c r="X229" s="3">
        <f t="shared" si="50"/>
        <v>132121.96000000002</v>
      </c>
      <c r="Y229" s="3">
        <f t="shared" si="51"/>
        <v>166848.88</v>
      </c>
      <c r="Z229" s="3">
        <f t="shared" si="52"/>
        <v>181817.38</v>
      </c>
      <c r="AA229" s="3">
        <f t="shared" si="53"/>
        <v>93603.02</v>
      </c>
      <c r="AB229" s="3">
        <f t="shared" si="54"/>
        <v>128729.1</v>
      </c>
      <c r="AC229" s="3">
        <f t="shared" si="55"/>
        <v>43907.600000000006</v>
      </c>
      <c r="AD229" s="3">
        <f t="shared" si="56"/>
        <v>167048.46000000002</v>
      </c>
      <c r="AE229" s="3">
        <f t="shared" si="57"/>
        <v>141302.64000000001</v>
      </c>
      <c r="AF229" s="3">
        <f>SUM(ecommerce_sales_all_data[[#This Row],[revenue_month_1]:[revenue_month_12]])</f>
        <v>1465915.1</v>
      </c>
    </row>
    <row r="230" spans="1:32" x14ac:dyDescent="0.3">
      <c r="A230">
        <v>229</v>
      </c>
      <c r="B230" t="s">
        <v>253</v>
      </c>
      <c r="C230" t="s">
        <v>29</v>
      </c>
      <c r="D230" s="2">
        <v>446.56</v>
      </c>
      <c r="E230">
        <v>4.9000000000000004</v>
      </c>
      <c r="F230">
        <v>758</v>
      </c>
      <c r="G230" s="1">
        <v>905</v>
      </c>
      <c r="H230" s="1">
        <v>720</v>
      </c>
      <c r="I230" s="1">
        <v>607</v>
      </c>
      <c r="J230" s="1">
        <v>789</v>
      </c>
      <c r="K230" s="1">
        <v>849</v>
      </c>
      <c r="L230" s="1">
        <v>949</v>
      </c>
      <c r="M230" s="1">
        <v>270</v>
      </c>
      <c r="N230" s="1">
        <v>745</v>
      </c>
      <c r="O230" s="1">
        <v>722</v>
      </c>
      <c r="P230" s="1">
        <v>72</v>
      </c>
      <c r="Q230" s="1">
        <v>756</v>
      </c>
      <c r="R230" s="1">
        <v>898</v>
      </c>
      <c r="S230" s="1">
        <f>SUM(ecommerce_sales_all_data[[#This Row],[sales_month_1]:[sales_month_12]])</f>
        <v>8282</v>
      </c>
      <c r="T230" s="3">
        <f t="shared" si="46"/>
        <v>404136.8</v>
      </c>
      <c r="U230" s="3">
        <f t="shared" si="47"/>
        <v>321523.20000000001</v>
      </c>
      <c r="V230" s="3">
        <f t="shared" si="48"/>
        <v>271061.92</v>
      </c>
      <c r="W230" s="3">
        <f t="shared" si="49"/>
        <v>352335.84</v>
      </c>
      <c r="X230" s="3">
        <f t="shared" si="50"/>
        <v>379129.44</v>
      </c>
      <c r="Y230" s="3">
        <f t="shared" si="51"/>
        <v>423785.44</v>
      </c>
      <c r="Z230" s="3">
        <f t="shared" si="52"/>
        <v>120571.2</v>
      </c>
      <c r="AA230" s="3">
        <f t="shared" si="53"/>
        <v>332687.2</v>
      </c>
      <c r="AB230" s="3">
        <f t="shared" si="54"/>
        <v>322416.32</v>
      </c>
      <c r="AC230" s="3">
        <f t="shared" si="55"/>
        <v>32152.32</v>
      </c>
      <c r="AD230" s="3">
        <f t="shared" si="56"/>
        <v>337599.36</v>
      </c>
      <c r="AE230" s="3">
        <f t="shared" si="57"/>
        <v>401010.88</v>
      </c>
      <c r="AF230" s="3">
        <f>SUM(ecommerce_sales_all_data[[#This Row],[revenue_month_1]:[revenue_month_12]])</f>
        <v>3698409.92</v>
      </c>
    </row>
    <row r="231" spans="1:32" x14ac:dyDescent="0.3">
      <c r="A231">
        <v>230</v>
      </c>
      <c r="B231" t="s">
        <v>254</v>
      </c>
      <c r="C231" t="s">
        <v>29</v>
      </c>
      <c r="D231" s="2">
        <v>317.41000000000003</v>
      </c>
      <c r="E231">
        <v>2.6</v>
      </c>
      <c r="F231">
        <v>787</v>
      </c>
      <c r="G231" s="1">
        <v>174</v>
      </c>
      <c r="H231" s="1">
        <v>72</v>
      </c>
      <c r="I231" s="1">
        <v>497</v>
      </c>
      <c r="J231" s="1">
        <v>961</v>
      </c>
      <c r="K231" s="1">
        <v>49</v>
      </c>
      <c r="L231" s="1">
        <v>755</v>
      </c>
      <c r="M231" s="1">
        <v>760</v>
      </c>
      <c r="N231" s="1">
        <v>674</v>
      </c>
      <c r="O231" s="1">
        <v>47</v>
      </c>
      <c r="P231" s="1">
        <v>745</v>
      </c>
      <c r="Q231" s="1">
        <v>468</v>
      </c>
      <c r="R231" s="1">
        <v>292</v>
      </c>
      <c r="S231" s="1">
        <f>SUM(ecommerce_sales_all_data[[#This Row],[sales_month_1]:[sales_month_12]])</f>
        <v>5494</v>
      </c>
      <c r="T231" s="3">
        <f t="shared" si="46"/>
        <v>55229.340000000004</v>
      </c>
      <c r="U231" s="3">
        <f t="shared" si="47"/>
        <v>22853.52</v>
      </c>
      <c r="V231" s="3">
        <f t="shared" si="48"/>
        <v>157752.77000000002</v>
      </c>
      <c r="W231" s="3">
        <f t="shared" si="49"/>
        <v>305031.01</v>
      </c>
      <c r="X231" s="3">
        <f t="shared" si="50"/>
        <v>15553.090000000002</v>
      </c>
      <c r="Y231" s="3">
        <f t="shared" si="51"/>
        <v>239644.55000000002</v>
      </c>
      <c r="Z231" s="3">
        <f t="shared" si="52"/>
        <v>241231.6</v>
      </c>
      <c r="AA231" s="3">
        <f t="shared" si="53"/>
        <v>213934.34000000003</v>
      </c>
      <c r="AB231" s="3">
        <f t="shared" si="54"/>
        <v>14918.27</v>
      </c>
      <c r="AC231" s="3">
        <f t="shared" si="55"/>
        <v>236470.45</v>
      </c>
      <c r="AD231" s="3">
        <f t="shared" si="56"/>
        <v>148547.88</v>
      </c>
      <c r="AE231" s="3">
        <f t="shared" si="57"/>
        <v>92683.72</v>
      </c>
      <c r="AF231" s="3">
        <f>SUM(ecommerce_sales_all_data[[#This Row],[revenue_month_1]:[revenue_month_12]])</f>
        <v>1743850.5399999998</v>
      </c>
    </row>
    <row r="232" spans="1:32" x14ac:dyDescent="0.3">
      <c r="A232">
        <v>231</v>
      </c>
      <c r="B232" t="s">
        <v>255</v>
      </c>
      <c r="C232" t="s">
        <v>35</v>
      </c>
      <c r="D232" s="2">
        <v>398.43</v>
      </c>
      <c r="E232">
        <v>4.5999999999999996</v>
      </c>
      <c r="F232">
        <v>544</v>
      </c>
      <c r="G232" s="1">
        <v>22</v>
      </c>
      <c r="H232" s="1">
        <v>508</v>
      </c>
      <c r="I232" s="1">
        <v>732</v>
      </c>
      <c r="J232" s="1">
        <v>940</v>
      </c>
      <c r="K232" s="1">
        <v>501</v>
      </c>
      <c r="L232" s="1">
        <v>693</v>
      </c>
      <c r="M232" s="1">
        <v>993</v>
      </c>
      <c r="N232" s="1">
        <v>115</v>
      </c>
      <c r="O232" s="1">
        <v>637</v>
      </c>
      <c r="P232" s="1">
        <v>771</v>
      </c>
      <c r="Q232" s="1">
        <v>601</v>
      </c>
      <c r="R232" s="1">
        <v>292</v>
      </c>
      <c r="S232" s="1">
        <f>SUM(ecommerce_sales_all_data[[#This Row],[sales_month_1]:[sales_month_12]])</f>
        <v>6805</v>
      </c>
      <c r="T232" s="3">
        <f t="shared" si="46"/>
        <v>8765.4600000000009</v>
      </c>
      <c r="U232" s="3">
        <f t="shared" si="47"/>
        <v>202402.44</v>
      </c>
      <c r="V232" s="3">
        <f t="shared" si="48"/>
        <v>291650.76</v>
      </c>
      <c r="W232" s="3">
        <f t="shared" si="49"/>
        <v>374524.2</v>
      </c>
      <c r="X232" s="3">
        <f t="shared" si="50"/>
        <v>199613.43</v>
      </c>
      <c r="Y232" s="3">
        <f t="shared" si="51"/>
        <v>276111.99</v>
      </c>
      <c r="Z232" s="3">
        <f t="shared" si="52"/>
        <v>395640.99</v>
      </c>
      <c r="AA232" s="3">
        <f t="shared" si="53"/>
        <v>45819.450000000004</v>
      </c>
      <c r="AB232" s="3">
        <f t="shared" si="54"/>
        <v>253799.91</v>
      </c>
      <c r="AC232" s="3">
        <f t="shared" si="55"/>
        <v>307189.53000000003</v>
      </c>
      <c r="AD232" s="3">
        <f t="shared" si="56"/>
        <v>239456.43</v>
      </c>
      <c r="AE232" s="3">
        <f t="shared" si="57"/>
        <v>116341.56</v>
      </c>
      <c r="AF232" s="3">
        <f>SUM(ecommerce_sales_all_data[[#This Row],[revenue_month_1]:[revenue_month_12]])</f>
        <v>2711316.1500000004</v>
      </c>
    </row>
    <row r="233" spans="1:32" x14ac:dyDescent="0.3">
      <c r="A233">
        <v>232</v>
      </c>
      <c r="B233" t="s">
        <v>256</v>
      </c>
      <c r="C233" t="s">
        <v>23</v>
      </c>
      <c r="D233" s="2">
        <v>253.81</v>
      </c>
      <c r="E233">
        <v>1.9</v>
      </c>
      <c r="F233">
        <v>649</v>
      </c>
      <c r="G233" s="1">
        <v>724</v>
      </c>
      <c r="H233" s="1">
        <v>389</v>
      </c>
      <c r="I233" s="1">
        <v>237</v>
      </c>
      <c r="J233" s="1">
        <v>836</v>
      </c>
      <c r="K233" s="1">
        <v>717</v>
      </c>
      <c r="L233" s="1">
        <v>283</v>
      </c>
      <c r="M233" s="1">
        <v>778</v>
      </c>
      <c r="N233" s="1">
        <v>604</v>
      </c>
      <c r="O233" s="1">
        <v>238</v>
      </c>
      <c r="P233" s="1">
        <v>624</v>
      </c>
      <c r="Q233" s="1">
        <v>570</v>
      </c>
      <c r="R233" s="1">
        <v>484</v>
      </c>
      <c r="S233" s="1">
        <f>SUM(ecommerce_sales_all_data[[#This Row],[sales_month_1]:[sales_month_12]])</f>
        <v>6484</v>
      </c>
      <c r="T233" s="3">
        <f t="shared" si="46"/>
        <v>183758.44</v>
      </c>
      <c r="U233" s="3">
        <f t="shared" si="47"/>
        <v>98732.09</v>
      </c>
      <c r="V233" s="3">
        <f t="shared" si="48"/>
        <v>60152.97</v>
      </c>
      <c r="W233" s="3">
        <f t="shared" si="49"/>
        <v>212185.16</v>
      </c>
      <c r="X233" s="3">
        <f t="shared" si="50"/>
        <v>181981.77</v>
      </c>
      <c r="Y233" s="3">
        <f t="shared" si="51"/>
        <v>71828.23</v>
      </c>
      <c r="Z233" s="3">
        <f t="shared" si="52"/>
        <v>197464.18</v>
      </c>
      <c r="AA233" s="3">
        <f t="shared" si="53"/>
        <v>153301.24</v>
      </c>
      <c r="AB233" s="3">
        <f t="shared" si="54"/>
        <v>60406.78</v>
      </c>
      <c r="AC233" s="3">
        <f t="shared" si="55"/>
        <v>158377.44</v>
      </c>
      <c r="AD233" s="3">
        <f t="shared" si="56"/>
        <v>144671.70000000001</v>
      </c>
      <c r="AE233" s="3">
        <f t="shared" si="57"/>
        <v>122844.04000000001</v>
      </c>
      <c r="AF233" s="3">
        <f>SUM(ecommerce_sales_all_data[[#This Row],[revenue_month_1]:[revenue_month_12]])</f>
        <v>1645704.04</v>
      </c>
    </row>
    <row r="234" spans="1:32" x14ac:dyDescent="0.3">
      <c r="A234">
        <v>233</v>
      </c>
      <c r="B234" t="s">
        <v>257</v>
      </c>
      <c r="C234" t="s">
        <v>35</v>
      </c>
      <c r="D234" s="2">
        <v>290.57</v>
      </c>
      <c r="E234">
        <v>1.9</v>
      </c>
      <c r="F234">
        <v>524</v>
      </c>
      <c r="G234" s="1">
        <v>916</v>
      </c>
      <c r="H234" s="1">
        <v>618</v>
      </c>
      <c r="I234" s="1">
        <v>93</v>
      </c>
      <c r="J234" s="1">
        <v>507</v>
      </c>
      <c r="K234" s="1">
        <v>497</v>
      </c>
      <c r="L234" s="1">
        <v>311</v>
      </c>
      <c r="M234" s="1">
        <v>704</v>
      </c>
      <c r="N234" s="1">
        <v>41</v>
      </c>
      <c r="O234" s="1">
        <v>6</v>
      </c>
      <c r="P234" s="1">
        <v>45</v>
      </c>
      <c r="Q234" s="1">
        <v>402</v>
      </c>
      <c r="R234" s="1">
        <v>898</v>
      </c>
      <c r="S234" s="1">
        <f>SUM(ecommerce_sales_all_data[[#This Row],[sales_month_1]:[sales_month_12]])</f>
        <v>5038</v>
      </c>
      <c r="T234" s="3">
        <f t="shared" si="46"/>
        <v>266162.12</v>
      </c>
      <c r="U234" s="3">
        <f t="shared" si="47"/>
        <v>179572.26</v>
      </c>
      <c r="V234" s="3">
        <f t="shared" si="48"/>
        <v>27023.01</v>
      </c>
      <c r="W234" s="3">
        <f t="shared" si="49"/>
        <v>147318.99</v>
      </c>
      <c r="X234" s="3">
        <f t="shared" si="50"/>
        <v>144413.29</v>
      </c>
      <c r="Y234" s="3">
        <f t="shared" si="51"/>
        <v>90367.27</v>
      </c>
      <c r="Z234" s="3">
        <f t="shared" si="52"/>
        <v>204561.28</v>
      </c>
      <c r="AA234" s="3">
        <f t="shared" si="53"/>
        <v>11913.369999999999</v>
      </c>
      <c r="AB234" s="3">
        <f t="shared" si="54"/>
        <v>1743.42</v>
      </c>
      <c r="AC234" s="3">
        <f t="shared" si="55"/>
        <v>13075.65</v>
      </c>
      <c r="AD234" s="3">
        <f t="shared" si="56"/>
        <v>116809.14</v>
      </c>
      <c r="AE234" s="3">
        <f t="shared" si="57"/>
        <v>260931.86</v>
      </c>
      <c r="AF234" s="3">
        <f>SUM(ecommerce_sales_all_data[[#This Row],[revenue_month_1]:[revenue_month_12]])</f>
        <v>1463891.6599999997</v>
      </c>
    </row>
    <row r="235" spans="1:32" x14ac:dyDescent="0.3">
      <c r="A235">
        <v>234</v>
      </c>
      <c r="B235" t="s">
        <v>258</v>
      </c>
      <c r="C235" t="s">
        <v>35</v>
      </c>
      <c r="D235" s="2">
        <v>248.8</v>
      </c>
      <c r="E235">
        <v>1.1000000000000001</v>
      </c>
      <c r="F235">
        <v>907</v>
      </c>
      <c r="G235" s="1">
        <v>234</v>
      </c>
      <c r="H235" s="1">
        <v>856</v>
      </c>
      <c r="I235" s="1">
        <v>337</v>
      </c>
      <c r="J235" s="1">
        <v>730</v>
      </c>
      <c r="K235" s="1">
        <v>334</v>
      </c>
      <c r="L235" s="1">
        <v>98</v>
      </c>
      <c r="M235" s="1">
        <v>846</v>
      </c>
      <c r="N235" s="1">
        <v>795</v>
      </c>
      <c r="O235" s="1">
        <v>463</v>
      </c>
      <c r="P235" s="1">
        <v>503</v>
      </c>
      <c r="Q235" s="1">
        <v>539</v>
      </c>
      <c r="R235" s="1">
        <v>446</v>
      </c>
      <c r="S235" s="1">
        <f>SUM(ecommerce_sales_all_data[[#This Row],[sales_month_1]:[sales_month_12]])</f>
        <v>6181</v>
      </c>
      <c r="T235" s="3">
        <f t="shared" si="46"/>
        <v>58219.200000000004</v>
      </c>
      <c r="U235" s="3">
        <f t="shared" si="47"/>
        <v>212972.80000000002</v>
      </c>
      <c r="V235" s="3">
        <f t="shared" si="48"/>
        <v>83845.600000000006</v>
      </c>
      <c r="W235" s="3">
        <f t="shared" si="49"/>
        <v>181624</v>
      </c>
      <c r="X235" s="3">
        <f t="shared" si="50"/>
        <v>83099.199999999997</v>
      </c>
      <c r="Y235" s="3">
        <f t="shared" si="51"/>
        <v>24382.400000000001</v>
      </c>
      <c r="Z235" s="3">
        <f t="shared" si="52"/>
        <v>210484.80000000002</v>
      </c>
      <c r="AA235" s="3">
        <f t="shared" si="53"/>
        <v>197796</v>
      </c>
      <c r="AB235" s="3">
        <f t="shared" si="54"/>
        <v>115194.40000000001</v>
      </c>
      <c r="AC235" s="3">
        <f t="shared" si="55"/>
        <v>125146.40000000001</v>
      </c>
      <c r="AD235" s="3">
        <f t="shared" si="56"/>
        <v>134103.20000000001</v>
      </c>
      <c r="AE235" s="3">
        <f t="shared" si="57"/>
        <v>110964.8</v>
      </c>
      <c r="AF235" s="3">
        <f>SUM(ecommerce_sales_all_data[[#This Row],[revenue_month_1]:[revenue_month_12]])</f>
        <v>1537832.7999999998</v>
      </c>
    </row>
    <row r="236" spans="1:32" x14ac:dyDescent="0.3">
      <c r="A236">
        <v>235</v>
      </c>
      <c r="B236" t="s">
        <v>259</v>
      </c>
      <c r="C236" t="s">
        <v>21</v>
      </c>
      <c r="D236" s="2">
        <v>101.65</v>
      </c>
      <c r="E236">
        <v>3.6</v>
      </c>
      <c r="F236">
        <v>814</v>
      </c>
      <c r="G236" s="1">
        <v>12</v>
      </c>
      <c r="H236" s="1">
        <v>294</v>
      </c>
      <c r="I236" s="1">
        <v>780</v>
      </c>
      <c r="J236" s="1">
        <v>600</v>
      </c>
      <c r="K236" s="1">
        <v>78</v>
      </c>
      <c r="L236" s="1">
        <v>196</v>
      </c>
      <c r="M236" s="1">
        <v>729</v>
      </c>
      <c r="N236" s="1">
        <v>378</v>
      </c>
      <c r="O236" s="1">
        <v>452</v>
      </c>
      <c r="P236" s="1">
        <v>273</v>
      </c>
      <c r="Q236" s="1">
        <v>71</v>
      </c>
      <c r="R236" s="1">
        <v>802</v>
      </c>
      <c r="S236" s="1">
        <f>SUM(ecommerce_sales_all_data[[#This Row],[sales_month_1]:[sales_month_12]])</f>
        <v>4665</v>
      </c>
      <c r="T236" s="3">
        <f t="shared" si="46"/>
        <v>1219.8000000000002</v>
      </c>
      <c r="U236" s="3">
        <f t="shared" si="47"/>
        <v>29885.100000000002</v>
      </c>
      <c r="V236" s="3">
        <f t="shared" si="48"/>
        <v>79287</v>
      </c>
      <c r="W236" s="3">
        <f t="shared" si="49"/>
        <v>60990</v>
      </c>
      <c r="X236" s="3">
        <f t="shared" si="50"/>
        <v>7928.7000000000007</v>
      </c>
      <c r="Y236" s="3">
        <f t="shared" si="51"/>
        <v>19923.400000000001</v>
      </c>
      <c r="Z236" s="3">
        <f t="shared" si="52"/>
        <v>74102.850000000006</v>
      </c>
      <c r="AA236" s="3">
        <f t="shared" si="53"/>
        <v>38423.700000000004</v>
      </c>
      <c r="AB236" s="3">
        <f t="shared" si="54"/>
        <v>45945.8</v>
      </c>
      <c r="AC236" s="3">
        <f t="shared" si="55"/>
        <v>27750.45</v>
      </c>
      <c r="AD236" s="3">
        <f t="shared" si="56"/>
        <v>7217.1500000000005</v>
      </c>
      <c r="AE236" s="3">
        <f t="shared" si="57"/>
        <v>81523.3</v>
      </c>
      <c r="AF236" s="3">
        <f>SUM(ecommerce_sales_all_data[[#This Row],[revenue_month_1]:[revenue_month_12]])</f>
        <v>474197.25</v>
      </c>
    </row>
    <row r="237" spans="1:32" x14ac:dyDescent="0.3">
      <c r="A237">
        <v>236</v>
      </c>
      <c r="B237" t="s">
        <v>260</v>
      </c>
      <c r="C237" t="s">
        <v>48</v>
      </c>
      <c r="D237" s="2">
        <v>362.61</v>
      </c>
      <c r="E237">
        <v>2.5</v>
      </c>
      <c r="F237">
        <v>887</v>
      </c>
      <c r="G237" s="1">
        <v>100</v>
      </c>
      <c r="H237" s="1">
        <v>368</v>
      </c>
      <c r="I237" s="1">
        <v>170</v>
      </c>
      <c r="J237" s="1">
        <v>71</v>
      </c>
      <c r="K237" s="1">
        <v>581</v>
      </c>
      <c r="L237" s="1">
        <v>481</v>
      </c>
      <c r="M237" s="1">
        <v>114</v>
      </c>
      <c r="N237" s="1">
        <v>721</v>
      </c>
      <c r="O237" s="1">
        <v>783</v>
      </c>
      <c r="P237" s="1">
        <v>554</v>
      </c>
      <c r="Q237" s="1">
        <v>781</v>
      </c>
      <c r="R237" s="1">
        <v>691</v>
      </c>
      <c r="S237" s="1">
        <f>SUM(ecommerce_sales_all_data[[#This Row],[sales_month_1]:[sales_month_12]])</f>
        <v>5415</v>
      </c>
      <c r="T237" s="3">
        <f t="shared" si="46"/>
        <v>36261</v>
      </c>
      <c r="U237" s="3">
        <f t="shared" si="47"/>
        <v>133440.48000000001</v>
      </c>
      <c r="V237" s="3">
        <f t="shared" si="48"/>
        <v>61643.700000000004</v>
      </c>
      <c r="W237" s="3">
        <f t="shared" si="49"/>
        <v>25745.31</v>
      </c>
      <c r="X237" s="3">
        <f t="shared" si="50"/>
        <v>210676.41</v>
      </c>
      <c r="Y237" s="3">
        <f t="shared" si="51"/>
        <v>174415.41</v>
      </c>
      <c r="Z237" s="3">
        <f t="shared" si="52"/>
        <v>41337.54</v>
      </c>
      <c r="AA237" s="3">
        <f t="shared" si="53"/>
        <v>261441.81</v>
      </c>
      <c r="AB237" s="3">
        <f t="shared" si="54"/>
        <v>283923.63</v>
      </c>
      <c r="AC237" s="3">
        <f t="shared" si="55"/>
        <v>200885.94</v>
      </c>
      <c r="AD237" s="3">
        <f t="shared" si="56"/>
        <v>283198.41000000003</v>
      </c>
      <c r="AE237" s="3">
        <f t="shared" si="57"/>
        <v>250563.51</v>
      </c>
      <c r="AF237" s="3">
        <f>SUM(ecommerce_sales_all_data[[#This Row],[revenue_month_1]:[revenue_month_12]])</f>
        <v>1963533.1500000001</v>
      </c>
    </row>
    <row r="238" spans="1:32" x14ac:dyDescent="0.3">
      <c r="A238">
        <v>237</v>
      </c>
      <c r="B238" t="s">
        <v>261</v>
      </c>
      <c r="C238" t="s">
        <v>48</v>
      </c>
      <c r="D238" s="2">
        <v>143.97999999999999</v>
      </c>
      <c r="E238">
        <v>4.5</v>
      </c>
      <c r="F238">
        <v>16</v>
      </c>
      <c r="G238" s="1">
        <v>928</v>
      </c>
      <c r="H238" s="1">
        <v>955</v>
      </c>
      <c r="I238" s="1">
        <v>980</v>
      </c>
      <c r="J238" s="1">
        <v>246</v>
      </c>
      <c r="K238" s="1">
        <v>26</v>
      </c>
      <c r="L238" s="1">
        <v>877</v>
      </c>
      <c r="M238" s="1">
        <v>579</v>
      </c>
      <c r="N238" s="1">
        <v>205</v>
      </c>
      <c r="O238" s="1">
        <v>896</v>
      </c>
      <c r="P238" s="1">
        <v>207</v>
      </c>
      <c r="Q238" s="1">
        <v>23</v>
      </c>
      <c r="R238" s="1">
        <v>982</v>
      </c>
      <c r="S238" s="1">
        <f>SUM(ecommerce_sales_all_data[[#This Row],[sales_month_1]:[sales_month_12]])</f>
        <v>6904</v>
      </c>
      <c r="T238" s="3">
        <f t="shared" si="46"/>
        <v>133613.44</v>
      </c>
      <c r="U238" s="3">
        <f t="shared" si="47"/>
        <v>137500.9</v>
      </c>
      <c r="V238" s="3">
        <f t="shared" si="48"/>
        <v>141100.4</v>
      </c>
      <c r="W238" s="3">
        <f t="shared" si="49"/>
        <v>35419.079999999994</v>
      </c>
      <c r="X238" s="3">
        <f t="shared" si="50"/>
        <v>3743.4799999999996</v>
      </c>
      <c r="Y238" s="3">
        <f t="shared" si="51"/>
        <v>126270.45999999999</v>
      </c>
      <c r="Z238" s="3">
        <f t="shared" si="52"/>
        <v>83364.42</v>
      </c>
      <c r="AA238" s="3">
        <f t="shared" si="53"/>
        <v>29515.899999999998</v>
      </c>
      <c r="AB238" s="3">
        <f t="shared" si="54"/>
        <v>129006.07999999999</v>
      </c>
      <c r="AC238" s="3">
        <f t="shared" si="55"/>
        <v>29803.859999999997</v>
      </c>
      <c r="AD238" s="3">
        <f t="shared" si="56"/>
        <v>3311.54</v>
      </c>
      <c r="AE238" s="3">
        <f t="shared" si="57"/>
        <v>141388.35999999999</v>
      </c>
      <c r="AF238" s="3">
        <f>SUM(ecommerce_sales_all_data[[#This Row],[revenue_month_1]:[revenue_month_12]])</f>
        <v>994037.92</v>
      </c>
    </row>
    <row r="239" spans="1:32" x14ac:dyDescent="0.3">
      <c r="A239">
        <v>238</v>
      </c>
      <c r="B239" t="s">
        <v>262</v>
      </c>
      <c r="C239" t="s">
        <v>26</v>
      </c>
      <c r="D239" s="2">
        <v>17.04</v>
      </c>
      <c r="E239">
        <v>2.9</v>
      </c>
      <c r="F239">
        <v>129</v>
      </c>
      <c r="G239" s="1">
        <v>535</v>
      </c>
      <c r="H239" s="1">
        <v>795</v>
      </c>
      <c r="I239" s="1">
        <v>605</v>
      </c>
      <c r="J239" s="1">
        <v>640</v>
      </c>
      <c r="K239" s="1">
        <v>270</v>
      </c>
      <c r="L239" s="1">
        <v>225</v>
      </c>
      <c r="M239" s="1">
        <v>298</v>
      </c>
      <c r="N239" s="1">
        <v>465</v>
      </c>
      <c r="O239" s="1">
        <v>370</v>
      </c>
      <c r="P239" s="1">
        <v>928</v>
      </c>
      <c r="Q239" s="1">
        <v>623</v>
      </c>
      <c r="R239" s="1">
        <v>891</v>
      </c>
      <c r="S239" s="1">
        <f>SUM(ecommerce_sales_all_data[[#This Row],[sales_month_1]:[sales_month_12]])</f>
        <v>6645</v>
      </c>
      <c r="T239" s="3">
        <f t="shared" si="46"/>
        <v>9116.4</v>
      </c>
      <c r="U239" s="3">
        <f t="shared" si="47"/>
        <v>13546.8</v>
      </c>
      <c r="V239" s="3">
        <f t="shared" si="48"/>
        <v>10309.199999999999</v>
      </c>
      <c r="W239" s="3">
        <f t="shared" si="49"/>
        <v>10905.599999999999</v>
      </c>
      <c r="X239" s="3">
        <f t="shared" si="50"/>
        <v>4600.8</v>
      </c>
      <c r="Y239" s="3">
        <f t="shared" si="51"/>
        <v>3834</v>
      </c>
      <c r="Z239" s="3">
        <f t="shared" si="52"/>
        <v>5077.92</v>
      </c>
      <c r="AA239" s="3">
        <f t="shared" si="53"/>
        <v>7923.5999999999995</v>
      </c>
      <c r="AB239" s="3">
        <f t="shared" si="54"/>
        <v>6304.7999999999993</v>
      </c>
      <c r="AC239" s="3">
        <f t="shared" si="55"/>
        <v>15813.119999999999</v>
      </c>
      <c r="AD239" s="3">
        <f t="shared" si="56"/>
        <v>10615.92</v>
      </c>
      <c r="AE239" s="3">
        <f t="shared" si="57"/>
        <v>15182.64</v>
      </c>
      <c r="AF239" s="3">
        <f>SUM(ecommerce_sales_all_data[[#This Row],[revenue_month_1]:[revenue_month_12]])</f>
        <v>113230.79999999999</v>
      </c>
    </row>
    <row r="240" spans="1:32" x14ac:dyDescent="0.3">
      <c r="A240">
        <v>239</v>
      </c>
      <c r="B240" t="s">
        <v>263</v>
      </c>
      <c r="C240" t="s">
        <v>35</v>
      </c>
      <c r="D240" s="2">
        <v>324.51</v>
      </c>
      <c r="E240">
        <v>4.9000000000000004</v>
      </c>
      <c r="F240">
        <v>575</v>
      </c>
      <c r="G240" s="1">
        <v>875</v>
      </c>
      <c r="H240" s="1">
        <v>864</v>
      </c>
      <c r="I240" s="1">
        <v>660</v>
      </c>
      <c r="J240" s="1">
        <v>723</v>
      </c>
      <c r="K240" s="1">
        <v>561</v>
      </c>
      <c r="L240" s="1">
        <v>844</v>
      </c>
      <c r="M240" s="1">
        <v>836</v>
      </c>
      <c r="N240" s="1">
        <v>731</v>
      </c>
      <c r="O240" s="1">
        <v>548</v>
      </c>
      <c r="P240" s="1">
        <v>860</v>
      </c>
      <c r="Q240" s="1">
        <v>811</v>
      </c>
      <c r="R240" s="1">
        <v>411</v>
      </c>
      <c r="S240" s="1">
        <f>SUM(ecommerce_sales_all_data[[#This Row],[sales_month_1]:[sales_month_12]])</f>
        <v>8724</v>
      </c>
      <c r="T240" s="3">
        <f t="shared" si="46"/>
        <v>283946.25</v>
      </c>
      <c r="U240" s="3">
        <f t="shared" si="47"/>
        <v>280376.64</v>
      </c>
      <c r="V240" s="3">
        <f t="shared" si="48"/>
        <v>214176.6</v>
      </c>
      <c r="W240" s="3">
        <f t="shared" si="49"/>
        <v>234620.72999999998</v>
      </c>
      <c r="X240" s="3">
        <f t="shared" si="50"/>
        <v>182050.11</v>
      </c>
      <c r="Y240" s="3">
        <f t="shared" si="51"/>
        <v>273886.44</v>
      </c>
      <c r="Z240" s="3">
        <f t="shared" si="52"/>
        <v>271290.36</v>
      </c>
      <c r="AA240" s="3">
        <f t="shared" si="53"/>
        <v>237216.81</v>
      </c>
      <c r="AB240" s="3">
        <f t="shared" si="54"/>
        <v>177831.47999999998</v>
      </c>
      <c r="AC240" s="3">
        <f t="shared" si="55"/>
        <v>279078.59999999998</v>
      </c>
      <c r="AD240" s="3">
        <f t="shared" si="56"/>
        <v>263177.61</v>
      </c>
      <c r="AE240" s="3">
        <f t="shared" si="57"/>
        <v>133373.60999999999</v>
      </c>
      <c r="AF240" s="3">
        <f>SUM(ecommerce_sales_all_data[[#This Row],[revenue_month_1]:[revenue_month_12]])</f>
        <v>2831025.2399999998</v>
      </c>
    </row>
    <row r="241" spans="1:32" x14ac:dyDescent="0.3">
      <c r="A241">
        <v>240</v>
      </c>
      <c r="B241" t="s">
        <v>264</v>
      </c>
      <c r="C241" t="s">
        <v>48</v>
      </c>
      <c r="D241" s="2">
        <v>92.67</v>
      </c>
      <c r="E241">
        <v>1.7</v>
      </c>
      <c r="F241">
        <v>109</v>
      </c>
      <c r="G241" s="1">
        <v>522</v>
      </c>
      <c r="H241" s="1">
        <v>693</v>
      </c>
      <c r="I241" s="1">
        <v>623</v>
      </c>
      <c r="J241" s="1">
        <v>939</v>
      </c>
      <c r="K241" s="1">
        <v>803</v>
      </c>
      <c r="L241" s="1">
        <v>614</v>
      </c>
      <c r="M241" s="1">
        <v>482</v>
      </c>
      <c r="N241" s="1">
        <v>279</v>
      </c>
      <c r="O241" s="1">
        <v>486</v>
      </c>
      <c r="P241" s="1">
        <v>614</v>
      </c>
      <c r="Q241" s="1">
        <v>484</v>
      </c>
      <c r="R241" s="1">
        <v>507</v>
      </c>
      <c r="S241" s="1">
        <f>SUM(ecommerce_sales_all_data[[#This Row],[sales_month_1]:[sales_month_12]])</f>
        <v>7046</v>
      </c>
      <c r="T241" s="3">
        <f t="shared" si="46"/>
        <v>48373.74</v>
      </c>
      <c r="U241" s="3">
        <f t="shared" si="47"/>
        <v>64220.31</v>
      </c>
      <c r="V241" s="3">
        <f t="shared" si="48"/>
        <v>57733.41</v>
      </c>
      <c r="W241" s="3">
        <f t="shared" si="49"/>
        <v>87017.13</v>
      </c>
      <c r="X241" s="3">
        <f t="shared" si="50"/>
        <v>74414.009999999995</v>
      </c>
      <c r="Y241" s="3">
        <f t="shared" si="51"/>
        <v>56899.380000000005</v>
      </c>
      <c r="Z241" s="3">
        <f t="shared" si="52"/>
        <v>44666.94</v>
      </c>
      <c r="AA241" s="3">
        <f t="shared" si="53"/>
        <v>25854.93</v>
      </c>
      <c r="AB241" s="3">
        <f t="shared" si="54"/>
        <v>45037.62</v>
      </c>
      <c r="AC241" s="3">
        <f t="shared" si="55"/>
        <v>56899.380000000005</v>
      </c>
      <c r="AD241" s="3">
        <f t="shared" si="56"/>
        <v>44852.28</v>
      </c>
      <c r="AE241" s="3">
        <f t="shared" si="57"/>
        <v>46983.69</v>
      </c>
      <c r="AF241" s="3">
        <f>SUM(ecommerce_sales_all_data[[#This Row],[revenue_month_1]:[revenue_month_12]])</f>
        <v>652952.82000000007</v>
      </c>
    </row>
    <row r="242" spans="1:32" x14ac:dyDescent="0.3">
      <c r="A242">
        <v>241</v>
      </c>
      <c r="B242" t="s">
        <v>265</v>
      </c>
      <c r="C242" t="s">
        <v>23</v>
      </c>
      <c r="D242" s="2">
        <v>470.53</v>
      </c>
      <c r="E242">
        <v>4.5</v>
      </c>
      <c r="F242">
        <v>887</v>
      </c>
      <c r="G242" s="1">
        <v>784</v>
      </c>
      <c r="H242" s="1">
        <v>548</v>
      </c>
      <c r="I242" s="1">
        <v>566</v>
      </c>
      <c r="J242" s="1">
        <v>854</v>
      </c>
      <c r="K242" s="1">
        <v>246</v>
      </c>
      <c r="L242" s="1">
        <v>617</v>
      </c>
      <c r="M242" s="1">
        <v>396</v>
      </c>
      <c r="N242" s="1">
        <v>647</v>
      </c>
      <c r="O242" s="1">
        <v>210</v>
      </c>
      <c r="P242" s="1">
        <v>123</v>
      </c>
      <c r="Q242" s="1">
        <v>55</v>
      </c>
      <c r="R242" s="1">
        <v>733</v>
      </c>
      <c r="S242" s="1">
        <f>SUM(ecommerce_sales_all_data[[#This Row],[sales_month_1]:[sales_month_12]])</f>
        <v>5779</v>
      </c>
      <c r="T242" s="3">
        <f t="shared" si="46"/>
        <v>368895.51999999996</v>
      </c>
      <c r="U242" s="3">
        <f t="shared" si="47"/>
        <v>257850.43999999997</v>
      </c>
      <c r="V242" s="3">
        <f t="shared" si="48"/>
        <v>266319.98</v>
      </c>
      <c r="W242" s="3">
        <f t="shared" si="49"/>
        <v>401832.62</v>
      </c>
      <c r="X242" s="3">
        <f t="shared" si="50"/>
        <v>115750.37999999999</v>
      </c>
      <c r="Y242" s="3">
        <f t="shared" si="51"/>
        <v>290317.01</v>
      </c>
      <c r="Z242" s="3">
        <f t="shared" si="52"/>
        <v>186329.87999999998</v>
      </c>
      <c r="AA242" s="3">
        <f t="shared" si="53"/>
        <v>304432.90999999997</v>
      </c>
      <c r="AB242" s="3">
        <f t="shared" si="54"/>
        <v>98811.299999999988</v>
      </c>
      <c r="AC242" s="3">
        <f t="shared" si="55"/>
        <v>57875.189999999995</v>
      </c>
      <c r="AD242" s="3">
        <f t="shared" si="56"/>
        <v>25879.149999999998</v>
      </c>
      <c r="AE242" s="3">
        <f t="shared" si="57"/>
        <v>344898.49</v>
      </c>
      <c r="AF242" s="3">
        <f>SUM(ecommerce_sales_all_data[[#This Row],[revenue_month_1]:[revenue_month_12]])</f>
        <v>2719192.8699999992</v>
      </c>
    </row>
    <row r="243" spans="1:32" x14ac:dyDescent="0.3">
      <c r="A243">
        <v>242</v>
      </c>
      <c r="B243" t="s">
        <v>266</v>
      </c>
      <c r="C243" t="s">
        <v>19</v>
      </c>
      <c r="D243" s="2">
        <v>477.19</v>
      </c>
      <c r="E243">
        <v>4.0999999999999996</v>
      </c>
      <c r="F243">
        <v>533</v>
      </c>
      <c r="G243" s="1">
        <v>451</v>
      </c>
      <c r="H243" s="1">
        <v>648</v>
      </c>
      <c r="I243" s="1">
        <v>848</v>
      </c>
      <c r="J243" s="1">
        <v>607</v>
      </c>
      <c r="K243" s="1">
        <v>775</v>
      </c>
      <c r="L243" s="1">
        <v>364</v>
      </c>
      <c r="M243" s="1">
        <v>393</v>
      </c>
      <c r="N243" s="1">
        <v>617</v>
      </c>
      <c r="O243" s="1">
        <v>164</v>
      </c>
      <c r="P243" s="1">
        <v>9</v>
      </c>
      <c r="Q243" s="1">
        <v>985</v>
      </c>
      <c r="R243" s="1">
        <v>785</v>
      </c>
      <c r="S243" s="1">
        <f>SUM(ecommerce_sales_all_data[[#This Row],[sales_month_1]:[sales_month_12]])</f>
        <v>6646</v>
      </c>
      <c r="T243" s="3">
        <f t="shared" si="46"/>
        <v>215212.69</v>
      </c>
      <c r="U243" s="3">
        <f t="shared" si="47"/>
        <v>309219.12</v>
      </c>
      <c r="V243" s="3">
        <f t="shared" si="48"/>
        <v>404657.12</v>
      </c>
      <c r="W243" s="3">
        <f t="shared" si="49"/>
        <v>289654.33</v>
      </c>
      <c r="X243" s="3">
        <f t="shared" si="50"/>
        <v>369822.25</v>
      </c>
      <c r="Y243" s="3">
        <f t="shared" si="51"/>
        <v>173697.16</v>
      </c>
      <c r="Z243" s="3">
        <f t="shared" si="52"/>
        <v>187535.67</v>
      </c>
      <c r="AA243" s="3">
        <f t="shared" si="53"/>
        <v>294426.23</v>
      </c>
      <c r="AB243" s="3">
        <f t="shared" si="54"/>
        <v>78259.16</v>
      </c>
      <c r="AC243" s="3">
        <f t="shared" si="55"/>
        <v>4294.71</v>
      </c>
      <c r="AD243" s="3">
        <f t="shared" si="56"/>
        <v>470032.15</v>
      </c>
      <c r="AE243" s="3">
        <f t="shared" si="57"/>
        <v>374594.15</v>
      </c>
      <c r="AF243" s="3">
        <f>SUM(ecommerce_sales_all_data[[#This Row],[revenue_month_1]:[revenue_month_12]])</f>
        <v>3171404.7399999998</v>
      </c>
    </row>
    <row r="244" spans="1:32" x14ac:dyDescent="0.3">
      <c r="A244">
        <v>243</v>
      </c>
      <c r="B244" t="s">
        <v>267</v>
      </c>
      <c r="C244" t="s">
        <v>23</v>
      </c>
      <c r="D244" s="2">
        <v>457.86</v>
      </c>
      <c r="E244">
        <v>4.0999999999999996</v>
      </c>
      <c r="F244">
        <v>670</v>
      </c>
      <c r="G244" s="1">
        <v>430</v>
      </c>
      <c r="H244" s="1">
        <v>849</v>
      </c>
      <c r="I244" s="1">
        <v>935</v>
      </c>
      <c r="J244" s="1">
        <v>586</v>
      </c>
      <c r="K244" s="1">
        <v>590</v>
      </c>
      <c r="L244" s="1">
        <v>367</v>
      </c>
      <c r="M244" s="1">
        <v>74</v>
      </c>
      <c r="N244" s="1">
        <v>117</v>
      </c>
      <c r="O244" s="1">
        <v>124</v>
      </c>
      <c r="P244" s="1">
        <v>328</v>
      </c>
      <c r="Q244" s="1">
        <v>222</v>
      </c>
      <c r="R244" s="1">
        <v>889</v>
      </c>
      <c r="S244" s="1">
        <f>SUM(ecommerce_sales_all_data[[#This Row],[sales_month_1]:[sales_month_12]])</f>
        <v>5511</v>
      </c>
      <c r="T244" s="3">
        <f t="shared" si="46"/>
        <v>196879.80000000002</v>
      </c>
      <c r="U244" s="3">
        <f t="shared" si="47"/>
        <v>388723.14</v>
      </c>
      <c r="V244" s="3">
        <f t="shared" si="48"/>
        <v>428099.10000000003</v>
      </c>
      <c r="W244" s="3">
        <f t="shared" si="49"/>
        <v>268305.96000000002</v>
      </c>
      <c r="X244" s="3">
        <f t="shared" si="50"/>
        <v>270137.40000000002</v>
      </c>
      <c r="Y244" s="3">
        <f t="shared" si="51"/>
        <v>168034.62</v>
      </c>
      <c r="Z244" s="3">
        <f t="shared" si="52"/>
        <v>33881.64</v>
      </c>
      <c r="AA244" s="3">
        <f t="shared" si="53"/>
        <v>53569.62</v>
      </c>
      <c r="AB244" s="3">
        <f t="shared" si="54"/>
        <v>56774.64</v>
      </c>
      <c r="AC244" s="3">
        <f t="shared" si="55"/>
        <v>150178.08000000002</v>
      </c>
      <c r="AD244" s="3">
        <f t="shared" si="56"/>
        <v>101644.92</v>
      </c>
      <c r="AE244" s="3">
        <f t="shared" si="57"/>
        <v>407037.54000000004</v>
      </c>
      <c r="AF244" s="3">
        <f>SUM(ecommerce_sales_all_data[[#This Row],[revenue_month_1]:[revenue_month_12]])</f>
        <v>2523266.46</v>
      </c>
    </row>
    <row r="245" spans="1:32" x14ac:dyDescent="0.3">
      <c r="A245">
        <v>244</v>
      </c>
      <c r="B245" t="s">
        <v>268</v>
      </c>
      <c r="C245" t="s">
        <v>29</v>
      </c>
      <c r="D245" s="2">
        <v>188.23</v>
      </c>
      <c r="E245">
        <v>4.4000000000000004</v>
      </c>
      <c r="F245">
        <v>269</v>
      </c>
      <c r="G245" s="1">
        <v>792</v>
      </c>
      <c r="H245" s="1">
        <v>567</v>
      </c>
      <c r="I245" s="1">
        <v>466</v>
      </c>
      <c r="J245" s="1">
        <v>934</v>
      </c>
      <c r="K245" s="1">
        <v>386</v>
      </c>
      <c r="L245" s="1">
        <v>569</v>
      </c>
      <c r="M245" s="1">
        <v>977</v>
      </c>
      <c r="N245" s="1">
        <v>236</v>
      </c>
      <c r="O245" s="1">
        <v>336</v>
      </c>
      <c r="P245" s="1">
        <v>186</v>
      </c>
      <c r="Q245" s="1">
        <v>631</v>
      </c>
      <c r="R245" s="1">
        <v>243</v>
      </c>
      <c r="S245" s="1">
        <f>SUM(ecommerce_sales_all_data[[#This Row],[sales_month_1]:[sales_month_12]])</f>
        <v>6323</v>
      </c>
      <c r="T245" s="3">
        <f t="shared" si="46"/>
        <v>149078.16</v>
      </c>
      <c r="U245" s="3">
        <f t="shared" si="47"/>
        <v>106726.40999999999</v>
      </c>
      <c r="V245" s="3">
        <f t="shared" si="48"/>
        <v>87715.18</v>
      </c>
      <c r="W245" s="3">
        <f t="shared" si="49"/>
        <v>175806.81999999998</v>
      </c>
      <c r="X245" s="3">
        <f t="shared" si="50"/>
        <v>72656.78</v>
      </c>
      <c r="Y245" s="3">
        <f t="shared" si="51"/>
        <v>107102.87</v>
      </c>
      <c r="Z245" s="3">
        <f t="shared" si="52"/>
        <v>183900.71</v>
      </c>
      <c r="AA245" s="3">
        <f t="shared" si="53"/>
        <v>44422.28</v>
      </c>
      <c r="AB245" s="3">
        <f t="shared" si="54"/>
        <v>63245.279999999999</v>
      </c>
      <c r="AC245" s="3">
        <f t="shared" si="55"/>
        <v>35010.78</v>
      </c>
      <c r="AD245" s="3">
        <f t="shared" si="56"/>
        <v>118773.12999999999</v>
      </c>
      <c r="AE245" s="3">
        <f t="shared" si="57"/>
        <v>45739.89</v>
      </c>
      <c r="AF245" s="3">
        <f>SUM(ecommerce_sales_all_data[[#This Row],[revenue_month_1]:[revenue_month_12]])</f>
        <v>1190178.2899999998</v>
      </c>
    </row>
    <row r="246" spans="1:32" x14ac:dyDescent="0.3">
      <c r="A246">
        <v>245</v>
      </c>
      <c r="B246" t="s">
        <v>269</v>
      </c>
      <c r="C246" t="s">
        <v>48</v>
      </c>
      <c r="D246" s="2">
        <v>12.65</v>
      </c>
      <c r="E246">
        <v>4</v>
      </c>
      <c r="F246">
        <v>162</v>
      </c>
      <c r="G246" s="1">
        <v>605</v>
      </c>
      <c r="H246" s="1">
        <v>186</v>
      </c>
      <c r="I246" s="1">
        <v>627</v>
      </c>
      <c r="J246" s="1">
        <v>565</v>
      </c>
      <c r="K246" s="1">
        <v>701</v>
      </c>
      <c r="L246" s="1">
        <v>589</v>
      </c>
      <c r="M246" s="1">
        <v>481</v>
      </c>
      <c r="N246" s="1">
        <v>308</v>
      </c>
      <c r="O246" s="1">
        <v>191</v>
      </c>
      <c r="P246" s="1">
        <v>542</v>
      </c>
      <c r="Q246" s="1">
        <v>178</v>
      </c>
      <c r="R246" s="1">
        <v>419</v>
      </c>
      <c r="S246" s="1">
        <f>SUM(ecommerce_sales_all_data[[#This Row],[sales_month_1]:[sales_month_12]])</f>
        <v>5392</v>
      </c>
      <c r="T246" s="3">
        <f t="shared" si="46"/>
        <v>7653.25</v>
      </c>
      <c r="U246" s="3">
        <f t="shared" si="47"/>
        <v>2352.9</v>
      </c>
      <c r="V246" s="3">
        <f t="shared" si="48"/>
        <v>7931.55</v>
      </c>
      <c r="W246" s="3">
        <f t="shared" si="49"/>
        <v>7147.25</v>
      </c>
      <c r="X246" s="3">
        <f t="shared" si="50"/>
        <v>8867.65</v>
      </c>
      <c r="Y246" s="3">
        <f t="shared" si="51"/>
        <v>7450.85</v>
      </c>
      <c r="Z246" s="3">
        <f t="shared" si="52"/>
        <v>6084.6500000000005</v>
      </c>
      <c r="AA246" s="3">
        <f t="shared" si="53"/>
        <v>3896.2000000000003</v>
      </c>
      <c r="AB246" s="3">
        <f t="shared" si="54"/>
        <v>2416.15</v>
      </c>
      <c r="AC246" s="3">
        <f t="shared" si="55"/>
        <v>6856.3</v>
      </c>
      <c r="AD246" s="3">
        <f t="shared" si="56"/>
        <v>2251.7000000000003</v>
      </c>
      <c r="AE246" s="3">
        <f t="shared" si="57"/>
        <v>5300.35</v>
      </c>
      <c r="AF246" s="3">
        <f>SUM(ecommerce_sales_all_data[[#This Row],[revenue_month_1]:[revenue_month_12]])</f>
        <v>68208.800000000003</v>
      </c>
    </row>
    <row r="247" spans="1:32" x14ac:dyDescent="0.3">
      <c r="A247">
        <v>246</v>
      </c>
      <c r="B247" t="s">
        <v>270</v>
      </c>
      <c r="C247" t="s">
        <v>48</v>
      </c>
      <c r="D247" s="2">
        <v>464.52</v>
      </c>
      <c r="E247">
        <v>3.5</v>
      </c>
      <c r="F247">
        <v>260</v>
      </c>
      <c r="G247" s="1">
        <v>712</v>
      </c>
      <c r="H247" s="1">
        <v>852</v>
      </c>
      <c r="I247" s="1">
        <v>142</v>
      </c>
      <c r="J247" s="1">
        <v>343</v>
      </c>
      <c r="K247" s="1">
        <v>558</v>
      </c>
      <c r="L247" s="1">
        <v>74</v>
      </c>
      <c r="M247" s="1">
        <v>102</v>
      </c>
      <c r="N247" s="1">
        <v>455</v>
      </c>
      <c r="O247" s="1">
        <v>729</v>
      </c>
      <c r="P247" s="1">
        <v>667</v>
      </c>
      <c r="Q247" s="1">
        <v>799</v>
      </c>
      <c r="R247" s="1">
        <v>928</v>
      </c>
      <c r="S247" s="1">
        <f>SUM(ecommerce_sales_all_data[[#This Row],[sales_month_1]:[sales_month_12]])</f>
        <v>6361</v>
      </c>
      <c r="T247" s="3">
        <f t="shared" si="46"/>
        <v>330738.24</v>
      </c>
      <c r="U247" s="3">
        <f t="shared" si="47"/>
        <v>395771.04</v>
      </c>
      <c r="V247" s="3">
        <f t="shared" si="48"/>
        <v>65961.84</v>
      </c>
      <c r="W247" s="3">
        <f t="shared" si="49"/>
        <v>159330.35999999999</v>
      </c>
      <c r="X247" s="3">
        <f t="shared" si="50"/>
        <v>259202.16</v>
      </c>
      <c r="Y247" s="3">
        <f t="shared" si="51"/>
        <v>34374.479999999996</v>
      </c>
      <c r="Z247" s="3">
        <f t="shared" si="52"/>
        <v>47381.04</v>
      </c>
      <c r="AA247" s="3">
        <f t="shared" si="53"/>
        <v>211356.6</v>
      </c>
      <c r="AB247" s="3">
        <f t="shared" si="54"/>
        <v>338635.07999999996</v>
      </c>
      <c r="AC247" s="3">
        <f t="shared" si="55"/>
        <v>309834.83999999997</v>
      </c>
      <c r="AD247" s="3">
        <f t="shared" si="56"/>
        <v>371151.48</v>
      </c>
      <c r="AE247" s="3">
        <f t="shared" si="57"/>
        <v>431074.56</v>
      </c>
      <c r="AF247" s="3">
        <f>SUM(ecommerce_sales_all_data[[#This Row],[revenue_month_1]:[revenue_month_12]])</f>
        <v>2954811.7199999997</v>
      </c>
    </row>
    <row r="248" spans="1:32" x14ac:dyDescent="0.3">
      <c r="A248">
        <v>247</v>
      </c>
      <c r="B248" t="s">
        <v>271</v>
      </c>
      <c r="C248" t="s">
        <v>26</v>
      </c>
      <c r="D248" s="2">
        <v>216.95</v>
      </c>
      <c r="E248">
        <v>1.5</v>
      </c>
      <c r="F248">
        <v>924</v>
      </c>
      <c r="G248" s="1">
        <v>532</v>
      </c>
      <c r="H248" s="1">
        <v>769</v>
      </c>
      <c r="I248" s="1">
        <v>200</v>
      </c>
      <c r="J248" s="1">
        <v>970</v>
      </c>
      <c r="K248" s="1">
        <v>972</v>
      </c>
      <c r="L248" s="1">
        <v>41</v>
      </c>
      <c r="M248" s="1">
        <v>296</v>
      </c>
      <c r="N248" s="1">
        <v>899</v>
      </c>
      <c r="O248" s="1">
        <v>213</v>
      </c>
      <c r="P248" s="1">
        <v>59</v>
      </c>
      <c r="Q248" s="1">
        <v>433</v>
      </c>
      <c r="R248" s="1">
        <v>959</v>
      </c>
      <c r="S248" s="1">
        <f>SUM(ecommerce_sales_all_data[[#This Row],[sales_month_1]:[sales_month_12]])</f>
        <v>6343</v>
      </c>
      <c r="T248" s="3">
        <f t="shared" si="46"/>
        <v>115417.4</v>
      </c>
      <c r="U248" s="3">
        <f t="shared" si="47"/>
        <v>166834.54999999999</v>
      </c>
      <c r="V248" s="3">
        <f t="shared" si="48"/>
        <v>43390</v>
      </c>
      <c r="W248" s="3">
        <f t="shared" si="49"/>
        <v>210441.5</v>
      </c>
      <c r="X248" s="3">
        <f t="shared" si="50"/>
        <v>210875.4</v>
      </c>
      <c r="Y248" s="3">
        <f t="shared" si="51"/>
        <v>8894.9499999999989</v>
      </c>
      <c r="Z248" s="3">
        <f t="shared" si="52"/>
        <v>64217.2</v>
      </c>
      <c r="AA248" s="3">
        <f t="shared" si="53"/>
        <v>195038.05</v>
      </c>
      <c r="AB248" s="3">
        <f t="shared" si="54"/>
        <v>46210.35</v>
      </c>
      <c r="AC248" s="3">
        <f t="shared" si="55"/>
        <v>12800.05</v>
      </c>
      <c r="AD248" s="3">
        <f t="shared" si="56"/>
        <v>93939.349999999991</v>
      </c>
      <c r="AE248" s="3">
        <f t="shared" si="57"/>
        <v>208055.05</v>
      </c>
      <c r="AF248" s="3">
        <f>SUM(ecommerce_sales_all_data[[#This Row],[revenue_month_1]:[revenue_month_12]])</f>
        <v>1376113.85</v>
      </c>
    </row>
    <row r="249" spans="1:32" x14ac:dyDescent="0.3">
      <c r="A249">
        <v>248</v>
      </c>
      <c r="B249" t="s">
        <v>272</v>
      </c>
      <c r="C249" t="s">
        <v>35</v>
      </c>
      <c r="D249" s="2">
        <v>483.49</v>
      </c>
      <c r="E249">
        <v>1.1000000000000001</v>
      </c>
      <c r="F249">
        <v>102</v>
      </c>
      <c r="G249" s="1">
        <v>851</v>
      </c>
      <c r="H249" s="1">
        <v>444</v>
      </c>
      <c r="I249" s="1">
        <v>179</v>
      </c>
      <c r="J249" s="1">
        <v>924</v>
      </c>
      <c r="K249" s="1">
        <v>360</v>
      </c>
      <c r="L249" s="1">
        <v>421</v>
      </c>
      <c r="M249" s="1">
        <v>177</v>
      </c>
      <c r="N249" s="1">
        <v>474</v>
      </c>
      <c r="O249" s="1">
        <v>573</v>
      </c>
      <c r="P249" s="1">
        <v>760</v>
      </c>
      <c r="Q249" s="1">
        <v>936</v>
      </c>
      <c r="R249" s="1">
        <v>153</v>
      </c>
      <c r="S249" s="1">
        <f>SUM(ecommerce_sales_all_data[[#This Row],[sales_month_1]:[sales_month_12]])</f>
        <v>6252</v>
      </c>
      <c r="T249" s="3">
        <f t="shared" si="46"/>
        <v>411449.99</v>
      </c>
      <c r="U249" s="3">
        <f t="shared" si="47"/>
        <v>214669.56</v>
      </c>
      <c r="V249" s="3">
        <f t="shared" si="48"/>
        <v>86544.71</v>
      </c>
      <c r="W249" s="3">
        <f t="shared" si="49"/>
        <v>446744.76</v>
      </c>
      <c r="X249" s="3">
        <f t="shared" si="50"/>
        <v>174056.4</v>
      </c>
      <c r="Y249" s="3">
        <f t="shared" si="51"/>
        <v>203549.29</v>
      </c>
      <c r="Z249" s="3">
        <f t="shared" si="52"/>
        <v>85577.73</v>
      </c>
      <c r="AA249" s="3">
        <f t="shared" si="53"/>
        <v>229174.26</v>
      </c>
      <c r="AB249" s="3">
        <f t="shared" si="54"/>
        <v>277039.77</v>
      </c>
      <c r="AC249" s="3">
        <f t="shared" si="55"/>
        <v>367452.4</v>
      </c>
      <c r="AD249" s="3">
        <f t="shared" si="56"/>
        <v>452546.64</v>
      </c>
      <c r="AE249" s="3">
        <f t="shared" si="57"/>
        <v>73973.97</v>
      </c>
      <c r="AF249" s="3">
        <f>SUM(ecommerce_sales_all_data[[#This Row],[revenue_month_1]:[revenue_month_12]])</f>
        <v>3022779.48</v>
      </c>
    </row>
    <row r="250" spans="1:32" x14ac:dyDescent="0.3">
      <c r="A250">
        <v>249</v>
      </c>
      <c r="B250" t="s">
        <v>273</v>
      </c>
      <c r="C250" t="s">
        <v>19</v>
      </c>
      <c r="D250" s="2">
        <v>481.99</v>
      </c>
      <c r="E250">
        <v>4.7</v>
      </c>
      <c r="F250">
        <v>506</v>
      </c>
      <c r="G250" s="1">
        <v>978</v>
      </c>
      <c r="H250" s="1">
        <v>569</v>
      </c>
      <c r="I250" s="1">
        <v>713</v>
      </c>
      <c r="J250" s="1">
        <v>53</v>
      </c>
      <c r="K250" s="1">
        <v>865</v>
      </c>
      <c r="L250" s="1">
        <v>835</v>
      </c>
      <c r="M250" s="1">
        <v>214</v>
      </c>
      <c r="N250" s="1">
        <v>99</v>
      </c>
      <c r="O250" s="1">
        <v>327</v>
      </c>
      <c r="P250" s="1">
        <v>898</v>
      </c>
      <c r="Q250" s="1">
        <v>449</v>
      </c>
      <c r="R250" s="1">
        <v>815</v>
      </c>
      <c r="S250" s="1">
        <f>SUM(ecommerce_sales_all_data[[#This Row],[sales_month_1]:[sales_month_12]])</f>
        <v>6815</v>
      </c>
      <c r="T250" s="3">
        <f t="shared" si="46"/>
        <v>471386.22000000003</v>
      </c>
      <c r="U250" s="3">
        <f t="shared" si="47"/>
        <v>274252.31</v>
      </c>
      <c r="V250" s="3">
        <f t="shared" si="48"/>
        <v>343658.87</v>
      </c>
      <c r="W250" s="3">
        <f t="shared" si="49"/>
        <v>25545.47</v>
      </c>
      <c r="X250" s="3">
        <f t="shared" si="50"/>
        <v>416921.35000000003</v>
      </c>
      <c r="Y250" s="3">
        <f t="shared" si="51"/>
        <v>402461.65</v>
      </c>
      <c r="Z250" s="3">
        <f t="shared" si="52"/>
        <v>103145.86</v>
      </c>
      <c r="AA250" s="3">
        <f t="shared" si="53"/>
        <v>47717.01</v>
      </c>
      <c r="AB250" s="3">
        <f t="shared" si="54"/>
        <v>157610.73000000001</v>
      </c>
      <c r="AC250" s="3">
        <f t="shared" si="55"/>
        <v>432827.02</v>
      </c>
      <c r="AD250" s="3">
        <f t="shared" si="56"/>
        <v>216413.51</v>
      </c>
      <c r="AE250" s="3">
        <f t="shared" si="57"/>
        <v>392821.85000000003</v>
      </c>
      <c r="AF250" s="3">
        <f>SUM(ecommerce_sales_all_data[[#This Row],[revenue_month_1]:[revenue_month_12]])</f>
        <v>3284761.85</v>
      </c>
    </row>
    <row r="251" spans="1:32" x14ac:dyDescent="0.3">
      <c r="A251">
        <v>250</v>
      </c>
      <c r="B251" t="s">
        <v>274</v>
      </c>
      <c r="C251" t="s">
        <v>48</v>
      </c>
      <c r="D251" s="2">
        <v>427.24</v>
      </c>
      <c r="E251">
        <v>3.5</v>
      </c>
      <c r="F251">
        <v>735</v>
      </c>
      <c r="G251" s="1">
        <v>722</v>
      </c>
      <c r="H251" s="1">
        <v>362</v>
      </c>
      <c r="I251" s="1">
        <v>363</v>
      </c>
      <c r="J251" s="1">
        <v>729</v>
      </c>
      <c r="K251" s="1">
        <v>983</v>
      </c>
      <c r="L251" s="1">
        <v>180</v>
      </c>
      <c r="M251" s="1">
        <v>966</v>
      </c>
      <c r="N251" s="1">
        <v>260</v>
      </c>
      <c r="O251" s="1">
        <v>956</v>
      </c>
      <c r="P251" s="1">
        <v>885</v>
      </c>
      <c r="Q251" s="1">
        <v>792</v>
      </c>
      <c r="R251" s="1">
        <v>423</v>
      </c>
      <c r="S251" s="1">
        <f>SUM(ecommerce_sales_all_data[[#This Row],[sales_month_1]:[sales_month_12]])</f>
        <v>7621</v>
      </c>
      <c r="T251" s="3">
        <f t="shared" si="46"/>
        <v>308467.28000000003</v>
      </c>
      <c r="U251" s="3">
        <f t="shared" si="47"/>
        <v>154660.88</v>
      </c>
      <c r="V251" s="3">
        <f t="shared" si="48"/>
        <v>155088.12</v>
      </c>
      <c r="W251" s="3">
        <f t="shared" si="49"/>
        <v>311457.96000000002</v>
      </c>
      <c r="X251" s="3">
        <f t="shared" si="50"/>
        <v>419976.92</v>
      </c>
      <c r="Y251" s="3">
        <f t="shared" si="51"/>
        <v>76903.199999999997</v>
      </c>
      <c r="Z251" s="3">
        <f t="shared" si="52"/>
        <v>412713.84</v>
      </c>
      <c r="AA251" s="3">
        <f t="shared" si="53"/>
        <v>111082.40000000001</v>
      </c>
      <c r="AB251" s="3">
        <f t="shared" si="54"/>
        <v>408441.44</v>
      </c>
      <c r="AC251" s="3">
        <f t="shared" si="55"/>
        <v>378107.4</v>
      </c>
      <c r="AD251" s="3">
        <f t="shared" si="56"/>
        <v>338374.08</v>
      </c>
      <c r="AE251" s="3">
        <f t="shared" si="57"/>
        <v>180722.52</v>
      </c>
      <c r="AF251" s="3">
        <f>SUM(ecommerce_sales_all_data[[#This Row],[revenue_month_1]:[revenue_month_12]])</f>
        <v>3255996.04</v>
      </c>
    </row>
    <row r="252" spans="1:32" x14ac:dyDescent="0.3">
      <c r="A252">
        <v>251</v>
      </c>
      <c r="B252" t="s">
        <v>275</v>
      </c>
      <c r="C252" t="s">
        <v>26</v>
      </c>
      <c r="D252" s="2">
        <v>150.75</v>
      </c>
      <c r="E252">
        <v>4.2</v>
      </c>
      <c r="F252">
        <v>571</v>
      </c>
      <c r="G252" s="1">
        <v>651</v>
      </c>
      <c r="H252" s="1">
        <v>122</v>
      </c>
      <c r="I252" s="1">
        <v>478</v>
      </c>
      <c r="J252" s="1">
        <v>527</v>
      </c>
      <c r="K252" s="1">
        <v>487</v>
      </c>
      <c r="L252" s="1">
        <v>544</v>
      </c>
      <c r="M252" s="1">
        <v>314</v>
      </c>
      <c r="N252" s="1">
        <v>992</v>
      </c>
      <c r="O252" s="1">
        <v>380</v>
      </c>
      <c r="P252" s="1">
        <v>950</v>
      </c>
      <c r="Q252" s="1">
        <v>883</v>
      </c>
      <c r="R252" s="1">
        <v>272</v>
      </c>
      <c r="S252" s="1">
        <f>SUM(ecommerce_sales_all_data[[#This Row],[sales_month_1]:[sales_month_12]])</f>
        <v>6600</v>
      </c>
      <c r="T252" s="3">
        <f t="shared" si="46"/>
        <v>98138.25</v>
      </c>
      <c r="U252" s="3">
        <f t="shared" si="47"/>
        <v>18391.5</v>
      </c>
      <c r="V252" s="3">
        <f t="shared" si="48"/>
        <v>72058.5</v>
      </c>
      <c r="W252" s="3">
        <f t="shared" si="49"/>
        <v>79445.25</v>
      </c>
      <c r="X252" s="3">
        <f t="shared" si="50"/>
        <v>73415.25</v>
      </c>
      <c r="Y252" s="3">
        <f t="shared" si="51"/>
        <v>82008</v>
      </c>
      <c r="Z252" s="3">
        <f t="shared" si="52"/>
        <v>47335.5</v>
      </c>
      <c r="AA252" s="3">
        <f t="shared" si="53"/>
        <v>149544</v>
      </c>
      <c r="AB252" s="3">
        <f t="shared" si="54"/>
        <v>57285</v>
      </c>
      <c r="AC252" s="3">
        <f t="shared" si="55"/>
        <v>143212.5</v>
      </c>
      <c r="AD252" s="3">
        <f t="shared" si="56"/>
        <v>133112.25</v>
      </c>
      <c r="AE252" s="3">
        <f t="shared" si="57"/>
        <v>41004</v>
      </c>
      <c r="AF252" s="3">
        <f>SUM(ecommerce_sales_all_data[[#This Row],[revenue_month_1]:[revenue_month_12]])</f>
        <v>994950</v>
      </c>
    </row>
    <row r="253" spans="1:32" x14ac:dyDescent="0.3">
      <c r="A253">
        <v>252</v>
      </c>
      <c r="B253" t="s">
        <v>276</v>
      </c>
      <c r="C253" t="s">
        <v>26</v>
      </c>
      <c r="D253" s="2">
        <v>195.62</v>
      </c>
      <c r="E253">
        <v>2.9</v>
      </c>
      <c r="F253">
        <v>247</v>
      </c>
      <c r="G253" s="1">
        <v>292</v>
      </c>
      <c r="H253" s="1">
        <v>187</v>
      </c>
      <c r="I253" s="1">
        <v>564</v>
      </c>
      <c r="J253" s="1">
        <v>610</v>
      </c>
      <c r="K253" s="1">
        <v>351</v>
      </c>
      <c r="L253" s="1">
        <v>70</v>
      </c>
      <c r="M253" s="1">
        <v>38</v>
      </c>
      <c r="N253" s="1">
        <v>304</v>
      </c>
      <c r="O253" s="1">
        <v>672</v>
      </c>
      <c r="P253" s="1">
        <v>781</v>
      </c>
      <c r="Q253" s="1">
        <v>491</v>
      </c>
      <c r="R253" s="1">
        <v>935</v>
      </c>
      <c r="S253" s="1">
        <f>SUM(ecommerce_sales_all_data[[#This Row],[sales_month_1]:[sales_month_12]])</f>
        <v>5295</v>
      </c>
      <c r="T253" s="3">
        <f t="shared" si="46"/>
        <v>57121.04</v>
      </c>
      <c r="U253" s="3">
        <f t="shared" si="47"/>
        <v>36580.94</v>
      </c>
      <c r="V253" s="3">
        <f t="shared" si="48"/>
        <v>110329.68000000001</v>
      </c>
      <c r="W253" s="3">
        <f t="shared" si="49"/>
        <v>119328.2</v>
      </c>
      <c r="X253" s="3">
        <f t="shared" si="50"/>
        <v>68662.62</v>
      </c>
      <c r="Y253" s="3">
        <f t="shared" si="51"/>
        <v>13693.4</v>
      </c>
      <c r="Z253" s="3">
        <f t="shared" si="52"/>
        <v>7433.56</v>
      </c>
      <c r="AA253" s="3">
        <f t="shared" si="53"/>
        <v>59468.480000000003</v>
      </c>
      <c r="AB253" s="3">
        <f t="shared" si="54"/>
        <v>131456.64000000001</v>
      </c>
      <c r="AC253" s="3">
        <f t="shared" si="55"/>
        <v>152779.22</v>
      </c>
      <c r="AD253" s="3">
        <f t="shared" si="56"/>
        <v>96049.42</v>
      </c>
      <c r="AE253" s="3">
        <f t="shared" si="57"/>
        <v>182904.7</v>
      </c>
      <c r="AF253" s="3">
        <f>SUM(ecommerce_sales_all_data[[#This Row],[revenue_month_1]:[revenue_month_12]])</f>
        <v>1035807.9000000001</v>
      </c>
    </row>
    <row r="254" spans="1:32" x14ac:dyDescent="0.3">
      <c r="A254">
        <v>253</v>
      </c>
      <c r="B254" t="s">
        <v>277</v>
      </c>
      <c r="C254" t="s">
        <v>19</v>
      </c>
      <c r="D254" s="2">
        <v>426.31</v>
      </c>
      <c r="E254">
        <v>1.5</v>
      </c>
      <c r="F254">
        <v>640</v>
      </c>
      <c r="G254" s="1">
        <v>809</v>
      </c>
      <c r="H254" s="1">
        <v>741</v>
      </c>
      <c r="I254" s="1">
        <v>470</v>
      </c>
      <c r="J254" s="1">
        <v>531</v>
      </c>
      <c r="K254" s="1">
        <v>700</v>
      </c>
      <c r="L254" s="1">
        <v>567</v>
      </c>
      <c r="M254" s="1">
        <v>258</v>
      </c>
      <c r="N254" s="1">
        <v>353</v>
      </c>
      <c r="O254" s="1">
        <v>577</v>
      </c>
      <c r="P254" s="1">
        <v>441</v>
      </c>
      <c r="Q254" s="1">
        <v>188</v>
      </c>
      <c r="R254" s="1">
        <v>646</v>
      </c>
      <c r="S254" s="1">
        <f>SUM(ecommerce_sales_all_data[[#This Row],[sales_month_1]:[sales_month_12]])</f>
        <v>6281</v>
      </c>
      <c r="T254" s="3">
        <f t="shared" si="46"/>
        <v>344884.79</v>
      </c>
      <c r="U254" s="3">
        <f t="shared" si="47"/>
        <v>315895.71000000002</v>
      </c>
      <c r="V254" s="3">
        <f t="shared" si="48"/>
        <v>200365.7</v>
      </c>
      <c r="W254" s="3">
        <f t="shared" si="49"/>
        <v>226370.61000000002</v>
      </c>
      <c r="X254" s="3">
        <f t="shared" si="50"/>
        <v>298417</v>
      </c>
      <c r="Y254" s="3">
        <f t="shared" si="51"/>
        <v>241717.77</v>
      </c>
      <c r="Z254" s="3">
        <f t="shared" si="52"/>
        <v>109987.98</v>
      </c>
      <c r="AA254" s="3">
        <f t="shared" si="53"/>
        <v>150487.43</v>
      </c>
      <c r="AB254" s="3">
        <f t="shared" si="54"/>
        <v>245980.87</v>
      </c>
      <c r="AC254" s="3">
        <f t="shared" si="55"/>
        <v>188002.71</v>
      </c>
      <c r="AD254" s="3">
        <f t="shared" si="56"/>
        <v>80146.28</v>
      </c>
      <c r="AE254" s="3">
        <f t="shared" si="57"/>
        <v>275396.26</v>
      </c>
      <c r="AF254" s="3">
        <f>SUM(ecommerce_sales_all_data[[#This Row],[revenue_month_1]:[revenue_month_12]])</f>
        <v>2677653.1099999994</v>
      </c>
    </row>
    <row r="255" spans="1:32" x14ac:dyDescent="0.3">
      <c r="A255">
        <v>254</v>
      </c>
      <c r="B255" t="s">
        <v>278</v>
      </c>
      <c r="C255" t="s">
        <v>23</v>
      </c>
      <c r="D255" s="2">
        <v>161.88</v>
      </c>
      <c r="E255">
        <v>1.5</v>
      </c>
      <c r="F255">
        <v>795</v>
      </c>
      <c r="G255" s="1">
        <v>912</v>
      </c>
      <c r="H255" s="1">
        <v>679</v>
      </c>
      <c r="I255" s="1">
        <v>383</v>
      </c>
      <c r="J255" s="1">
        <v>557</v>
      </c>
      <c r="K255" s="1">
        <v>927</v>
      </c>
      <c r="L255" s="1">
        <v>104</v>
      </c>
      <c r="M255" s="1">
        <v>715</v>
      </c>
      <c r="N255" s="1">
        <v>285</v>
      </c>
      <c r="O255" s="1">
        <v>797</v>
      </c>
      <c r="P255" s="1">
        <v>216</v>
      </c>
      <c r="Q255" s="1">
        <v>577</v>
      </c>
      <c r="R255" s="1">
        <v>824</v>
      </c>
      <c r="S255" s="1">
        <f>SUM(ecommerce_sales_all_data[[#This Row],[sales_month_1]:[sales_month_12]])</f>
        <v>6976</v>
      </c>
      <c r="T255" s="3">
        <f t="shared" si="46"/>
        <v>147634.56</v>
      </c>
      <c r="U255" s="3">
        <f t="shared" si="47"/>
        <v>109916.52</v>
      </c>
      <c r="V255" s="3">
        <f t="shared" si="48"/>
        <v>62000.04</v>
      </c>
      <c r="W255" s="3">
        <f t="shared" si="49"/>
        <v>90167.16</v>
      </c>
      <c r="X255" s="3">
        <f t="shared" si="50"/>
        <v>150062.76</v>
      </c>
      <c r="Y255" s="3">
        <f t="shared" si="51"/>
        <v>16835.52</v>
      </c>
      <c r="Z255" s="3">
        <f t="shared" si="52"/>
        <v>115744.2</v>
      </c>
      <c r="AA255" s="3">
        <f t="shared" si="53"/>
        <v>46135.799999999996</v>
      </c>
      <c r="AB255" s="3">
        <f t="shared" si="54"/>
        <v>129018.36</v>
      </c>
      <c r="AC255" s="3">
        <f t="shared" si="55"/>
        <v>34966.080000000002</v>
      </c>
      <c r="AD255" s="3">
        <f t="shared" si="56"/>
        <v>93404.76</v>
      </c>
      <c r="AE255" s="3">
        <f t="shared" si="57"/>
        <v>133389.12</v>
      </c>
      <c r="AF255" s="3">
        <f>SUM(ecommerce_sales_all_data[[#This Row],[revenue_month_1]:[revenue_month_12]])</f>
        <v>1129274.8799999999</v>
      </c>
    </row>
    <row r="256" spans="1:32" x14ac:dyDescent="0.3">
      <c r="A256">
        <v>255</v>
      </c>
      <c r="B256" t="s">
        <v>279</v>
      </c>
      <c r="C256" t="s">
        <v>23</v>
      </c>
      <c r="D256" s="2">
        <v>88.9</v>
      </c>
      <c r="E256">
        <v>3.7</v>
      </c>
      <c r="F256">
        <v>837</v>
      </c>
      <c r="G256" s="1">
        <v>100</v>
      </c>
      <c r="H256" s="1">
        <v>419</v>
      </c>
      <c r="I256" s="1">
        <v>691</v>
      </c>
      <c r="J256" s="1">
        <v>962</v>
      </c>
      <c r="K256" s="1">
        <v>255</v>
      </c>
      <c r="L256" s="1">
        <v>199</v>
      </c>
      <c r="M256" s="1">
        <v>6</v>
      </c>
      <c r="N256" s="1">
        <v>327</v>
      </c>
      <c r="O256" s="1">
        <v>238</v>
      </c>
      <c r="P256" s="1">
        <v>910</v>
      </c>
      <c r="Q256" s="1">
        <v>809</v>
      </c>
      <c r="R256" s="1">
        <v>519</v>
      </c>
      <c r="S256" s="1">
        <f>SUM(ecommerce_sales_all_data[[#This Row],[sales_month_1]:[sales_month_12]])</f>
        <v>5435</v>
      </c>
      <c r="T256" s="3">
        <f t="shared" si="46"/>
        <v>8890</v>
      </c>
      <c r="U256" s="3">
        <f t="shared" si="47"/>
        <v>37249.100000000006</v>
      </c>
      <c r="V256" s="3">
        <f t="shared" si="48"/>
        <v>61429.9</v>
      </c>
      <c r="W256" s="3">
        <f t="shared" si="49"/>
        <v>85521.8</v>
      </c>
      <c r="X256" s="3">
        <f t="shared" si="50"/>
        <v>22669.5</v>
      </c>
      <c r="Y256" s="3">
        <f t="shared" si="51"/>
        <v>17691.100000000002</v>
      </c>
      <c r="Z256" s="3">
        <f t="shared" si="52"/>
        <v>533.40000000000009</v>
      </c>
      <c r="AA256" s="3">
        <f t="shared" si="53"/>
        <v>29070.300000000003</v>
      </c>
      <c r="AB256" s="3">
        <f t="shared" si="54"/>
        <v>21158.2</v>
      </c>
      <c r="AC256" s="3">
        <f t="shared" si="55"/>
        <v>80899</v>
      </c>
      <c r="AD256" s="3">
        <f t="shared" si="56"/>
        <v>71920.100000000006</v>
      </c>
      <c r="AE256" s="3">
        <f t="shared" si="57"/>
        <v>46139.100000000006</v>
      </c>
      <c r="AF256" s="3">
        <f>SUM(ecommerce_sales_all_data[[#This Row],[revenue_month_1]:[revenue_month_12]])</f>
        <v>483171.5</v>
      </c>
    </row>
    <row r="257" spans="1:32" x14ac:dyDescent="0.3">
      <c r="A257">
        <v>256</v>
      </c>
      <c r="B257" t="s">
        <v>280</v>
      </c>
      <c r="C257" t="s">
        <v>23</v>
      </c>
      <c r="D257" s="2">
        <v>280.62</v>
      </c>
      <c r="E257">
        <v>2.7</v>
      </c>
      <c r="F257">
        <v>537</v>
      </c>
      <c r="G257" s="1">
        <v>501</v>
      </c>
      <c r="H257" s="1">
        <v>625</v>
      </c>
      <c r="I257" s="1">
        <v>925</v>
      </c>
      <c r="J257" s="1">
        <v>192</v>
      </c>
      <c r="K257" s="1">
        <v>221</v>
      </c>
      <c r="L257" s="1">
        <v>100</v>
      </c>
      <c r="M257" s="1">
        <v>48</v>
      </c>
      <c r="N257" s="1">
        <v>102</v>
      </c>
      <c r="O257" s="1">
        <v>531</v>
      </c>
      <c r="P257" s="1">
        <v>1</v>
      </c>
      <c r="Q257" s="1">
        <v>960</v>
      </c>
      <c r="R257" s="1">
        <v>127</v>
      </c>
      <c r="S257" s="1">
        <f>SUM(ecommerce_sales_all_data[[#This Row],[sales_month_1]:[sales_month_12]])</f>
        <v>4333</v>
      </c>
      <c r="T257" s="3">
        <f t="shared" si="46"/>
        <v>140590.62</v>
      </c>
      <c r="U257" s="3">
        <f t="shared" si="47"/>
        <v>175387.5</v>
      </c>
      <c r="V257" s="3">
        <f t="shared" si="48"/>
        <v>259573.5</v>
      </c>
      <c r="W257" s="3">
        <f t="shared" si="49"/>
        <v>53879.040000000001</v>
      </c>
      <c r="X257" s="3">
        <f t="shared" si="50"/>
        <v>62017.020000000004</v>
      </c>
      <c r="Y257" s="3">
        <f t="shared" si="51"/>
        <v>28062</v>
      </c>
      <c r="Z257" s="3">
        <f t="shared" si="52"/>
        <v>13469.76</v>
      </c>
      <c r="AA257" s="3">
        <f t="shared" si="53"/>
        <v>28623.24</v>
      </c>
      <c r="AB257" s="3">
        <f t="shared" si="54"/>
        <v>149009.22</v>
      </c>
      <c r="AC257" s="3">
        <f t="shared" si="55"/>
        <v>280.62</v>
      </c>
      <c r="AD257" s="3">
        <f t="shared" si="56"/>
        <v>269395.20000000001</v>
      </c>
      <c r="AE257" s="3">
        <f t="shared" si="57"/>
        <v>35638.74</v>
      </c>
      <c r="AF257" s="3">
        <f>SUM(ecommerce_sales_all_data[[#This Row],[revenue_month_1]:[revenue_month_12]])</f>
        <v>1215926.46</v>
      </c>
    </row>
    <row r="258" spans="1:32" x14ac:dyDescent="0.3">
      <c r="A258">
        <v>257</v>
      </c>
      <c r="B258" t="s">
        <v>281</v>
      </c>
      <c r="C258" t="s">
        <v>21</v>
      </c>
      <c r="D258" s="2">
        <v>468.4</v>
      </c>
      <c r="E258">
        <v>1.8</v>
      </c>
      <c r="F258">
        <v>131</v>
      </c>
      <c r="G258" s="1">
        <v>303</v>
      </c>
      <c r="H258" s="1">
        <v>251</v>
      </c>
      <c r="I258" s="1">
        <v>416</v>
      </c>
      <c r="J258" s="1">
        <v>894</v>
      </c>
      <c r="K258" s="1">
        <v>883</v>
      </c>
      <c r="L258" s="1">
        <v>767</v>
      </c>
      <c r="M258" s="1">
        <v>537</v>
      </c>
      <c r="N258" s="1">
        <v>62</v>
      </c>
      <c r="O258" s="1">
        <v>699</v>
      </c>
      <c r="P258" s="1">
        <v>535</v>
      </c>
      <c r="Q258" s="1">
        <v>419</v>
      </c>
      <c r="R258" s="1">
        <v>372</v>
      </c>
      <c r="S258" s="1">
        <f>SUM(ecommerce_sales_all_data[[#This Row],[sales_month_1]:[sales_month_12]])</f>
        <v>6138</v>
      </c>
      <c r="T258" s="3">
        <f t="shared" ref="T258:T321" si="58">G258*$D258</f>
        <v>141925.19999999998</v>
      </c>
      <c r="U258" s="3">
        <f t="shared" ref="U258:U321" si="59">H258*$D258</f>
        <v>117568.4</v>
      </c>
      <c r="V258" s="3">
        <f t="shared" si="48"/>
        <v>194854.39999999999</v>
      </c>
      <c r="W258" s="3">
        <f t="shared" si="49"/>
        <v>418749.6</v>
      </c>
      <c r="X258" s="3">
        <f t="shared" si="50"/>
        <v>413597.19999999995</v>
      </c>
      <c r="Y258" s="3">
        <f t="shared" si="51"/>
        <v>359262.8</v>
      </c>
      <c r="Z258" s="3">
        <f t="shared" si="52"/>
        <v>251530.8</v>
      </c>
      <c r="AA258" s="3">
        <f t="shared" si="53"/>
        <v>29040.799999999999</v>
      </c>
      <c r="AB258" s="3">
        <f t="shared" si="54"/>
        <v>327411.59999999998</v>
      </c>
      <c r="AC258" s="3">
        <f t="shared" si="55"/>
        <v>250594</v>
      </c>
      <c r="AD258" s="3">
        <f t="shared" si="56"/>
        <v>196259.59999999998</v>
      </c>
      <c r="AE258" s="3">
        <f t="shared" si="57"/>
        <v>174244.8</v>
      </c>
      <c r="AF258" s="3">
        <f>SUM(ecommerce_sales_all_data[[#This Row],[revenue_month_1]:[revenue_month_12]])</f>
        <v>2875039.1999999997</v>
      </c>
    </row>
    <row r="259" spans="1:32" x14ac:dyDescent="0.3">
      <c r="A259">
        <v>258</v>
      </c>
      <c r="B259" t="s">
        <v>282</v>
      </c>
      <c r="C259" t="s">
        <v>35</v>
      </c>
      <c r="D259" s="2">
        <v>349.53</v>
      </c>
      <c r="E259">
        <v>3</v>
      </c>
      <c r="F259">
        <v>353</v>
      </c>
      <c r="G259" s="1">
        <v>870</v>
      </c>
      <c r="H259" s="1">
        <v>618</v>
      </c>
      <c r="I259" s="1">
        <v>824</v>
      </c>
      <c r="J259" s="1">
        <v>57</v>
      </c>
      <c r="K259" s="1">
        <v>752</v>
      </c>
      <c r="L259" s="1">
        <v>306</v>
      </c>
      <c r="M259" s="1">
        <v>160</v>
      </c>
      <c r="N259" s="1">
        <v>686</v>
      </c>
      <c r="O259" s="1">
        <v>81</v>
      </c>
      <c r="P259" s="1">
        <v>717</v>
      </c>
      <c r="Q259" s="1">
        <v>248</v>
      </c>
      <c r="R259" s="1">
        <v>567</v>
      </c>
      <c r="S259" s="1">
        <f>SUM(ecommerce_sales_all_data[[#This Row],[sales_month_1]:[sales_month_12]])</f>
        <v>5886</v>
      </c>
      <c r="T259" s="3">
        <f t="shared" si="58"/>
        <v>304091.09999999998</v>
      </c>
      <c r="U259" s="3">
        <f t="shared" si="59"/>
        <v>216009.53999999998</v>
      </c>
      <c r="V259" s="3">
        <f t="shared" ref="V259:V322" si="60">I259*$D259</f>
        <v>288012.71999999997</v>
      </c>
      <c r="W259" s="3">
        <f t="shared" ref="W259:W322" si="61">J259*$D259</f>
        <v>19923.21</v>
      </c>
      <c r="X259" s="3">
        <f t="shared" ref="X259:X322" si="62">K259*$D259</f>
        <v>262846.56</v>
      </c>
      <c r="Y259" s="3">
        <f t="shared" ref="Y259:Y322" si="63">L259*$D259</f>
        <v>106956.18</v>
      </c>
      <c r="Z259" s="3">
        <f t="shared" ref="Z259:Z322" si="64">M259*$D259</f>
        <v>55924.799999999996</v>
      </c>
      <c r="AA259" s="3">
        <f t="shared" ref="AA259:AA322" si="65">N259*$D259</f>
        <v>239777.58</v>
      </c>
      <c r="AB259" s="3">
        <f t="shared" ref="AB259:AB322" si="66">O259*$D259</f>
        <v>28311.929999999997</v>
      </c>
      <c r="AC259" s="3">
        <f t="shared" ref="AC259:AC322" si="67">P259*$D259</f>
        <v>250613.00999999998</v>
      </c>
      <c r="AD259" s="3">
        <f t="shared" ref="AD259:AD322" si="68">Q259*$D259</f>
        <v>86683.439999999988</v>
      </c>
      <c r="AE259" s="3">
        <f t="shared" ref="AE259:AE322" si="69">R259*$D259</f>
        <v>198183.50999999998</v>
      </c>
      <c r="AF259" s="3">
        <f>SUM(ecommerce_sales_all_data[[#This Row],[revenue_month_1]:[revenue_month_12]])</f>
        <v>2057333.5799999998</v>
      </c>
    </row>
    <row r="260" spans="1:32" x14ac:dyDescent="0.3">
      <c r="A260">
        <v>259</v>
      </c>
      <c r="B260" t="s">
        <v>283</v>
      </c>
      <c r="C260" t="s">
        <v>35</v>
      </c>
      <c r="D260" s="2">
        <v>287.18</v>
      </c>
      <c r="E260">
        <v>1.3</v>
      </c>
      <c r="F260">
        <v>196</v>
      </c>
      <c r="G260" s="1">
        <v>539</v>
      </c>
      <c r="H260" s="1">
        <v>548</v>
      </c>
      <c r="I260" s="1">
        <v>307</v>
      </c>
      <c r="J260" s="1">
        <v>436</v>
      </c>
      <c r="K260" s="1">
        <v>780</v>
      </c>
      <c r="L260" s="1">
        <v>585</v>
      </c>
      <c r="M260" s="1">
        <v>868</v>
      </c>
      <c r="N260" s="1">
        <v>281</v>
      </c>
      <c r="O260" s="1">
        <v>362</v>
      </c>
      <c r="P260" s="1">
        <v>831</v>
      </c>
      <c r="Q260" s="1">
        <v>587</v>
      </c>
      <c r="R260" s="1">
        <v>637</v>
      </c>
      <c r="S260" s="1">
        <f>SUM(ecommerce_sales_all_data[[#This Row],[sales_month_1]:[sales_month_12]])</f>
        <v>6761</v>
      </c>
      <c r="T260" s="3">
        <f t="shared" si="58"/>
        <v>154790.01999999999</v>
      </c>
      <c r="U260" s="3">
        <f t="shared" si="59"/>
        <v>157374.64000000001</v>
      </c>
      <c r="V260" s="3">
        <f t="shared" si="60"/>
        <v>88164.260000000009</v>
      </c>
      <c r="W260" s="3">
        <f t="shared" si="61"/>
        <v>125210.48</v>
      </c>
      <c r="X260" s="3">
        <f t="shared" si="62"/>
        <v>224000.4</v>
      </c>
      <c r="Y260" s="3">
        <f t="shared" si="63"/>
        <v>168000.30000000002</v>
      </c>
      <c r="Z260" s="3">
        <f t="shared" si="64"/>
        <v>249272.24000000002</v>
      </c>
      <c r="AA260" s="3">
        <f t="shared" si="65"/>
        <v>80697.58</v>
      </c>
      <c r="AB260" s="3">
        <f t="shared" si="66"/>
        <v>103959.16</v>
      </c>
      <c r="AC260" s="3">
        <f t="shared" si="67"/>
        <v>238646.58000000002</v>
      </c>
      <c r="AD260" s="3">
        <f t="shared" si="68"/>
        <v>168574.66</v>
      </c>
      <c r="AE260" s="3">
        <f t="shared" si="69"/>
        <v>182933.66</v>
      </c>
      <c r="AF260" s="3">
        <f>SUM(ecommerce_sales_all_data[[#This Row],[revenue_month_1]:[revenue_month_12]])</f>
        <v>1941623.98</v>
      </c>
    </row>
    <row r="261" spans="1:32" x14ac:dyDescent="0.3">
      <c r="A261">
        <v>260</v>
      </c>
      <c r="B261" t="s">
        <v>284</v>
      </c>
      <c r="C261" t="s">
        <v>23</v>
      </c>
      <c r="D261" s="2">
        <v>53.1</v>
      </c>
      <c r="E261">
        <v>3.3</v>
      </c>
      <c r="F261">
        <v>793</v>
      </c>
      <c r="G261" s="1">
        <v>552</v>
      </c>
      <c r="H261" s="1">
        <v>334</v>
      </c>
      <c r="I261" s="1">
        <v>648</v>
      </c>
      <c r="J261" s="1">
        <v>110</v>
      </c>
      <c r="K261" s="1">
        <v>0</v>
      </c>
      <c r="L261" s="1">
        <v>682</v>
      </c>
      <c r="M261" s="1">
        <v>175</v>
      </c>
      <c r="N261" s="1">
        <v>440</v>
      </c>
      <c r="O261" s="1">
        <v>504</v>
      </c>
      <c r="P261" s="1">
        <v>710</v>
      </c>
      <c r="Q261" s="1">
        <v>648</v>
      </c>
      <c r="R261" s="1">
        <v>158</v>
      </c>
      <c r="S261" s="1">
        <f>SUM(ecommerce_sales_all_data[[#This Row],[sales_month_1]:[sales_month_12]])</f>
        <v>4961</v>
      </c>
      <c r="T261" s="3">
        <f t="shared" si="58"/>
        <v>29311.200000000001</v>
      </c>
      <c r="U261" s="3">
        <f t="shared" si="59"/>
        <v>17735.400000000001</v>
      </c>
      <c r="V261" s="3">
        <f t="shared" si="60"/>
        <v>34408.800000000003</v>
      </c>
      <c r="W261" s="3">
        <f t="shared" si="61"/>
        <v>5841</v>
      </c>
      <c r="X261" s="3">
        <f t="shared" si="62"/>
        <v>0</v>
      </c>
      <c r="Y261" s="3">
        <f t="shared" si="63"/>
        <v>36214.200000000004</v>
      </c>
      <c r="Z261" s="3">
        <f t="shared" si="64"/>
        <v>9292.5</v>
      </c>
      <c r="AA261" s="3">
        <f t="shared" si="65"/>
        <v>23364</v>
      </c>
      <c r="AB261" s="3">
        <f t="shared" si="66"/>
        <v>26762.400000000001</v>
      </c>
      <c r="AC261" s="3">
        <f t="shared" si="67"/>
        <v>37701</v>
      </c>
      <c r="AD261" s="3">
        <f t="shared" si="68"/>
        <v>34408.800000000003</v>
      </c>
      <c r="AE261" s="3">
        <f t="shared" si="69"/>
        <v>8389.8000000000011</v>
      </c>
      <c r="AF261" s="3">
        <f>SUM(ecommerce_sales_all_data[[#This Row],[revenue_month_1]:[revenue_month_12]])</f>
        <v>263429.09999999998</v>
      </c>
    </row>
    <row r="262" spans="1:32" x14ac:dyDescent="0.3">
      <c r="A262">
        <v>261</v>
      </c>
      <c r="B262" t="s">
        <v>285</v>
      </c>
      <c r="C262" t="s">
        <v>19</v>
      </c>
      <c r="D262" s="2">
        <v>309.43</v>
      </c>
      <c r="E262">
        <v>2.1</v>
      </c>
      <c r="F262">
        <v>916</v>
      </c>
      <c r="G262" s="1">
        <v>354</v>
      </c>
      <c r="H262" s="1">
        <v>91</v>
      </c>
      <c r="I262" s="1">
        <v>693</v>
      </c>
      <c r="J262" s="1">
        <v>128</v>
      </c>
      <c r="K262" s="1">
        <v>545</v>
      </c>
      <c r="L262" s="1">
        <v>376</v>
      </c>
      <c r="M262" s="1">
        <v>590</v>
      </c>
      <c r="N262" s="1">
        <v>292</v>
      </c>
      <c r="O262" s="1">
        <v>201</v>
      </c>
      <c r="P262" s="1">
        <v>355</v>
      </c>
      <c r="Q262" s="1">
        <v>163</v>
      </c>
      <c r="R262" s="1">
        <v>570</v>
      </c>
      <c r="S262" s="1">
        <f>SUM(ecommerce_sales_all_data[[#This Row],[sales_month_1]:[sales_month_12]])</f>
        <v>4358</v>
      </c>
      <c r="T262" s="3">
        <f t="shared" si="58"/>
        <v>109538.22</v>
      </c>
      <c r="U262" s="3">
        <f t="shared" si="59"/>
        <v>28158.13</v>
      </c>
      <c r="V262" s="3">
        <f t="shared" si="60"/>
        <v>214434.99</v>
      </c>
      <c r="W262" s="3">
        <f t="shared" si="61"/>
        <v>39607.040000000001</v>
      </c>
      <c r="X262" s="3">
        <f t="shared" si="62"/>
        <v>168639.35</v>
      </c>
      <c r="Y262" s="3">
        <f t="shared" si="63"/>
        <v>116345.68000000001</v>
      </c>
      <c r="Z262" s="3">
        <f t="shared" si="64"/>
        <v>182563.7</v>
      </c>
      <c r="AA262" s="3">
        <f t="shared" si="65"/>
        <v>90353.56</v>
      </c>
      <c r="AB262" s="3">
        <f t="shared" si="66"/>
        <v>62195.43</v>
      </c>
      <c r="AC262" s="3">
        <f t="shared" si="67"/>
        <v>109847.65000000001</v>
      </c>
      <c r="AD262" s="3">
        <f t="shared" si="68"/>
        <v>50437.090000000004</v>
      </c>
      <c r="AE262" s="3">
        <f t="shared" si="69"/>
        <v>176375.1</v>
      </c>
      <c r="AF262" s="3">
        <f>SUM(ecommerce_sales_all_data[[#This Row],[revenue_month_1]:[revenue_month_12]])</f>
        <v>1348495.9400000004</v>
      </c>
    </row>
    <row r="263" spans="1:32" x14ac:dyDescent="0.3">
      <c r="A263">
        <v>262</v>
      </c>
      <c r="B263" t="s">
        <v>286</v>
      </c>
      <c r="C263" t="s">
        <v>21</v>
      </c>
      <c r="D263" s="2">
        <v>495.08</v>
      </c>
      <c r="E263">
        <v>4.2</v>
      </c>
      <c r="F263">
        <v>930</v>
      </c>
      <c r="G263" s="1">
        <v>302</v>
      </c>
      <c r="H263" s="1">
        <v>529</v>
      </c>
      <c r="I263" s="1">
        <v>366</v>
      </c>
      <c r="J263" s="1">
        <v>848</v>
      </c>
      <c r="K263" s="1">
        <v>445</v>
      </c>
      <c r="L263" s="1">
        <v>654</v>
      </c>
      <c r="M263" s="1">
        <v>1</v>
      </c>
      <c r="N263" s="1">
        <v>737</v>
      </c>
      <c r="O263" s="1">
        <v>919</v>
      </c>
      <c r="P263" s="1">
        <v>625</v>
      </c>
      <c r="Q263" s="1">
        <v>744</v>
      </c>
      <c r="R263" s="1">
        <v>569</v>
      </c>
      <c r="S263" s="1">
        <f>SUM(ecommerce_sales_all_data[[#This Row],[sales_month_1]:[sales_month_12]])</f>
        <v>6739</v>
      </c>
      <c r="T263" s="3">
        <f t="shared" si="58"/>
        <v>149514.16</v>
      </c>
      <c r="U263" s="3">
        <f t="shared" si="59"/>
        <v>261897.31999999998</v>
      </c>
      <c r="V263" s="3">
        <f t="shared" si="60"/>
        <v>181199.28</v>
      </c>
      <c r="W263" s="3">
        <f t="shared" si="61"/>
        <v>419827.83999999997</v>
      </c>
      <c r="X263" s="3">
        <f t="shared" si="62"/>
        <v>220310.6</v>
      </c>
      <c r="Y263" s="3">
        <f t="shared" si="63"/>
        <v>323782.32</v>
      </c>
      <c r="Z263" s="3">
        <f t="shared" si="64"/>
        <v>495.08</v>
      </c>
      <c r="AA263" s="3">
        <f t="shared" si="65"/>
        <v>364873.95999999996</v>
      </c>
      <c r="AB263" s="3">
        <f t="shared" si="66"/>
        <v>454978.51999999996</v>
      </c>
      <c r="AC263" s="3">
        <f t="shared" si="67"/>
        <v>309425</v>
      </c>
      <c r="AD263" s="3">
        <f t="shared" si="68"/>
        <v>368339.51999999996</v>
      </c>
      <c r="AE263" s="3">
        <f t="shared" si="69"/>
        <v>281700.52</v>
      </c>
      <c r="AF263" s="3">
        <f>SUM(ecommerce_sales_all_data[[#This Row],[revenue_month_1]:[revenue_month_12]])</f>
        <v>3336344.12</v>
      </c>
    </row>
    <row r="264" spans="1:32" x14ac:dyDescent="0.3">
      <c r="A264">
        <v>263</v>
      </c>
      <c r="B264" t="s">
        <v>287</v>
      </c>
      <c r="C264" t="s">
        <v>35</v>
      </c>
      <c r="D264" s="2">
        <v>74.34</v>
      </c>
      <c r="E264">
        <v>2.2000000000000002</v>
      </c>
      <c r="F264">
        <v>666</v>
      </c>
      <c r="G264" s="1">
        <v>495</v>
      </c>
      <c r="H264" s="1">
        <v>865</v>
      </c>
      <c r="I264" s="1">
        <v>0</v>
      </c>
      <c r="J264" s="1">
        <v>705</v>
      </c>
      <c r="K264" s="1">
        <v>78</v>
      </c>
      <c r="L264" s="1">
        <v>677</v>
      </c>
      <c r="M264" s="1">
        <v>1000</v>
      </c>
      <c r="N264" s="1">
        <v>6</v>
      </c>
      <c r="O264" s="1">
        <v>503</v>
      </c>
      <c r="P264" s="1">
        <v>791</v>
      </c>
      <c r="Q264" s="1">
        <v>254</v>
      </c>
      <c r="R264" s="1">
        <v>651</v>
      </c>
      <c r="S264" s="1">
        <f>SUM(ecommerce_sales_all_data[[#This Row],[sales_month_1]:[sales_month_12]])</f>
        <v>6025</v>
      </c>
      <c r="T264" s="3">
        <f t="shared" si="58"/>
        <v>36798.300000000003</v>
      </c>
      <c r="U264" s="3">
        <f t="shared" si="59"/>
        <v>64304.100000000006</v>
      </c>
      <c r="V264" s="3">
        <f t="shared" si="60"/>
        <v>0</v>
      </c>
      <c r="W264" s="3">
        <f t="shared" si="61"/>
        <v>52409.700000000004</v>
      </c>
      <c r="X264" s="3">
        <f t="shared" si="62"/>
        <v>5798.52</v>
      </c>
      <c r="Y264" s="3">
        <f t="shared" si="63"/>
        <v>50328.18</v>
      </c>
      <c r="Z264" s="3">
        <f t="shared" si="64"/>
        <v>74340</v>
      </c>
      <c r="AA264" s="3">
        <f t="shared" si="65"/>
        <v>446.04</v>
      </c>
      <c r="AB264" s="3">
        <f t="shared" si="66"/>
        <v>37393.020000000004</v>
      </c>
      <c r="AC264" s="3">
        <f t="shared" si="67"/>
        <v>58802.94</v>
      </c>
      <c r="AD264" s="3">
        <f t="shared" si="68"/>
        <v>18882.36</v>
      </c>
      <c r="AE264" s="3">
        <f t="shared" si="69"/>
        <v>48395.340000000004</v>
      </c>
      <c r="AF264" s="3">
        <f>SUM(ecommerce_sales_all_data[[#This Row],[revenue_month_1]:[revenue_month_12]])</f>
        <v>447898.5</v>
      </c>
    </row>
    <row r="265" spans="1:32" x14ac:dyDescent="0.3">
      <c r="A265">
        <v>264</v>
      </c>
      <c r="B265" t="s">
        <v>288</v>
      </c>
      <c r="C265" t="s">
        <v>23</v>
      </c>
      <c r="D265" s="2">
        <v>261.57</v>
      </c>
      <c r="E265">
        <v>2.8</v>
      </c>
      <c r="F265">
        <v>382</v>
      </c>
      <c r="G265" s="1">
        <v>657</v>
      </c>
      <c r="H265" s="1">
        <v>62</v>
      </c>
      <c r="I265" s="1">
        <v>43</v>
      </c>
      <c r="J265" s="1">
        <v>924</v>
      </c>
      <c r="K265" s="1">
        <v>235</v>
      </c>
      <c r="L265" s="1">
        <v>398</v>
      </c>
      <c r="M265" s="1">
        <v>894</v>
      </c>
      <c r="N265" s="1">
        <v>638</v>
      </c>
      <c r="O265" s="1">
        <v>643</v>
      </c>
      <c r="P265" s="1">
        <v>666</v>
      </c>
      <c r="Q265" s="1">
        <v>475</v>
      </c>
      <c r="R265" s="1">
        <v>175</v>
      </c>
      <c r="S265" s="1">
        <f>SUM(ecommerce_sales_all_data[[#This Row],[sales_month_1]:[sales_month_12]])</f>
        <v>5810</v>
      </c>
      <c r="T265" s="3">
        <f t="shared" si="58"/>
        <v>171851.49</v>
      </c>
      <c r="U265" s="3">
        <f t="shared" si="59"/>
        <v>16217.34</v>
      </c>
      <c r="V265" s="3">
        <f t="shared" si="60"/>
        <v>11247.51</v>
      </c>
      <c r="W265" s="3">
        <f t="shared" si="61"/>
        <v>241690.68</v>
      </c>
      <c r="X265" s="3">
        <f t="shared" si="62"/>
        <v>61468.95</v>
      </c>
      <c r="Y265" s="3">
        <f t="shared" si="63"/>
        <v>104104.86</v>
      </c>
      <c r="Z265" s="3">
        <f t="shared" si="64"/>
        <v>233843.58</v>
      </c>
      <c r="AA265" s="3">
        <f t="shared" si="65"/>
        <v>166881.66</v>
      </c>
      <c r="AB265" s="3">
        <f t="shared" si="66"/>
        <v>168189.51</v>
      </c>
      <c r="AC265" s="3">
        <f t="shared" si="67"/>
        <v>174205.62</v>
      </c>
      <c r="AD265" s="3">
        <f t="shared" si="68"/>
        <v>124245.75</v>
      </c>
      <c r="AE265" s="3">
        <f t="shared" si="69"/>
        <v>45774.75</v>
      </c>
      <c r="AF265" s="3">
        <f>SUM(ecommerce_sales_all_data[[#This Row],[revenue_month_1]:[revenue_month_12]])</f>
        <v>1519721.7000000002</v>
      </c>
    </row>
    <row r="266" spans="1:32" x14ac:dyDescent="0.3">
      <c r="A266">
        <v>265</v>
      </c>
      <c r="B266" t="s">
        <v>289</v>
      </c>
      <c r="C266" t="s">
        <v>21</v>
      </c>
      <c r="D266" s="2">
        <v>439.3</v>
      </c>
      <c r="E266">
        <v>1</v>
      </c>
      <c r="F266">
        <v>645</v>
      </c>
      <c r="G266" s="1">
        <v>767</v>
      </c>
      <c r="H266" s="1">
        <v>661</v>
      </c>
      <c r="I266" s="1">
        <v>738</v>
      </c>
      <c r="J266" s="1">
        <v>851</v>
      </c>
      <c r="K266" s="1">
        <v>333</v>
      </c>
      <c r="L266" s="1">
        <v>772</v>
      </c>
      <c r="M266" s="1">
        <v>454</v>
      </c>
      <c r="N266" s="1">
        <v>935</v>
      </c>
      <c r="O266" s="1">
        <v>36</v>
      </c>
      <c r="P266" s="1">
        <v>164</v>
      </c>
      <c r="Q266" s="1">
        <v>805</v>
      </c>
      <c r="R266" s="1">
        <v>926</v>
      </c>
      <c r="S266" s="1">
        <f>SUM(ecommerce_sales_all_data[[#This Row],[sales_month_1]:[sales_month_12]])</f>
        <v>7442</v>
      </c>
      <c r="T266" s="3">
        <f t="shared" si="58"/>
        <v>336943.10000000003</v>
      </c>
      <c r="U266" s="3">
        <f t="shared" si="59"/>
        <v>290377.3</v>
      </c>
      <c r="V266" s="3">
        <f t="shared" si="60"/>
        <v>324203.40000000002</v>
      </c>
      <c r="W266" s="3">
        <f t="shared" si="61"/>
        <v>373844.3</v>
      </c>
      <c r="X266" s="3">
        <f t="shared" si="62"/>
        <v>146286.9</v>
      </c>
      <c r="Y266" s="3">
        <f t="shared" si="63"/>
        <v>339139.60000000003</v>
      </c>
      <c r="Z266" s="3">
        <f t="shared" si="64"/>
        <v>199442.2</v>
      </c>
      <c r="AA266" s="3">
        <f t="shared" si="65"/>
        <v>410745.5</v>
      </c>
      <c r="AB266" s="3">
        <f t="shared" si="66"/>
        <v>15814.800000000001</v>
      </c>
      <c r="AC266" s="3">
        <f t="shared" si="67"/>
        <v>72045.2</v>
      </c>
      <c r="AD266" s="3">
        <f t="shared" si="68"/>
        <v>353636.5</v>
      </c>
      <c r="AE266" s="3">
        <f t="shared" si="69"/>
        <v>406791.8</v>
      </c>
      <c r="AF266" s="3">
        <f>SUM(ecommerce_sales_all_data[[#This Row],[revenue_month_1]:[revenue_month_12]])</f>
        <v>3269270.5999999996</v>
      </c>
    </row>
    <row r="267" spans="1:32" x14ac:dyDescent="0.3">
      <c r="A267">
        <v>266</v>
      </c>
      <c r="B267" t="s">
        <v>290</v>
      </c>
      <c r="C267" t="s">
        <v>19</v>
      </c>
      <c r="D267" s="2">
        <v>371.68</v>
      </c>
      <c r="E267">
        <v>1.3</v>
      </c>
      <c r="F267">
        <v>227</v>
      </c>
      <c r="G267" s="1">
        <v>973</v>
      </c>
      <c r="H267" s="1">
        <v>511</v>
      </c>
      <c r="I267" s="1">
        <v>842</v>
      </c>
      <c r="J267" s="1">
        <v>325</v>
      </c>
      <c r="K267" s="1">
        <v>888</v>
      </c>
      <c r="L267" s="1">
        <v>220</v>
      </c>
      <c r="M267" s="1">
        <v>927</v>
      </c>
      <c r="N267" s="1">
        <v>91</v>
      </c>
      <c r="O267" s="1">
        <v>643</v>
      </c>
      <c r="P267" s="1">
        <v>997</v>
      </c>
      <c r="Q267" s="1">
        <v>416</v>
      </c>
      <c r="R267" s="1">
        <v>619</v>
      </c>
      <c r="S267" s="1">
        <f>SUM(ecommerce_sales_all_data[[#This Row],[sales_month_1]:[sales_month_12]])</f>
        <v>7452</v>
      </c>
      <c r="T267" s="3">
        <f t="shared" si="58"/>
        <v>361644.64</v>
      </c>
      <c r="U267" s="3">
        <f t="shared" si="59"/>
        <v>189928.48</v>
      </c>
      <c r="V267" s="3">
        <f t="shared" si="60"/>
        <v>312954.56</v>
      </c>
      <c r="W267" s="3">
        <f t="shared" si="61"/>
        <v>120796</v>
      </c>
      <c r="X267" s="3">
        <f t="shared" si="62"/>
        <v>330051.84000000003</v>
      </c>
      <c r="Y267" s="3">
        <f t="shared" si="63"/>
        <v>81769.600000000006</v>
      </c>
      <c r="Z267" s="3">
        <f t="shared" si="64"/>
        <v>344547.36</v>
      </c>
      <c r="AA267" s="3">
        <f t="shared" si="65"/>
        <v>33822.879999999997</v>
      </c>
      <c r="AB267" s="3">
        <f t="shared" si="66"/>
        <v>238990.24</v>
      </c>
      <c r="AC267" s="3">
        <f t="shared" si="67"/>
        <v>370564.96</v>
      </c>
      <c r="AD267" s="3">
        <f t="shared" si="68"/>
        <v>154618.88</v>
      </c>
      <c r="AE267" s="3">
        <f t="shared" si="69"/>
        <v>230069.92</v>
      </c>
      <c r="AF267" s="3">
        <f>SUM(ecommerce_sales_all_data[[#This Row],[revenue_month_1]:[revenue_month_12]])</f>
        <v>2769759.36</v>
      </c>
    </row>
    <row r="268" spans="1:32" x14ac:dyDescent="0.3">
      <c r="A268">
        <v>267</v>
      </c>
      <c r="B268" t="s">
        <v>291</v>
      </c>
      <c r="C268" t="s">
        <v>23</v>
      </c>
      <c r="D268" s="2">
        <v>350.02</v>
      </c>
      <c r="E268">
        <v>2.6</v>
      </c>
      <c r="F268">
        <v>701</v>
      </c>
      <c r="G268" s="1">
        <v>226</v>
      </c>
      <c r="H268" s="1">
        <v>138</v>
      </c>
      <c r="I268" s="1">
        <v>97</v>
      </c>
      <c r="J268" s="1">
        <v>7</v>
      </c>
      <c r="K268" s="1">
        <v>348</v>
      </c>
      <c r="L268" s="1">
        <v>594</v>
      </c>
      <c r="M268" s="1">
        <v>643</v>
      </c>
      <c r="N268" s="1">
        <v>934</v>
      </c>
      <c r="O268" s="1">
        <v>588</v>
      </c>
      <c r="P268" s="1">
        <v>733</v>
      </c>
      <c r="Q268" s="1">
        <v>169</v>
      </c>
      <c r="R268" s="1">
        <v>210</v>
      </c>
      <c r="S268" s="1">
        <f>SUM(ecommerce_sales_all_data[[#This Row],[sales_month_1]:[sales_month_12]])</f>
        <v>4687</v>
      </c>
      <c r="T268" s="3">
        <f t="shared" si="58"/>
        <v>79104.51999999999</v>
      </c>
      <c r="U268" s="3">
        <f t="shared" si="59"/>
        <v>48302.759999999995</v>
      </c>
      <c r="V268" s="3">
        <f t="shared" si="60"/>
        <v>33951.939999999995</v>
      </c>
      <c r="W268" s="3">
        <f t="shared" si="61"/>
        <v>2450.14</v>
      </c>
      <c r="X268" s="3">
        <f t="shared" si="62"/>
        <v>121806.95999999999</v>
      </c>
      <c r="Y268" s="3">
        <f t="shared" si="63"/>
        <v>207911.87999999998</v>
      </c>
      <c r="Z268" s="3">
        <f t="shared" si="64"/>
        <v>225062.86</v>
      </c>
      <c r="AA268" s="3">
        <f t="shared" si="65"/>
        <v>326918.68</v>
      </c>
      <c r="AB268" s="3">
        <f t="shared" si="66"/>
        <v>205811.75999999998</v>
      </c>
      <c r="AC268" s="3">
        <f t="shared" si="67"/>
        <v>256564.65999999997</v>
      </c>
      <c r="AD268" s="3">
        <f t="shared" si="68"/>
        <v>59153.38</v>
      </c>
      <c r="AE268" s="3">
        <f t="shared" si="69"/>
        <v>73504.2</v>
      </c>
      <c r="AF268" s="3">
        <f>SUM(ecommerce_sales_all_data[[#This Row],[revenue_month_1]:[revenue_month_12]])</f>
        <v>1640543.7399999998</v>
      </c>
    </row>
    <row r="269" spans="1:32" x14ac:dyDescent="0.3">
      <c r="A269">
        <v>268</v>
      </c>
      <c r="B269" t="s">
        <v>292</v>
      </c>
      <c r="C269" t="s">
        <v>29</v>
      </c>
      <c r="D269" s="2">
        <v>352.73</v>
      </c>
      <c r="E269">
        <v>2.9</v>
      </c>
      <c r="F269">
        <v>476</v>
      </c>
      <c r="G269" s="1">
        <v>235</v>
      </c>
      <c r="H269" s="1">
        <v>697</v>
      </c>
      <c r="I269" s="1">
        <v>719</v>
      </c>
      <c r="J269" s="1">
        <v>28</v>
      </c>
      <c r="K269" s="1">
        <v>97</v>
      </c>
      <c r="L269" s="1">
        <v>181</v>
      </c>
      <c r="M269" s="1">
        <v>275</v>
      </c>
      <c r="N269" s="1">
        <v>189</v>
      </c>
      <c r="O269" s="1">
        <v>600</v>
      </c>
      <c r="P269" s="1">
        <v>90</v>
      </c>
      <c r="Q269" s="1">
        <v>316</v>
      </c>
      <c r="R269" s="1">
        <v>446</v>
      </c>
      <c r="S269" s="1">
        <f>SUM(ecommerce_sales_all_data[[#This Row],[sales_month_1]:[sales_month_12]])</f>
        <v>3873</v>
      </c>
      <c r="T269" s="3">
        <f t="shared" si="58"/>
        <v>82891.55</v>
      </c>
      <c r="U269" s="3">
        <f t="shared" si="59"/>
        <v>245852.81000000003</v>
      </c>
      <c r="V269" s="3">
        <f t="shared" si="60"/>
        <v>253612.87000000002</v>
      </c>
      <c r="W269" s="3">
        <f t="shared" si="61"/>
        <v>9876.44</v>
      </c>
      <c r="X269" s="3">
        <f t="shared" si="62"/>
        <v>34214.810000000005</v>
      </c>
      <c r="Y269" s="3">
        <f t="shared" si="63"/>
        <v>63844.130000000005</v>
      </c>
      <c r="Z269" s="3">
        <f t="shared" si="64"/>
        <v>97000.75</v>
      </c>
      <c r="AA269" s="3">
        <f t="shared" si="65"/>
        <v>66665.97</v>
      </c>
      <c r="AB269" s="3">
        <f t="shared" si="66"/>
        <v>211638</v>
      </c>
      <c r="AC269" s="3">
        <f t="shared" si="67"/>
        <v>31745.7</v>
      </c>
      <c r="AD269" s="3">
        <f t="shared" si="68"/>
        <v>111462.68000000001</v>
      </c>
      <c r="AE269" s="3">
        <f t="shared" si="69"/>
        <v>157317.58000000002</v>
      </c>
      <c r="AF269" s="3">
        <f>SUM(ecommerce_sales_all_data[[#This Row],[revenue_month_1]:[revenue_month_12]])</f>
        <v>1366123.29</v>
      </c>
    </row>
    <row r="270" spans="1:32" x14ac:dyDescent="0.3">
      <c r="A270">
        <v>269</v>
      </c>
      <c r="B270" t="s">
        <v>293</v>
      </c>
      <c r="C270" t="s">
        <v>48</v>
      </c>
      <c r="D270" s="2">
        <v>182.95</v>
      </c>
      <c r="E270">
        <v>3.4</v>
      </c>
      <c r="F270">
        <v>477</v>
      </c>
      <c r="G270" s="1">
        <v>872</v>
      </c>
      <c r="H270" s="1">
        <v>184</v>
      </c>
      <c r="I270" s="1">
        <v>264</v>
      </c>
      <c r="J270" s="1">
        <v>111</v>
      </c>
      <c r="K270" s="1">
        <v>81</v>
      </c>
      <c r="L270" s="1">
        <v>306</v>
      </c>
      <c r="M270" s="1">
        <v>497</v>
      </c>
      <c r="N270" s="1">
        <v>870</v>
      </c>
      <c r="O270" s="1">
        <v>972</v>
      </c>
      <c r="P270" s="1">
        <v>166</v>
      </c>
      <c r="Q270" s="1">
        <v>173</v>
      </c>
      <c r="R270" s="1">
        <v>585</v>
      </c>
      <c r="S270" s="1">
        <f>SUM(ecommerce_sales_all_data[[#This Row],[sales_month_1]:[sales_month_12]])</f>
        <v>5081</v>
      </c>
      <c r="T270" s="3">
        <f t="shared" si="58"/>
        <v>159532.4</v>
      </c>
      <c r="U270" s="3">
        <f t="shared" si="59"/>
        <v>33662.799999999996</v>
      </c>
      <c r="V270" s="3">
        <f t="shared" si="60"/>
        <v>48298.799999999996</v>
      </c>
      <c r="W270" s="3">
        <f t="shared" si="61"/>
        <v>20307.449999999997</v>
      </c>
      <c r="X270" s="3">
        <f t="shared" si="62"/>
        <v>14818.949999999999</v>
      </c>
      <c r="Y270" s="3">
        <f t="shared" si="63"/>
        <v>55982.7</v>
      </c>
      <c r="Z270" s="3">
        <f t="shared" si="64"/>
        <v>90926.15</v>
      </c>
      <c r="AA270" s="3">
        <f t="shared" si="65"/>
        <v>159166.5</v>
      </c>
      <c r="AB270" s="3">
        <f t="shared" si="66"/>
        <v>177827.4</v>
      </c>
      <c r="AC270" s="3">
        <f t="shared" si="67"/>
        <v>30369.699999999997</v>
      </c>
      <c r="AD270" s="3">
        <f t="shared" si="68"/>
        <v>31650.35</v>
      </c>
      <c r="AE270" s="3">
        <f t="shared" si="69"/>
        <v>107025.75</v>
      </c>
      <c r="AF270" s="3">
        <f>SUM(ecommerce_sales_all_data[[#This Row],[revenue_month_1]:[revenue_month_12]])</f>
        <v>929568.95</v>
      </c>
    </row>
    <row r="271" spans="1:32" x14ac:dyDescent="0.3">
      <c r="A271">
        <v>270</v>
      </c>
      <c r="B271" t="s">
        <v>294</v>
      </c>
      <c r="C271" t="s">
        <v>19</v>
      </c>
      <c r="D271" s="2">
        <v>150.33000000000001</v>
      </c>
      <c r="E271">
        <v>2.2000000000000002</v>
      </c>
      <c r="F271">
        <v>265</v>
      </c>
      <c r="G271" s="1">
        <v>891</v>
      </c>
      <c r="H271" s="1">
        <v>204</v>
      </c>
      <c r="I271" s="1">
        <v>799</v>
      </c>
      <c r="J271" s="1">
        <v>946</v>
      </c>
      <c r="K271" s="1">
        <v>501</v>
      </c>
      <c r="L271" s="1">
        <v>521</v>
      </c>
      <c r="M271" s="1">
        <v>628</v>
      </c>
      <c r="N271" s="1">
        <v>475</v>
      </c>
      <c r="O271" s="1">
        <v>401</v>
      </c>
      <c r="P271" s="1">
        <v>958</v>
      </c>
      <c r="Q271" s="1">
        <v>469</v>
      </c>
      <c r="R271" s="1">
        <v>166</v>
      </c>
      <c r="S271" s="1">
        <f>SUM(ecommerce_sales_all_data[[#This Row],[sales_month_1]:[sales_month_12]])</f>
        <v>6959</v>
      </c>
      <c r="T271" s="3">
        <f t="shared" si="58"/>
        <v>133944.03</v>
      </c>
      <c r="U271" s="3">
        <f t="shared" si="59"/>
        <v>30667.320000000003</v>
      </c>
      <c r="V271" s="3">
        <f t="shared" si="60"/>
        <v>120113.67000000001</v>
      </c>
      <c r="W271" s="3">
        <f t="shared" si="61"/>
        <v>142212.18000000002</v>
      </c>
      <c r="X271" s="3">
        <f t="shared" si="62"/>
        <v>75315.33</v>
      </c>
      <c r="Y271" s="3">
        <f t="shared" si="63"/>
        <v>78321.930000000008</v>
      </c>
      <c r="Z271" s="3">
        <f t="shared" si="64"/>
        <v>94407.24</v>
      </c>
      <c r="AA271" s="3">
        <f t="shared" si="65"/>
        <v>71406.75</v>
      </c>
      <c r="AB271" s="3">
        <f t="shared" si="66"/>
        <v>60282.33</v>
      </c>
      <c r="AC271" s="3">
        <f t="shared" si="67"/>
        <v>144016.14000000001</v>
      </c>
      <c r="AD271" s="3">
        <f t="shared" si="68"/>
        <v>70504.77</v>
      </c>
      <c r="AE271" s="3">
        <f t="shared" si="69"/>
        <v>24954.780000000002</v>
      </c>
      <c r="AF271" s="3">
        <f>SUM(ecommerce_sales_all_data[[#This Row],[revenue_month_1]:[revenue_month_12]])</f>
        <v>1046146.4700000001</v>
      </c>
    </row>
    <row r="272" spans="1:32" x14ac:dyDescent="0.3">
      <c r="A272">
        <v>271</v>
      </c>
      <c r="B272" t="s">
        <v>295</v>
      </c>
      <c r="C272" t="s">
        <v>26</v>
      </c>
      <c r="D272" s="2">
        <v>405.63</v>
      </c>
      <c r="E272">
        <v>3.8</v>
      </c>
      <c r="F272">
        <v>372</v>
      </c>
      <c r="G272" s="1">
        <v>454</v>
      </c>
      <c r="H272" s="1">
        <v>771</v>
      </c>
      <c r="I272" s="1">
        <v>782</v>
      </c>
      <c r="J272" s="1">
        <v>672</v>
      </c>
      <c r="K272" s="1">
        <v>966</v>
      </c>
      <c r="L272" s="1">
        <v>395</v>
      </c>
      <c r="M272" s="1">
        <v>675</v>
      </c>
      <c r="N272" s="1">
        <v>510</v>
      </c>
      <c r="O272" s="1">
        <v>764</v>
      </c>
      <c r="P272" s="1">
        <v>206</v>
      </c>
      <c r="Q272" s="1">
        <v>344</v>
      </c>
      <c r="R272" s="1">
        <v>459</v>
      </c>
      <c r="S272" s="1">
        <f>SUM(ecommerce_sales_all_data[[#This Row],[sales_month_1]:[sales_month_12]])</f>
        <v>6998</v>
      </c>
      <c r="T272" s="3">
        <f t="shared" si="58"/>
        <v>184156.02</v>
      </c>
      <c r="U272" s="3">
        <f t="shared" si="59"/>
        <v>312740.73</v>
      </c>
      <c r="V272" s="3">
        <f t="shared" si="60"/>
        <v>317202.65999999997</v>
      </c>
      <c r="W272" s="3">
        <f t="shared" si="61"/>
        <v>272583.36</v>
      </c>
      <c r="X272" s="3">
        <f t="shared" si="62"/>
        <v>391838.58</v>
      </c>
      <c r="Y272" s="3">
        <f t="shared" si="63"/>
        <v>160223.85</v>
      </c>
      <c r="Z272" s="3">
        <f t="shared" si="64"/>
        <v>273800.25</v>
      </c>
      <c r="AA272" s="3">
        <f t="shared" si="65"/>
        <v>206871.3</v>
      </c>
      <c r="AB272" s="3">
        <f t="shared" si="66"/>
        <v>309901.32</v>
      </c>
      <c r="AC272" s="3">
        <f t="shared" si="67"/>
        <v>83559.78</v>
      </c>
      <c r="AD272" s="3">
        <f t="shared" si="68"/>
        <v>139536.72</v>
      </c>
      <c r="AE272" s="3">
        <f t="shared" si="69"/>
        <v>186184.16999999998</v>
      </c>
      <c r="AF272" s="3">
        <f>SUM(ecommerce_sales_all_data[[#This Row],[revenue_month_1]:[revenue_month_12]])</f>
        <v>2838598.7399999998</v>
      </c>
    </row>
    <row r="273" spans="1:32" x14ac:dyDescent="0.3">
      <c r="A273">
        <v>272</v>
      </c>
      <c r="B273" t="s">
        <v>296</v>
      </c>
      <c r="C273" t="s">
        <v>26</v>
      </c>
      <c r="D273" s="2">
        <v>406.01</v>
      </c>
      <c r="E273">
        <v>4.4000000000000004</v>
      </c>
      <c r="F273">
        <v>486</v>
      </c>
      <c r="G273" s="1">
        <v>1000</v>
      </c>
      <c r="H273" s="1">
        <v>213</v>
      </c>
      <c r="I273" s="1">
        <v>139</v>
      </c>
      <c r="J273" s="1">
        <v>130</v>
      </c>
      <c r="K273" s="1">
        <v>476</v>
      </c>
      <c r="L273" s="1">
        <v>3</v>
      </c>
      <c r="M273" s="1">
        <v>799</v>
      </c>
      <c r="N273" s="1">
        <v>461</v>
      </c>
      <c r="O273" s="1">
        <v>855</v>
      </c>
      <c r="P273" s="1">
        <v>281</v>
      </c>
      <c r="Q273" s="1">
        <v>444</v>
      </c>
      <c r="R273" s="1">
        <v>915</v>
      </c>
      <c r="S273" s="1">
        <f>SUM(ecommerce_sales_all_data[[#This Row],[sales_month_1]:[sales_month_12]])</f>
        <v>5716</v>
      </c>
      <c r="T273" s="3">
        <f t="shared" si="58"/>
        <v>406010</v>
      </c>
      <c r="U273" s="3">
        <f t="shared" si="59"/>
        <v>86480.13</v>
      </c>
      <c r="V273" s="3">
        <f t="shared" si="60"/>
        <v>56435.39</v>
      </c>
      <c r="W273" s="3">
        <f t="shared" si="61"/>
        <v>52781.299999999996</v>
      </c>
      <c r="X273" s="3">
        <f t="shared" si="62"/>
        <v>193260.76</v>
      </c>
      <c r="Y273" s="3">
        <f t="shared" si="63"/>
        <v>1218.03</v>
      </c>
      <c r="Z273" s="3">
        <f t="shared" si="64"/>
        <v>324401.99</v>
      </c>
      <c r="AA273" s="3">
        <f t="shared" si="65"/>
        <v>187170.61</v>
      </c>
      <c r="AB273" s="3">
        <f t="shared" si="66"/>
        <v>347138.55</v>
      </c>
      <c r="AC273" s="3">
        <f t="shared" si="67"/>
        <v>114088.81</v>
      </c>
      <c r="AD273" s="3">
        <f t="shared" si="68"/>
        <v>180268.44</v>
      </c>
      <c r="AE273" s="3">
        <f t="shared" si="69"/>
        <v>371499.14999999997</v>
      </c>
      <c r="AF273" s="3">
        <f>SUM(ecommerce_sales_all_data[[#This Row],[revenue_month_1]:[revenue_month_12]])</f>
        <v>2320753.16</v>
      </c>
    </row>
    <row r="274" spans="1:32" x14ac:dyDescent="0.3">
      <c r="A274">
        <v>273</v>
      </c>
      <c r="B274" t="s">
        <v>297</v>
      </c>
      <c r="C274" t="s">
        <v>19</v>
      </c>
      <c r="D274" s="2">
        <v>434.2</v>
      </c>
      <c r="E274">
        <v>4.0999999999999996</v>
      </c>
      <c r="F274">
        <v>434</v>
      </c>
      <c r="G274" s="1">
        <v>12</v>
      </c>
      <c r="H274" s="1">
        <v>255</v>
      </c>
      <c r="I274" s="1">
        <v>480</v>
      </c>
      <c r="J274" s="1">
        <v>187</v>
      </c>
      <c r="K274" s="1">
        <v>926</v>
      </c>
      <c r="L274" s="1">
        <v>862</v>
      </c>
      <c r="M274" s="1">
        <v>27</v>
      </c>
      <c r="N274" s="1">
        <v>52</v>
      </c>
      <c r="O274" s="1">
        <v>705</v>
      </c>
      <c r="P274" s="1">
        <v>64</v>
      </c>
      <c r="Q274" s="1">
        <v>17</v>
      </c>
      <c r="R274" s="1">
        <v>356</v>
      </c>
      <c r="S274" s="1">
        <f>SUM(ecommerce_sales_all_data[[#This Row],[sales_month_1]:[sales_month_12]])</f>
        <v>3943</v>
      </c>
      <c r="T274" s="3">
        <f t="shared" si="58"/>
        <v>5210.3999999999996</v>
      </c>
      <c r="U274" s="3">
        <f t="shared" si="59"/>
        <v>110721</v>
      </c>
      <c r="V274" s="3">
        <f t="shared" si="60"/>
        <v>208416</v>
      </c>
      <c r="W274" s="3">
        <f t="shared" si="61"/>
        <v>81195.399999999994</v>
      </c>
      <c r="X274" s="3">
        <f t="shared" si="62"/>
        <v>402069.2</v>
      </c>
      <c r="Y274" s="3">
        <f t="shared" si="63"/>
        <v>374280.39999999997</v>
      </c>
      <c r="Z274" s="3">
        <f t="shared" si="64"/>
        <v>11723.4</v>
      </c>
      <c r="AA274" s="3">
        <f t="shared" si="65"/>
        <v>22578.399999999998</v>
      </c>
      <c r="AB274" s="3">
        <f t="shared" si="66"/>
        <v>306111</v>
      </c>
      <c r="AC274" s="3">
        <f t="shared" si="67"/>
        <v>27788.799999999999</v>
      </c>
      <c r="AD274" s="3">
        <f t="shared" si="68"/>
        <v>7381.4</v>
      </c>
      <c r="AE274" s="3">
        <f t="shared" si="69"/>
        <v>154575.19999999998</v>
      </c>
      <c r="AF274" s="3">
        <f>SUM(ecommerce_sales_all_data[[#This Row],[revenue_month_1]:[revenue_month_12]])</f>
        <v>1712050.5999999996</v>
      </c>
    </row>
    <row r="275" spans="1:32" x14ac:dyDescent="0.3">
      <c r="A275">
        <v>274</v>
      </c>
      <c r="B275" t="s">
        <v>298</v>
      </c>
      <c r="C275" t="s">
        <v>26</v>
      </c>
      <c r="D275" s="2">
        <v>457.05</v>
      </c>
      <c r="E275">
        <v>1.2</v>
      </c>
      <c r="F275">
        <v>646</v>
      </c>
      <c r="G275" s="1">
        <v>209</v>
      </c>
      <c r="H275" s="1">
        <v>134</v>
      </c>
      <c r="I275" s="1">
        <v>236</v>
      </c>
      <c r="J275" s="1">
        <v>674</v>
      </c>
      <c r="K275" s="1">
        <v>703</v>
      </c>
      <c r="L275" s="1">
        <v>913</v>
      </c>
      <c r="M275" s="1">
        <v>332</v>
      </c>
      <c r="N275" s="1">
        <v>753</v>
      </c>
      <c r="O275" s="1">
        <v>175</v>
      </c>
      <c r="P275" s="1">
        <v>887</v>
      </c>
      <c r="Q275" s="1">
        <v>69</v>
      </c>
      <c r="R275" s="1">
        <v>303</v>
      </c>
      <c r="S275" s="1">
        <f>SUM(ecommerce_sales_all_data[[#This Row],[sales_month_1]:[sales_month_12]])</f>
        <v>5388</v>
      </c>
      <c r="T275" s="3">
        <f t="shared" si="58"/>
        <v>95523.45</v>
      </c>
      <c r="U275" s="3">
        <f t="shared" si="59"/>
        <v>61244.700000000004</v>
      </c>
      <c r="V275" s="3">
        <f t="shared" si="60"/>
        <v>107863.8</v>
      </c>
      <c r="W275" s="3">
        <f t="shared" si="61"/>
        <v>308051.7</v>
      </c>
      <c r="X275" s="3">
        <f t="shared" si="62"/>
        <v>321306.15000000002</v>
      </c>
      <c r="Y275" s="3">
        <f t="shared" si="63"/>
        <v>417286.65</v>
      </c>
      <c r="Z275" s="3">
        <f t="shared" si="64"/>
        <v>151740.6</v>
      </c>
      <c r="AA275" s="3">
        <f t="shared" si="65"/>
        <v>344158.65</v>
      </c>
      <c r="AB275" s="3">
        <f t="shared" si="66"/>
        <v>79983.75</v>
      </c>
      <c r="AC275" s="3">
        <f t="shared" si="67"/>
        <v>405403.35000000003</v>
      </c>
      <c r="AD275" s="3">
        <f t="shared" si="68"/>
        <v>31536.45</v>
      </c>
      <c r="AE275" s="3">
        <f t="shared" si="69"/>
        <v>138486.15</v>
      </c>
      <c r="AF275" s="3">
        <f>SUM(ecommerce_sales_all_data[[#This Row],[revenue_month_1]:[revenue_month_12]])</f>
        <v>2462585.4000000004</v>
      </c>
    </row>
    <row r="276" spans="1:32" x14ac:dyDescent="0.3">
      <c r="A276">
        <v>275</v>
      </c>
      <c r="B276" t="s">
        <v>299</v>
      </c>
      <c r="C276" t="s">
        <v>35</v>
      </c>
      <c r="D276" s="2">
        <v>258.11</v>
      </c>
      <c r="E276">
        <v>2.9</v>
      </c>
      <c r="F276">
        <v>211</v>
      </c>
      <c r="G276" s="1">
        <v>740</v>
      </c>
      <c r="H276" s="1">
        <v>572</v>
      </c>
      <c r="I276" s="1">
        <v>973</v>
      </c>
      <c r="J276" s="1">
        <v>708</v>
      </c>
      <c r="K276" s="1">
        <v>764</v>
      </c>
      <c r="L276" s="1">
        <v>847</v>
      </c>
      <c r="M276" s="1">
        <v>0</v>
      </c>
      <c r="N276" s="1">
        <v>485</v>
      </c>
      <c r="O276" s="1">
        <v>544</v>
      </c>
      <c r="P276" s="1">
        <v>515</v>
      </c>
      <c r="Q276" s="1">
        <v>337</v>
      </c>
      <c r="R276" s="1">
        <v>232</v>
      </c>
      <c r="S276" s="1">
        <f>SUM(ecommerce_sales_all_data[[#This Row],[sales_month_1]:[sales_month_12]])</f>
        <v>6717</v>
      </c>
      <c r="T276" s="3">
        <f t="shared" si="58"/>
        <v>191001.40000000002</v>
      </c>
      <c r="U276" s="3">
        <f t="shared" si="59"/>
        <v>147638.92000000001</v>
      </c>
      <c r="V276" s="3">
        <f t="shared" si="60"/>
        <v>251141.03</v>
      </c>
      <c r="W276" s="3">
        <f t="shared" si="61"/>
        <v>182741.88</v>
      </c>
      <c r="X276" s="3">
        <f t="shared" si="62"/>
        <v>197196.04</v>
      </c>
      <c r="Y276" s="3">
        <f t="shared" si="63"/>
        <v>218619.17</v>
      </c>
      <c r="Z276" s="3">
        <f t="shared" si="64"/>
        <v>0</v>
      </c>
      <c r="AA276" s="3">
        <f t="shared" si="65"/>
        <v>125183.35</v>
      </c>
      <c r="AB276" s="3">
        <f t="shared" si="66"/>
        <v>140411.84</v>
      </c>
      <c r="AC276" s="3">
        <f t="shared" si="67"/>
        <v>132926.65</v>
      </c>
      <c r="AD276" s="3">
        <f t="shared" si="68"/>
        <v>86983.07</v>
      </c>
      <c r="AE276" s="3">
        <f t="shared" si="69"/>
        <v>59881.520000000004</v>
      </c>
      <c r="AF276" s="3">
        <f>SUM(ecommerce_sales_all_data[[#This Row],[revenue_month_1]:[revenue_month_12]])</f>
        <v>1733724.8700000003</v>
      </c>
    </row>
    <row r="277" spans="1:32" x14ac:dyDescent="0.3">
      <c r="A277">
        <v>276</v>
      </c>
      <c r="B277" t="s">
        <v>300</v>
      </c>
      <c r="C277" t="s">
        <v>19</v>
      </c>
      <c r="D277" s="2">
        <v>253.25</v>
      </c>
      <c r="E277">
        <v>1.4</v>
      </c>
      <c r="F277">
        <v>572</v>
      </c>
      <c r="G277" s="1">
        <v>396</v>
      </c>
      <c r="H277" s="1">
        <v>874</v>
      </c>
      <c r="I277" s="1">
        <v>952</v>
      </c>
      <c r="J277" s="1">
        <v>474</v>
      </c>
      <c r="K277" s="1">
        <v>920</v>
      </c>
      <c r="L277" s="1">
        <v>999</v>
      </c>
      <c r="M277" s="1">
        <v>187</v>
      </c>
      <c r="N277" s="1">
        <v>643</v>
      </c>
      <c r="O277" s="1">
        <v>569</v>
      </c>
      <c r="P277" s="1">
        <v>156</v>
      </c>
      <c r="Q277" s="1">
        <v>627</v>
      </c>
      <c r="R277" s="1">
        <v>326</v>
      </c>
      <c r="S277" s="1">
        <f>SUM(ecommerce_sales_all_data[[#This Row],[sales_month_1]:[sales_month_12]])</f>
        <v>7123</v>
      </c>
      <c r="T277" s="3">
        <f t="shared" si="58"/>
        <v>100287</v>
      </c>
      <c r="U277" s="3">
        <f t="shared" si="59"/>
        <v>221340.5</v>
      </c>
      <c r="V277" s="3">
        <f t="shared" si="60"/>
        <v>241094</v>
      </c>
      <c r="W277" s="3">
        <f t="shared" si="61"/>
        <v>120040.5</v>
      </c>
      <c r="X277" s="3">
        <f t="shared" si="62"/>
        <v>232990</v>
      </c>
      <c r="Y277" s="3">
        <f t="shared" si="63"/>
        <v>252996.75</v>
      </c>
      <c r="Z277" s="3">
        <f t="shared" si="64"/>
        <v>47357.75</v>
      </c>
      <c r="AA277" s="3">
        <f t="shared" si="65"/>
        <v>162839.75</v>
      </c>
      <c r="AB277" s="3">
        <f t="shared" si="66"/>
        <v>144099.25</v>
      </c>
      <c r="AC277" s="3">
        <f t="shared" si="67"/>
        <v>39507</v>
      </c>
      <c r="AD277" s="3">
        <f t="shared" si="68"/>
        <v>158787.75</v>
      </c>
      <c r="AE277" s="3">
        <f t="shared" si="69"/>
        <v>82559.5</v>
      </c>
      <c r="AF277" s="3">
        <f>SUM(ecommerce_sales_all_data[[#This Row],[revenue_month_1]:[revenue_month_12]])</f>
        <v>1803899.75</v>
      </c>
    </row>
    <row r="278" spans="1:32" x14ac:dyDescent="0.3">
      <c r="A278">
        <v>277</v>
      </c>
      <c r="B278" t="s">
        <v>301</v>
      </c>
      <c r="C278" t="s">
        <v>29</v>
      </c>
      <c r="D278" s="2">
        <v>400.16</v>
      </c>
      <c r="E278">
        <v>2</v>
      </c>
      <c r="F278">
        <v>940</v>
      </c>
      <c r="G278" s="1">
        <v>99</v>
      </c>
      <c r="H278" s="1">
        <v>821</v>
      </c>
      <c r="I278" s="1">
        <v>903</v>
      </c>
      <c r="J278" s="1">
        <v>363</v>
      </c>
      <c r="K278" s="1">
        <v>549</v>
      </c>
      <c r="L278" s="1">
        <v>803</v>
      </c>
      <c r="M278" s="1">
        <v>55</v>
      </c>
      <c r="N278" s="1">
        <v>489</v>
      </c>
      <c r="O278" s="1">
        <v>466</v>
      </c>
      <c r="P278" s="1">
        <v>760</v>
      </c>
      <c r="Q278" s="1">
        <v>591</v>
      </c>
      <c r="R278" s="1">
        <v>883</v>
      </c>
      <c r="S278" s="1">
        <f>SUM(ecommerce_sales_all_data[[#This Row],[sales_month_1]:[sales_month_12]])</f>
        <v>6782</v>
      </c>
      <c r="T278" s="3">
        <f t="shared" si="58"/>
        <v>39615.840000000004</v>
      </c>
      <c r="U278" s="3">
        <f t="shared" si="59"/>
        <v>328531.36000000004</v>
      </c>
      <c r="V278" s="3">
        <f t="shared" si="60"/>
        <v>361344.48000000004</v>
      </c>
      <c r="W278" s="3">
        <f t="shared" si="61"/>
        <v>145258.08000000002</v>
      </c>
      <c r="X278" s="3">
        <f t="shared" si="62"/>
        <v>219687.84000000003</v>
      </c>
      <c r="Y278" s="3">
        <f t="shared" si="63"/>
        <v>321328.48000000004</v>
      </c>
      <c r="Z278" s="3">
        <f t="shared" si="64"/>
        <v>22008.800000000003</v>
      </c>
      <c r="AA278" s="3">
        <f t="shared" si="65"/>
        <v>195678.24000000002</v>
      </c>
      <c r="AB278" s="3">
        <f t="shared" si="66"/>
        <v>186474.56</v>
      </c>
      <c r="AC278" s="3">
        <f t="shared" si="67"/>
        <v>304121.60000000003</v>
      </c>
      <c r="AD278" s="3">
        <f t="shared" si="68"/>
        <v>236494.56000000003</v>
      </c>
      <c r="AE278" s="3">
        <f t="shared" si="69"/>
        <v>353341.28</v>
      </c>
      <c r="AF278" s="3">
        <f>SUM(ecommerce_sales_all_data[[#This Row],[revenue_month_1]:[revenue_month_12]])</f>
        <v>2713885.12</v>
      </c>
    </row>
    <row r="279" spans="1:32" x14ac:dyDescent="0.3">
      <c r="A279">
        <v>278</v>
      </c>
      <c r="B279" t="s">
        <v>302</v>
      </c>
      <c r="C279" t="s">
        <v>19</v>
      </c>
      <c r="D279" s="2">
        <v>326.73</v>
      </c>
      <c r="E279">
        <v>4.9000000000000004</v>
      </c>
      <c r="F279">
        <v>377</v>
      </c>
      <c r="G279" s="1">
        <v>30</v>
      </c>
      <c r="H279" s="1">
        <v>87</v>
      </c>
      <c r="I279" s="1">
        <v>71</v>
      </c>
      <c r="J279" s="1">
        <v>203</v>
      </c>
      <c r="K279" s="1">
        <v>13</v>
      </c>
      <c r="L279" s="1">
        <v>280</v>
      </c>
      <c r="M279" s="1">
        <v>546</v>
      </c>
      <c r="N279" s="1">
        <v>977</v>
      </c>
      <c r="O279" s="1">
        <v>200</v>
      </c>
      <c r="P279" s="1">
        <v>768</v>
      </c>
      <c r="Q279" s="1">
        <v>526</v>
      </c>
      <c r="R279" s="1">
        <v>181</v>
      </c>
      <c r="S279" s="1">
        <f>SUM(ecommerce_sales_all_data[[#This Row],[sales_month_1]:[sales_month_12]])</f>
        <v>3882</v>
      </c>
      <c r="T279" s="3">
        <f t="shared" si="58"/>
        <v>9801.9000000000015</v>
      </c>
      <c r="U279" s="3">
        <f t="shared" si="59"/>
        <v>28425.510000000002</v>
      </c>
      <c r="V279" s="3">
        <f t="shared" si="60"/>
        <v>23197.83</v>
      </c>
      <c r="W279" s="3">
        <f t="shared" si="61"/>
        <v>66326.19</v>
      </c>
      <c r="X279" s="3">
        <f t="shared" si="62"/>
        <v>4247.49</v>
      </c>
      <c r="Y279" s="3">
        <f t="shared" si="63"/>
        <v>91484.400000000009</v>
      </c>
      <c r="Z279" s="3">
        <f t="shared" si="64"/>
        <v>178394.58000000002</v>
      </c>
      <c r="AA279" s="3">
        <f t="shared" si="65"/>
        <v>319215.21000000002</v>
      </c>
      <c r="AB279" s="3">
        <f t="shared" si="66"/>
        <v>65346</v>
      </c>
      <c r="AC279" s="3">
        <f t="shared" si="67"/>
        <v>250928.64000000001</v>
      </c>
      <c r="AD279" s="3">
        <f t="shared" si="68"/>
        <v>171859.98</v>
      </c>
      <c r="AE279" s="3">
        <f t="shared" si="69"/>
        <v>59138.130000000005</v>
      </c>
      <c r="AF279" s="3">
        <f>SUM(ecommerce_sales_all_data[[#This Row],[revenue_month_1]:[revenue_month_12]])</f>
        <v>1268365.8600000003</v>
      </c>
    </row>
    <row r="280" spans="1:32" x14ac:dyDescent="0.3">
      <c r="A280">
        <v>279</v>
      </c>
      <c r="B280" t="s">
        <v>303</v>
      </c>
      <c r="C280" t="s">
        <v>23</v>
      </c>
      <c r="D280" s="2">
        <v>352.47</v>
      </c>
      <c r="E280">
        <v>1.6</v>
      </c>
      <c r="F280">
        <v>395</v>
      </c>
      <c r="G280" s="1">
        <v>897</v>
      </c>
      <c r="H280" s="1">
        <v>835</v>
      </c>
      <c r="I280" s="1">
        <v>666</v>
      </c>
      <c r="J280" s="1">
        <v>211</v>
      </c>
      <c r="K280" s="1">
        <v>391</v>
      </c>
      <c r="L280" s="1">
        <v>214</v>
      </c>
      <c r="M280" s="1">
        <v>111</v>
      </c>
      <c r="N280" s="1">
        <v>363</v>
      </c>
      <c r="O280" s="1">
        <v>539</v>
      </c>
      <c r="P280" s="1">
        <v>746</v>
      </c>
      <c r="Q280" s="1">
        <v>687</v>
      </c>
      <c r="R280" s="1">
        <v>633</v>
      </c>
      <c r="S280" s="1">
        <f>SUM(ecommerce_sales_all_data[[#This Row],[sales_month_1]:[sales_month_12]])</f>
        <v>6293</v>
      </c>
      <c r="T280" s="3">
        <f t="shared" si="58"/>
        <v>316165.59000000003</v>
      </c>
      <c r="U280" s="3">
        <f t="shared" si="59"/>
        <v>294312.45</v>
      </c>
      <c r="V280" s="3">
        <f t="shared" si="60"/>
        <v>234745.02000000002</v>
      </c>
      <c r="W280" s="3">
        <f t="shared" si="61"/>
        <v>74371.170000000013</v>
      </c>
      <c r="X280" s="3">
        <f t="shared" si="62"/>
        <v>137815.77000000002</v>
      </c>
      <c r="Y280" s="3">
        <f t="shared" si="63"/>
        <v>75428.58</v>
      </c>
      <c r="Z280" s="3">
        <f t="shared" si="64"/>
        <v>39124.170000000006</v>
      </c>
      <c r="AA280" s="3">
        <f t="shared" si="65"/>
        <v>127946.61000000002</v>
      </c>
      <c r="AB280" s="3">
        <f t="shared" si="66"/>
        <v>189981.33000000002</v>
      </c>
      <c r="AC280" s="3">
        <f t="shared" si="67"/>
        <v>262942.62</v>
      </c>
      <c r="AD280" s="3">
        <f t="shared" si="68"/>
        <v>242146.89</v>
      </c>
      <c r="AE280" s="3">
        <f t="shared" si="69"/>
        <v>223113.51</v>
      </c>
      <c r="AF280" s="3">
        <f>SUM(ecommerce_sales_all_data[[#This Row],[revenue_month_1]:[revenue_month_12]])</f>
        <v>2218093.71</v>
      </c>
    </row>
    <row r="281" spans="1:32" x14ac:dyDescent="0.3">
      <c r="A281">
        <v>280</v>
      </c>
      <c r="B281" t="s">
        <v>304</v>
      </c>
      <c r="C281" t="s">
        <v>23</v>
      </c>
      <c r="D281" s="2">
        <v>398.92</v>
      </c>
      <c r="E281">
        <v>3</v>
      </c>
      <c r="F281">
        <v>450</v>
      </c>
      <c r="G281" s="1">
        <v>527</v>
      </c>
      <c r="H281" s="1">
        <v>987</v>
      </c>
      <c r="I281" s="1">
        <v>189</v>
      </c>
      <c r="J281" s="1">
        <v>620</v>
      </c>
      <c r="K281" s="1">
        <v>346</v>
      </c>
      <c r="L281" s="1">
        <v>971</v>
      </c>
      <c r="M281" s="1">
        <v>797</v>
      </c>
      <c r="N281" s="1">
        <v>111</v>
      </c>
      <c r="O281" s="1">
        <v>546</v>
      </c>
      <c r="P281" s="1">
        <v>305</v>
      </c>
      <c r="Q281" s="1">
        <v>455</v>
      </c>
      <c r="R281" s="1">
        <v>333</v>
      </c>
      <c r="S281" s="1">
        <f>SUM(ecommerce_sales_all_data[[#This Row],[sales_month_1]:[sales_month_12]])</f>
        <v>6187</v>
      </c>
      <c r="T281" s="3">
        <f t="shared" si="58"/>
        <v>210230.84</v>
      </c>
      <c r="U281" s="3">
        <f t="shared" si="59"/>
        <v>393734.04000000004</v>
      </c>
      <c r="V281" s="3">
        <f t="shared" si="60"/>
        <v>75395.88</v>
      </c>
      <c r="W281" s="3">
        <f t="shared" si="61"/>
        <v>247330.40000000002</v>
      </c>
      <c r="X281" s="3">
        <f t="shared" si="62"/>
        <v>138026.32</v>
      </c>
      <c r="Y281" s="3">
        <f t="shared" si="63"/>
        <v>387351.32</v>
      </c>
      <c r="Z281" s="3">
        <f t="shared" si="64"/>
        <v>317939.24</v>
      </c>
      <c r="AA281" s="3">
        <f t="shared" si="65"/>
        <v>44280.12</v>
      </c>
      <c r="AB281" s="3">
        <f t="shared" si="66"/>
        <v>217810.32</v>
      </c>
      <c r="AC281" s="3">
        <f t="shared" si="67"/>
        <v>121670.6</v>
      </c>
      <c r="AD281" s="3">
        <f t="shared" si="68"/>
        <v>181508.6</v>
      </c>
      <c r="AE281" s="3">
        <f t="shared" si="69"/>
        <v>132840.36000000002</v>
      </c>
      <c r="AF281" s="3">
        <f>SUM(ecommerce_sales_all_data[[#This Row],[revenue_month_1]:[revenue_month_12]])</f>
        <v>2468118.04</v>
      </c>
    </row>
    <row r="282" spans="1:32" x14ac:dyDescent="0.3">
      <c r="A282">
        <v>281</v>
      </c>
      <c r="B282" t="s">
        <v>305</v>
      </c>
      <c r="C282" t="s">
        <v>21</v>
      </c>
      <c r="D282" s="2">
        <v>445.55</v>
      </c>
      <c r="E282">
        <v>3.5</v>
      </c>
      <c r="F282">
        <v>943</v>
      </c>
      <c r="G282" s="1">
        <v>648</v>
      </c>
      <c r="H282" s="1">
        <v>206</v>
      </c>
      <c r="I282" s="1">
        <v>267</v>
      </c>
      <c r="J282" s="1">
        <v>275</v>
      </c>
      <c r="K282" s="1">
        <v>309</v>
      </c>
      <c r="L282" s="1">
        <v>609</v>
      </c>
      <c r="M282" s="1">
        <v>309</v>
      </c>
      <c r="N282" s="1">
        <v>408</v>
      </c>
      <c r="O282" s="1">
        <v>998</v>
      </c>
      <c r="P282" s="1">
        <v>877</v>
      </c>
      <c r="Q282" s="1">
        <v>268</v>
      </c>
      <c r="R282" s="1">
        <v>714</v>
      </c>
      <c r="S282" s="1">
        <f>SUM(ecommerce_sales_all_data[[#This Row],[sales_month_1]:[sales_month_12]])</f>
        <v>5888</v>
      </c>
      <c r="T282" s="3">
        <f t="shared" si="58"/>
        <v>288716.40000000002</v>
      </c>
      <c r="U282" s="3">
        <f t="shared" si="59"/>
        <v>91783.3</v>
      </c>
      <c r="V282" s="3">
        <f t="shared" si="60"/>
        <v>118961.85</v>
      </c>
      <c r="W282" s="3">
        <f t="shared" si="61"/>
        <v>122526.25</v>
      </c>
      <c r="X282" s="3">
        <f t="shared" si="62"/>
        <v>137674.95000000001</v>
      </c>
      <c r="Y282" s="3">
        <f t="shared" si="63"/>
        <v>271339.95</v>
      </c>
      <c r="Z282" s="3">
        <f t="shared" si="64"/>
        <v>137674.95000000001</v>
      </c>
      <c r="AA282" s="3">
        <f t="shared" si="65"/>
        <v>181784.4</v>
      </c>
      <c r="AB282" s="3">
        <f t="shared" si="66"/>
        <v>444658.9</v>
      </c>
      <c r="AC282" s="3">
        <f t="shared" si="67"/>
        <v>390747.35000000003</v>
      </c>
      <c r="AD282" s="3">
        <f t="shared" si="68"/>
        <v>119407.40000000001</v>
      </c>
      <c r="AE282" s="3">
        <f t="shared" si="69"/>
        <v>318122.7</v>
      </c>
      <c r="AF282" s="3">
        <f>SUM(ecommerce_sales_all_data[[#This Row],[revenue_month_1]:[revenue_month_12]])</f>
        <v>2623398.4</v>
      </c>
    </row>
    <row r="283" spans="1:32" x14ac:dyDescent="0.3">
      <c r="A283">
        <v>282</v>
      </c>
      <c r="B283" t="s">
        <v>306</v>
      </c>
      <c r="C283" t="s">
        <v>26</v>
      </c>
      <c r="D283" s="2">
        <v>172.31</v>
      </c>
      <c r="E283">
        <v>3.8</v>
      </c>
      <c r="F283">
        <v>364</v>
      </c>
      <c r="G283" s="1">
        <v>328</v>
      </c>
      <c r="H283" s="1">
        <v>128</v>
      </c>
      <c r="I283" s="1">
        <v>320</v>
      </c>
      <c r="J283" s="1">
        <v>72</v>
      </c>
      <c r="K283" s="1">
        <v>385</v>
      </c>
      <c r="L283" s="1">
        <v>419</v>
      </c>
      <c r="M283" s="1">
        <v>35</v>
      </c>
      <c r="N283" s="1">
        <v>6</v>
      </c>
      <c r="O283" s="1">
        <v>636</v>
      </c>
      <c r="P283" s="1">
        <v>981</v>
      </c>
      <c r="Q283" s="1">
        <v>630</v>
      </c>
      <c r="R283" s="1">
        <v>966</v>
      </c>
      <c r="S283" s="1">
        <f>SUM(ecommerce_sales_all_data[[#This Row],[sales_month_1]:[sales_month_12]])</f>
        <v>4906</v>
      </c>
      <c r="T283" s="3">
        <f t="shared" si="58"/>
        <v>56517.68</v>
      </c>
      <c r="U283" s="3">
        <f t="shared" si="59"/>
        <v>22055.68</v>
      </c>
      <c r="V283" s="3">
        <f t="shared" si="60"/>
        <v>55139.199999999997</v>
      </c>
      <c r="W283" s="3">
        <f t="shared" si="61"/>
        <v>12406.32</v>
      </c>
      <c r="X283" s="3">
        <f t="shared" si="62"/>
        <v>66339.350000000006</v>
      </c>
      <c r="Y283" s="3">
        <f t="shared" si="63"/>
        <v>72197.89</v>
      </c>
      <c r="Z283" s="3">
        <f t="shared" si="64"/>
        <v>6030.85</v>
      </c>
      <c r="AA283" s="3">
        <f t="shared" si="65"/>
        <v>1033.8600000000001</v>
      </c>
      <c r="AB283" s="3">
        <f t="shared" si="66"/>
        <v>109589.16</v>
      </c>
      <c r="AC283" s="3">
        <f t="shared" si="67"/>
        <v>169036.11000000002</v>
      </c>
      <c r="AD283" s="3">
        <f t="shared" si="68"/>
        <v>108555.3</v>
      </c>
      <c r="AE283" s="3">
        <f t="shared" si="69"/>
        <v>166451.46</v>
      </c>
      <c r="AF283" s="3">
        <f>SUM(ecommerce_sales_all_data[[#This Row],[revenue_month_1]:[revenue_month_12]])</f>
        <v>845352.86</v>
      </c>
    </row>
    <row r="284" spans="1:32" x14ac:dyDescent="0.3">
      <c r="A284">
        <v>283</v>
      </c>
      <c r="B284" t="s">
        <v>307</v>
      </c>
      <c r="C284" t="s">
        <v>48</v>
      </c>
      <c r="D284" s="2">
        <v>190.91</v>
      </c>
      <c r="E284">
        <v>3.2</v>
      </c>
      <c r="F284">
        <v>876</v>
      </c>
      <c r="G284" s="1">
        <v>165</v>
      </c>
      <c r="H284" s="1">
        <v>822</v>
      </c>
      <c r="I284" s="1">
        <v>106</v>
      </c>
      <c r="J284" s="1">
        <v>678</v>
      </c>
      <c r="K284" s="1">
        <v>208</v>
      </c>
      <c r="L284" s="1">
        <v>100</v>
      </c>
      <c r="M284" s="1">
        <v>438</v>
      </c>
      <c r="N284" s="1">
        <v>741</v>
      </c>
      <c r="O284" s="1">
        <v>393</v>
      </c>
      <c r="P284" s="1">
        <v>394</v>
      </c>
      <c r="Q284" s="1">
        <v>810</v>
      </c>
      <c r="R284" s="1">
        <v>28</v>
      </c>
      <c r="S284" s="1">
        <f>SUM(ecommerce_sales_all_data[[#This Row],[sales_month_1]:[sales_month_12]])</f>
        <v>4883</v>
      </c>
      <c r="T284" s="3">
        <f t="shared" si="58"/>
        <v>31500.149999999998</v>
      </c>
      <c r="U284" s="3">
        <f t="shared" si="59"/>
        <v>156928.01999999999</v>
      </c>
      <c r="V284" s="3">
        <f t="shared" si="60"/>
        <v>20236.46</v>
      </c>
      <c r="W284" s="3">
        <f t="shared" si="61"/>
        <v>129436.98</v>
      </c>
      <c r="X284" s="3">
        <f t="shared" si="62"/>
        <v>39709.279999999999</v>
      </c>
      <c r="Y284" s="3">
        <f t="shared" si="63"/>
        <v>19091</v>
      </c>
      <c r="Z284" s="3">
        <f t="shared" si="64"/>
        <v>83618.58</v>
      </c>
      <c r="AA284" s="3">
        <f t="shared" si="65"/>
        <v>141464.31</v>
      </c>
      <c r="AB284" s="3">
        <f t="shared" si="66"/>
        <v>75027.63</v>
      </c>
      <c r="AC284" s="3">
        <f t="shared" si="67"/>
        <v>75218.539999999994</v>
      </c>
      <c r="AD284" s="3">
        <f t="shared" si="68"/>
        <v>154637.1</v>
      </c>
      <c r="AE284" s="3">
        <f t="shared" si="69"/>
        <v>5345.48</v>
      </c>
      <c r="AF284" s="3">
        <f>SUM(ecommerce_sales_all_data[[#This Row],[revenue_month_1]:[revenue_month_12]])</f>
        <v>932213.53</v>
      </c>
    </row>
    <row r="285" spans="1:32" x14ac:dyDescent="0.3">
      <c r="A285">
        <v>284</v>
      </c>
      <c r="B285" t="s">
        <v>308</v>
      </c>
      <c r="C285" t="s">
        <v>26</v>
      </c>
      <c r="D285" s="2">
        <v>51.52</v>
      </c>
      <c r="E285">
        <v>1</v>
      </c>
      <c r="F285">
        <v>457</v>
      </c>
      <c r="G285" s="1">
        <v>458</v>
      </c>
      <c r="H285" s="1">
        <v>2</v>
      </c>
      <c r="I285" s="1">
        <v>231</v>
      </c>
      <c r="J285" s="1">
        <v>771</v>
      </c>
      <c r="K285" s="1">
        <v>356</v>
      </c>
      <c r="L285" s="1">
        <v>962</v>
      </c>
      <c r="M285" s="1">
        <v>728</v>
      </c>
      <c r="N285" s="1">
        <v>667</v>
      </c>
      <c r="O285" s="1">
        <v>832</v>
      </c>
      <c r="P285" s="1">
        <v>73</v>
      </c>
      <c r="Q285" s="1">
        <v>187</v>
      </c>
      <c r="R285" s="1">
        <v>713</v>
      </c>
      <c r="S285" s="1">
        <f>SUM(ecommerce_sales_all_data[[#This Row],[sales_month_1]:[sales_month_12]])</f>
        <v>5980</v>
      </c>
      <c r="T285" s="3">
        <f t="shared" si="58"/>
        <v>23596.16</v>
      </c>
      <c r="U285" s="3">
        <f t="shared" si="59"/>
        <v>103.04</v>
      </c>
      <c r="V285" s="3">
        <f t="shared" si="60"/>
        <v>11901.12</v>
      </c>
      <c r="W285" s="3">
        <f t="shared" si="61"/>
        <v>39721.920000000006</v>
      </c>
      <c r="X285" s="3">
        <f t="shared" si="62"/>
        <v>18341.120000000003</v>
      </c>
      <c r="Y285" s="3">
        <f t="shared" si="63"/>
        <v>49562.240000000005</v>
      </c>
      <c r="Z285" s="3">
        <f t="shared" si="64"/>
        <v>37506.560000000005</v>
      </c>
      <c r="AA285" s="3">
        <f t="shared" si="65"/>
        <v>34363.840000000004</v>
      </c>
      <c r="AB285" s="3">
        <f t="shared" si="66"/>
        <v>42864.639999999999</v>
      </c>
      <c r="AC285" s="3">
        <f t="shared" si="67"/>
        <v>3760.96</v>
      </c>
      <c r="AD285" s="3">
        <f t="shared" si="68"/>
        <v>9634.24</v>
      </c>
      <c r="AE285" s="3">
        <f t="shared" si="69"/>
        <v>36733.760000000002</v>
      </c>
      <c r="AF285" s="3">
        <f>SUM(ecommerce_sales_all_data[[#This Row],[revenue_month_1]:[revenue_month_12]])</f>
        <v>308089.60000000003</v>
      </c>
    </row>
    <row r="286" spans="1:32" x14ac:dyDescent="0.3">
      <c r="A286">
        <v>285</v>
      </c>
      <c r="B286" t="s">
        <v>309</v>
      </c>
      <c r="C286" t="s">
        <v>35</v>
      </c>
      <c r="D286" s="2">
        <v>291.25</v>
      </c>
      <c r="E286">
        <v>2.2999999999999998</v>
      </c>
      <c r="F286">
        <v>725</v>
      </c>
      <c r="G286" s="1">
        <v>821</v>
      </c>
      <c r="H286" s="1">
        <v>973</v>
      </c>
      <c r="I286" s="1">
        <v>41</v>
      </c>
      <c r="J286" s="1">
        <v>242</v>
      </c>
      <c r="K286" s="1">
        <v>973</v>
      </c>
      <c r="L286" s="1">
        <v>520</v>
      </c>
      <c r="M286" s="1">
        <v>591</v>
      </c>
      <c r="N286" s="1">
        <v>196</v>
      </c>
      <c r="O286" s="1">
        <v>41</v>
      </c>
      <c r="P286" s="1">
        <v>186</v>
      </c>
      <c r="Q286" s="1">
        <v>568</v>
      </c>
      <c r="R286" s="1">
        <v>92</v>
      </c>
      <c r="S286" s="1">
        <f>SUM(ecommerce_sales_all_data[[#This Row],[sales_month_1]:[sales_month_12]])</f>
        <v>5244</v>
      </c>
      <c r="T286" s="3">
        <f t="shared" si="58"/>
        <v>239116.25</v>
      </c>
      <c r="U286" s="3">
        <f t="shared" si="59"/>
        <v>283386.25</v>
      </c>
      <c r="V286" s="3">
        <f t="shared" si="60"/>
        <v>11941.25</v>
      </c>
      <c r="W286" s="3">
        <f t="shared" si="61"/>
        <v>70482.5</v>
      </c>
      <c r="X286" s="3">
        <f t="shared" si="62"/>
        <v>283386.25</v>
      </c>
      <c r="Y286" s="3">
        <f t="shared" si="63"/>
        <v>151450</v>
      </c>
      <c r="Z286" s="3">
        <f t="shared" si="64"/>
        <v>172128.75</v>
      </c>
      <c r="AA286" s="3">
        <f t="shared" si="65"/>
        <v>57085</v>
      </c>
      <c r="AB286" s="3">
        <f t="shared" si="66"/>
        <v>11941.25</v>
      </c>
      <c r="AC286" s="3">
        <f t="shared" si="67"/>
        <v>54172.5</v>
      </c>
      <c r="AD286" s="3">
        <f t="shared" si="68"/>
        <v>165430</v>
      </c>
      <c r="AE286" s="3">
        <f t="shared" si="69"/>
        <v>26795</v>
      </c>
      <c r="AF286" s="3">
        <f>SUM(ecommerce_sales_all_data[[#This Row],[revenue_month_1]:[revenue_month_12]])</f>
        <v>1527315</v>
      </c>
    </row>
    <row r="287" spans="1:32" x14ac:dyDescent="0.3">
      <c r="A287">
        <v>286</v>
      </c>
      <c r="B287" t="s">
        <v>310</v>
      </c>
      <c r="C287" t="s">
        <v>19</v>
      </c>
      <c r="D287" s="2">
        <v>22.79</v>
      </c>
      <c r="E287">
        <v>3.1</v>
      </c>
      <c r="F287">
        <v>728</v>
      </c>
      <c r="G287" s="1">
        <v>951</v>
      </c>
      <c r="H287" s="1">
        <v>933</v>
      </c>
      <c r="I287" s="1">
        <v>701</v>
      </c>
      <c r="J287" s="1">
        <v>786</v>
      </c>
      <c r="K287" s="1">
        <v>600</v>
      </c>
      <c r="L287" s="1">
        <v>572</v>
      </c>
      <c r="M287" s="1">
        <v>825</v>
      </c>
      <c r="N287" s="1">
        <v>834</v>
      </c>
      <c r="O287" s="1">
        <v>596</v>
      </c>
      <c r="P287" s="1">
        <v>573</v>
      </c>
      <c r="Q287" s="1">
        <v>710</v>
      </c>
      <c r="R287" s="1">
        <v>840</v>
      </c>
      <c r="S287" s="1">
        <f>SUM(ecommerce_sales_all_data[[#This Row],[sales_month_1]:[sales_month_12]])</f>
        <v>8921</v>
      </c>
      <c r="T287" s="3">
        <f t="shared" si="58"/>
        <v>21673.29</v>
      </c>
      <c r="U287" s="3">
        <f t="shared" si="59"/>
        <v>21263.07</v>
      </c>
      <c r="V287" s="3">
        <f t="shared" si="60"/>
        <v>15975.789999999999</v>
      </c>
      <c r="W287" s="3">
        <f t="shared" si="61"/>
        <v>17912.939999999999</v>
      </c>
      <c r="X287" s="3">
        <f t="shared" si="62"/>
        <v>13674</v>
      </c>
      <c r="Y287" s="3">
        <f t="shared" si="63"/>
        <v>13035.88</v>
      </c>
      <c r="Z287" s="3">
        <f t="shared" si="64"/>
        <v>18801.75</v>
      </c>
      <c r="AA287" s="3">
        <f t="shared" si="65"/>
        <v>19006.86</v>
      </c>
      <c r="AB287" s="3">
        <f t="shared" si="66"/>
        <v>13582.84</v>
      </c>
      <c r="AC287" s="3">
        <f t="shared" si="67"/>
        <v>13058.67</v>
      </c>
      <c r="AD287" s="3">
        <f t="shared" si="68"/>
        <v>16180.9</v>
      </c>
      <c r="AE287" s="3">
        <f t="shared" si="69"/>
        <v>19143.599999999999</v>
      </c>
      <c r="AF287" s="3">
        <f>SUM(ecommerce_sales_all_data[[#This Row],[revenue_month_1]:[revenue_month_12]])</f>
        <v>203309.59000000003</v>
      </c>
    </row>
    <row r="288" spans="1:32" x14ac:dyDescent="0.3">
      <c r="A288">
        <v>287</v>
      </c>
      <c r="B288" t="s">
        <v>311</v>
      </c>
      <c r="C288" t="s">
        <v>48</v>
      </c>
      <c r="D288" s="2">
        <v>235.47</v>
      </c>
      <c r="E288">
        <v>1.4</v>
      </c>
      <c r="F288">
        <v>226</v>
      </c>
      <c r="G288" s="1">
        <v>981</v>
      </c>
      <c r="H288" s="1">
        <v>753</v>
      </c>
      <c r="I288" s="1">
        <v>882</v>
      </c>
      <c r="J288" s="1">
        <v>101</v>
      </c>
      <c r="K288" s="1">
        <v>567</v>
      </c>
      <c r="L288" s="1">
        <v>308</v>
      </c>
      <c r="M288" s="1">
        <v>594</v>
      </c>
      <c r="N288" s="1">
        <v>875</v>
      </c>
      <c r="O288" s="1">
        <v>392</v>
      </c>
      <c r="P288" s="1">
        <v>336</v>
      </c>
      <c r="Q288" s="1">
        <v>528</v>
      </c>
      <c r="R288" s="1">
        <v>867</v>
      </c>
      <c r="S288" s="1">
        <f>SUM(ecommerce_sales_all_data[[#This Row],[sales_month_1]:[sales_month_12]])</f>
        <v>7184</v>
      </c>
      <c r="T288" s="3">
        <f t="shared" si="58"/>
        <v>230996.07</v>
      </c>
      <c r="U288" s="3">
        <f t="shared" si="59"/>
        <v>177308.91</v>
      </c>
      <c r="V288" s="3">
        <f t="shared" si="60"/>
        <v>207684.54</v>
      </c>
      <c r="W288" s="3">
        <f t="shared" si="61"/>
        <v>23782.47</v>
      </c>
      <c r="X288" s="3">
        <f t="shared" si="62"/>
        <v>133511.49</v>
      </c>
      <c r="Y288" s="3">
        <f t="shared" si="63"/>
        <v>72524.759999999995</v>
      </c>
      <c r="Z288" s="3">
        <f t="shared" si="64"/>
        <v>139869.18</v>
      </c>
      <c r="AA288" s="3">
        <f t="shared" si="65"/>
        <v>206036.25</v>
      </c>
      <c r="AB288" s="3">
        <f t="shared" si="66"/>
        <v>92304.24</v>
      </c>
      <c r="AC288" s="3">
        <f t="shared" si="67"/>
        <v>79117.919999999998</v>
      </c>
      <c r="AD288" s="3">
        <f t="shared" si="68"/>
        <v>124328.16</v>
      </c>
      <c r="AE288" s="3">
        <f t="shared" si="69"/>
        <v>204152.49</v>
      </c>
      <c r="AF288" s="3">
        <f>SUM(ecommerce_sales_all_data[[#This Row],[revenue_month_1]:[revenue_month_12]])</f>
        <v>1691616.4799999997</v>
      </c>
    </row>
    <row r="289" spans="1:32" x14ac:dyDescent="0.3">
      <c r="A289">
        <v>288</v>
      </c>
      <c r="B289" t="s">
        <v>312</v>
      </c>
      <c r="C289" t="s">
        <v>48</v>
      </c>
      <c r="D289" s="2">
        <v>273.61</v>
      </c>
      <c r="E289">
        <v>2.4</v>
      </c>
      <c r="F289">
        <v>982</v>
      </c>
      <c r="G289" s="1">
        <v>992</v>
      </c>
      <c r="H289" s="1">
        <v>120</v>
      </c>
      <c r="I289" s="1">
        <v>138</v>
      </c>
      <c r="J289" s="1">
        <v>986</v>
      </c>
      <c r="K289" s="1">
        <v>93</v>
      </c>
      <c r="L289" s="1">
        <v>657</v>
      </c>
      <c r="M289" s="1">
        <v>576</v>
      </c>
      <c r="N289" s="1">
        <v>734</v>
      </c>
      <c r="O289" s="1">
        <v>699</v>
      </c>
      <c r="P289" s="1">
        <v>675</v>
      </c>
      <c r="Q289" s="1">
        <v>433</v>
      </c>
      <c r="R289" s="1">
        <v>687</v>
      </c>
      <c r="S289" s="1">
        <f>SUM(ecommerce_sales_all_data[[#This Row],[sales_month_1]:[sales_month_12]])</f>
        <v>6790</v>
      </c>
      <c r="T289" s="3">
        <f t="shared" si="58"/>
        <v>271421.12</v>
      </c>
      <c r="U289" s="3">
        <f t="shared" si="59"/>
        <v>32833.200000000004</v>
      </c>
      <c r="V289" s="3">
        <f t="shared" si="60"/>
        <v>37758.18</v>
      </c>
      <c r="W289" s="3">
        <f t="shared" si="61"/>
        <v>269779.46000000002</v>
      </c>
      <c r="X289" s="3">
        <f t="shared" si="62"/>
        <v>25445.73</v>
      </c>
      <c r="Y289" s="3">
        <f t="shared" si="63"/>
        <v>179761.77000000002</v>
      </c>
      <c r="Z289" s="3">
        <f t="shared" si="64"/>
        <v>157599.36000000002</v>
      </c>
      <c r="AA289" s="3">
        <f t="shared" si="65"/>
        <v>200829.74000000002</v>
      </c>
      <c r="AB289" s="3">
        <f t="shared" si="66"/>
        <v>191253.39</v>
      </c>
      <c r="AC289" s="3">
        <f t="shared" si="67"/>
        <v>184686.75</v>
      </c>
      <c r="AD289" s="3">
        <f t="shared" si="68"/>
        <v>118473.13</v>
      </c>
      <c r="AE289" s="3">
        <f t="shared" si="69"/>
        <v>187970.07</v>
      </c>
      <c r="AF289" s="3">
        <f>SUM(ecommerce_sales_all_data[[#This Row],[revenue_month_1]:[revenue_month_12]])</f>
        <v>1857811.9000000001</v>
      </c>
    </row>
    <row r="290" spans="1:32" x14ac:dyDescent="0.3">
      <c r="A290">
        <v>289</v>
      </c>
      <c r="B290" t="s">
        <v>313</v>
      </c>
      <c r="C290" t="s">
        <v>26</v>
      </c>
      <c r="D290" s="2">
        <v>146.84</v>
      </c>
      <c r="E290">
        <v>1.1000000000000001</v>
      </c>
      <c r="F290">
        <v>131</v>
      </c>
      <c r="G290" s="1">
        <v>99</v>
      </c>
      <c r="H290" s="1">
        <v>384</v>
      </c>
      <c r="I290" s="1">
        <v>614</v>
      </c>
      <c r="J290" s="1">
        <v>684</v>
      </c>
      <c r="K290" s="1">
        <v>92</v>
      </c>
      <c r="L290" s="1">
        <v>938</v>
      </c>
      <c r="M290" s="1">
        <v>324</v>
      </c>
      <c r="N290" s="1">
        <v>366</v>
      </c>
      <c r="O290" s="1">
        <v>622</v>
      </c>
      <c r="P290" s="1">
        <v>567</v>
      </c>
      <c r="Q290" s="1">
        <v>287</v>
      </c>
      <c r="R290" s="1">
        <v>329</v>
      </c>
      <c r="S290" s="1">
        <f>SUM(ecommerce_sales_all_data[[#This Row],[sales_month_1]:[sales_month_12]])</f>
        <v>5306</v>
      </c>
      <c r="T290" s="3">
        <f t="shared" si="58"/>
        <v>14537.16</v>
      </c>
      <c r="U290" s="3">
        <f t="shared" si="59"/>
        <v>56386.559999999998</v>
      </c>
      <c r="V290" s="3">
        <f t="shared" si="60"/>
        <v>90159.760000000009</v>
      </c>
      <c r="W290" s="3">
        <f t="shared" si="61"/>
        <v>100438.56</v>
      </c>
      <c r="X290" s="3">
        <f t="shared" si="62"/>
        <v>13509.28</v>
      </c>
      <c r="Y290" s="3">
        <f t="shared" si="63"/>
        <v>137735.92000000001</v>
      </c>
      <c r="Z290" s="3">
        <f t="shared" si="64"/>
        <v>47576.160000000003</v>
      </c>
      <c r="AA290" s="3">
        <f t="shared" si="65"/>
        <v>53743.44</v>
      </c>
      <c r="AB290" s="3">
        <f t="shared" si="66"/>
        <v>91334.48</v>
      </c>
      <c r="AC290" s="3">
        <f t="shared" si="67"/>
        <v>83258.28</v>
      </c>
      <c r="AD290" s="3">
        <f t="shared" si="68"/>
        <v>42143.08</v>
      </c>
      <c r="AE290" s="3">
        <f t="shared" si="69"/>
        <v>48310.36</v>
      </c>
      <c r="AF290" s="3">
        <f>SUM(ecommerce_sales_all_data[[#This Row],[revenue_month_1]:[revenue_month_12]])</f>
        <v>779133.04</v>
      </c>
    </row>
    <row r="291" spans="1:32" x14ac:dyDescent="0.3">
      <c r="A291">
        <v>290</v>
      </c>
      <c r="B291" t="s">
        <v>314</v>
      </c>
      <c r="C291" t="s">
        <v>48</v>
      </c>
      <c r="D291" s="2">
        <v>297.45999999999998</v>
      </c>
      <c r="E291">
        <v>1.3</v>
      </c>
      <c r="F291">
        <v>588</v>
      </c>
      <c r="G291" s="1">
        <v>620</v>
      </c>
      <c r="H291" s="1">
        <v>613</v>
      </c>
      <c r="I291" s="1">
        <v>682</v>
      </c>
      <c r="J291" s="1">
        <v>170</v>
      </c>
      <c r="K291" s="1">
        <v>339</v>
      </c>
      <c r="L291" s="1">
        <v>930</v>
      </c>
      <c r="M291" s="1">
        <v>639</v>
      </c>
      <c r="N291" s="1">
        <v>249</v>
      </c>
      <c r="O291" s="1">
        <v>782</v>
      </c>
      <c r="P291" s="1">
        <v>622</v>
      </c>
      <c r="Q291" s="1">
        <v>917</v>
      </c>
      <c r="R291" s="1">
        <v>722</v>
      </c>
      <c r="S291" s="1">
        <f>SUM(ecommerce_sales_all_data[[#This Row],[sales_month_1]:[sales_month_12]])</f>
        <v>7285</v>
      </c>
      <c r="T291" s="3">
        <f t="shared" si="58"/>
        <v>184425.19999999998</v>
      </c>
      <c r="U291" s="3">
        <f t="shared" si="59"/>
        <v>182342.97999999998</v>
      </c>
      <c r="V291" s="3">
        <f t="shared" si="60"/>
        <v>202867.71999999997</v>
      </c>
      <c r="W291" s="3">
        <f t="shared" si="61"/>
        <v>50568.2</v>
      </c>
      <c r="X291" s="3">
        <f t="shared" si="62"/>
        <v>100838.93999999999</v>
      </c>
      <c r="Y291" s="3">
        <f t="shared" si="63"/>
        <v>276637.8</v>
      </c>
      <c r="Z291" s="3">
        <f t="shared" si="64"/>
        <v>190076.93999999997</v>
      </c>
      <c r="AA291" s="3">
        <f t="shared" si="65"/>
        <v>74067.539999999994</v>
      </c>
      <c r="AB291" s="3">
        <f t="shared" si="66"/>
        <v>232613.71999999997</v>
      </c>
      <c r="AC291" s="3">
        <f t="shared" si="67"/>
        <v>185020.12</v>
      </c>
      <c r="AD291" s="3">
        <f t="shared" si="68"/>
        <v>272770.82</v>
      </c>
      <c r="AE291" s="3">
        <f t="shared" si="69"/>
        <v>214766.12</v>
      </c>
      <c r="AF291" s="3">
        <f>SUM(ecommerce_sales_all_data[[#This Row],[revenue_month_1]:[revenue_month_12]])</f>
        <v>2166996.0999999996</v>
      </c>
    </row>
    <row r="292" spans="1:32" x14ac:dyDescent="0.3">
      <c r="A292">
        <v>291</v>
      </c>
      <c r="B292" t="s">
        <v>315</v>
      </c>
      <c r="C292" t="s">
        <v>48</v>
      </c>
      <c r="D292" s="2">
        <v>20.100000000000001</v>
      </c>
      <c r="E292">
        <v>2.6</v>
      </c>
      <c r="F292">
        <v>476</v>
      </c>
      <c r="G292" s="1">
        <v>854</v>
      </c>
      <c r="H292" s="1">
        <v>37</v>
      </c>
      <c r="I292" s="1">
        <v>862</v>
      </c>
      <c r="J292" s="1">
        <v>652</v>
      </c>
      <c r="K292" s="1">
        <v>596</v>
      </c>
      <c r="L292" s="1">
        <v>509</v>
      </c>
      <c r="M292" s="1">
        <v>306</v>
      </c>
      <c r="N292" s="1">
        <v>915</v>
      </c>
      <c r="O292" s="1">
        <v>994</v>
      </c>
      <c r="P292" s="1">
        <v>729</v>
      </c>
      <c r="Q292" s="1">
        <v>566</v>
      </c>
      <c r="R292" s="1">
        <v>183</v>
      </c>
      <c r="S292" s="1">
        <f>SUM(ecommerce_sales_all_data[[#This Row],[sales_month_1]:[sales_month_12]])</f>
        <v>7203</v>
      </c>
      <c r="T292" s="3">
        <f t="shared" si="58"/>
        <v>17165.400000000001</v>
      </c>
      <c r="U292" s="3">
        <f t="shared" si="59"/>
        <v>743.7</v>
      </c>
      <c r="V292" s="3">
        <f t="shared" si="60"/>
        <v>17326.2</v>
      </c>
      <c r="W292" s="3">
        <f t="shared" si="61"/>
        <v>13105.2</v>
      </c>
      <c r="X292" s="3">
        <f t="shared" si="62"/>
        <v>11979.6</v>
      </c>
      <c r="Y292" s="3">
        <f t="shared" si="63"/>
        <v>10230.900000000001</v>
      </c>
      <c r="Z292" s="3">
        <f t="shared" si="64"/>
        <v>6150.6</v>
      </c>
      <c r="AA292" s="3">
        <f t="shared" si="65"/>
        <v>18391.5</v>
      </c>
      <c r="AB292" s="3">
        <f t="shared" si="66"/>
        <v>19979.400000000001</v>
      </c>
      <c r="AC292" s="3">
        <f t="shared" si="67"/>
        <v>14652.900000000001</v>
      </c>
      <c r="AD292" s="3">
        <f t="shared" si="68"/>
        <v>11376.6</v>
      </c>
      <c r="AE292" s="3">
        <f t="shared" si="69"/>
        <v>3678.3</v>
      </c>
      <c r="AF292" s="3">
        <f>SUM(ecommerce_sales_all_data[[#This Row],[revenue_month_1]:[revenue_month_12]])</f>
        <v>144780.29999999999</v>
      </c>
    </row>
    <row r="293" spans="1:32" x14ac:dyDescent="0.3">
      <c r="A293">
        <v>292</v>
      </c>
      <c r="B293" t="s">
        <v>316</v>
      </c>
      <c r="C293" t="s">
        <v>23</v>
      </c>
      <c r="D293" s="2">
        <v>23.49</v>
      </c>
      <c r="E293">
        <v>1.5</v>
      </c>
      <c r="F293">
        <v>798</v>
      </c>
      <c r="G293" s="1">
        <v>172</v>
      </c>
      <c r="H293" s="1">
        <v>340</v>
      </c>
      <c r="I293" s="1">
        <v>272</v>
      </c>
      <c r="J293" s="1">
        <v>908</v>
      </c>
      <c r="K293" s="1">
        <v>444</v>
      </c>
      <c r="L293" s="1">
        <v>62</v>
      </c>
      <c r="M293" s="1">
        <v>533</v>
      </c>
      <c r="N293" s="1">
        <v>594</v>
      </c>
      <c r="O293" s="1">
        <v>440</v>
      </c>
      <c r="P293" s="1">
        <v>239</v>
      </c>
      <c r="Q293" s="1">
        <v>498</v>
      </c>
      <c r="R293" s="1">
        <v>94</v>
      </c>
      <c r="S293" s="1">
        <f>SUM(ecommerce_sales_all_data[[#This Row],[sales_month_1]:[sales_month_12]])</f>
        <v>4596</v>
      </c>
      <c r="T293" s="3">
        <f t="shared" si="58"/>
        <v>4040.2799999999997</v>
      </c>
      <c r="U293" s="3">
        <f t="shared" si="59"/>
        <v>7986.5999999999995</v>
      </c>
      <c r="V293" s="3">
        <f t="shared" si="60"/>
        <v>6389.28</v>
      </c>
      <c r="W293" s="3">
        <f t="shared" si="61"/>
        <v>21328.92</v>
      </c>
      <c r="X293" s="3">
        <f t="shared" si="62"/>
        <v>10429.56</v>
      </c>
      <c r="Y293" s="3">
        <f t="shared" si="63"/>
        <v>1456.3799999999999</v>
      </c>
      <c r="Z293" s="3">
        <f t="shared" si="64"/>
        <v>12520.17</v>
      </c>
      <c r="AA293" s="3">
        <f t="shared" si="65"/>
        <v>13953.06</v>
      </c>
      <c r="AB293" s="3">
        <f t="shared" si="66"/>
        <v>10335.599999999999</v>
      </c>
      <c r="AC293" s="3">
        <f t="shared" si="67"/>
        <v>5614.11</v>
      </c>
      <c r="AD293" s="3">
        <f t="shared" si="68"/>
        <v>11698.019999999999</v>
      </c>
      <c r="AE293" s="3">
        <f t="shared" si="69"/>
        <v>2208.06</v>
      </c>
      <c r="AF293" s="3">
        <f>SUM(ecommerce_sales_all_data[[#This Row],[revenue_month_1]:[revenue_month_12]])</f>
        <v>107960.04000000001</v>
      </c>
    </row>
    <row r="294" spans="1:32" x14ac:dyDescent="0.3">
      <c r="A294">
        <v>293</v>
      </c>
      <c r="B294" t="s">
        <v>317</v>
      </c>
      <c r="C294" t="s">
        <v>29</v>
      </c>
      <c r="D294" s="2">
        <v>412.19</v>
      </c>
      <c r="E294">
        <v>3.3</v>
      </c>
      <c r="F294">
        <v>986</v>
      </c>
      <c r="G294" s="1">
        <v>748</v>
      </c>
      <c r="H294" s="1">
        <v>924</v>
      </c>
      <c r="I294" s="1">
        <v>480</v>
      </c>
      <c r="J294" s="1">
        <v>187</v>
      </c>
      <c r="K294" s="1">
        <v>756</v>
      </c>
      <c r="L294" s="1">
        <v>632</v>
      </c>
      <c r="M294" s="1">
        <v>727</v>
      </c>
      <c r="N294" s="1">
        <v>239</v>
      </c>
      <c r="O294" s="1">
        <v>836</v>
      </c>
      <c r="P294" s="1">
        <v>532</v>
      </c>
      <c r="Q294" s="1">
        <v>440</v>
      </c>
      <c r="R294" s="1">
        <v>784</v>
      </c>
      <c r="S294" s="1">
        <f>SUM(ecommerce_sales_all_data[[#This Row],[sales_month_1]:[sales_month_12]])</f>
        <v>7285</v>
      </c>
      <c r="T294" s="3">
        <f t="shared" si="58"/>
        <v>308318.12</v>
      </c>
      <c r="U294" s="3">
        <f t="shared" si="59"/>
        <v>380863.56</v>
      </c>
      <c r="V294" s="3">
        <f t="shared" si="60"/>
        <v>197851.2</v>
      </c>
      <c r="W294" s="3">
        <f t="shared" si="61"/>
        <v>77079.53</v>
      </c>
      <c r="X294" s="3">
        <f t="shared" si="62"/>
        <v>311615.64</v>
      </c>
      <c r="Y294" s="3">
        <f t="shared" si="63"/>
        <v>260504.08</v>
      </c>
      <c r="Z294" s="3">
        <f t="shared" si="64"/>
        <v>299662.13</v>
      </c>
      <c r="AA294" s="3">
        <f t="shared" si="65"/>
        <v>98513.41</v>
      </c>
      <c r="AB294" s="3">
        <f t="shared" si="66"/>
        <v>344590.84</v>
      </c>
      <c r="AC294" s="3">
        <f t="shared" si="67"/>
        <v>219285.08</v>
      </c>
      <c r="AD294" s="3">
        <f t="shared" si="68"/>
        <v>181363.6</v>
      </c>
      <c r="AE294" s="3">
        <f t="shared" si="69"/>
        <v>323156.96000000002</v>
      </c>
      <c r="AF294" s="3">
        <f>SUM(ecommerce_sales_all_data[[#This Row],[revenue_month_1]:[revenue_month_12]])</f>
        <v>3002804.15</v>
      </c>
    </row>
    <row r="295" spans="1:32" x14ac:dyDescent="0.3">
      <c r="A295">
        <v>294</v>
      </c>
      <c r="B295" t="s">
        <v>318</v>
      </c>
      <c r="C295" t="s">
        <v>19</v>
      </c>
      <c r="D295" s="2">
        <v>183.29</v>
      </c>
      <c r="E295">
        <v>3.8</v>
      </c>
      <c r="F295">
        <v>277</v>
      </c>
      <c r="G295" s="1">
        <v>161</v>
      </c>
      <c r="H295" s="1">
        <v>644</v>
      </c>
      <c r="I295" s="1">
        <v>415</v>
      </c>
      <c r="J295" s="1">
        <v>440</v>
      </c>
      <c r="K295" s="1">
        <v>21</v>
      </c>
      <c r="L295" s="1">
        <v>225</v>
      </c>
      <c r="M295" s="1">
        <v>618</v>
      </c>
      <c r="N295" s="1">
        <v>379</v>
      </c>
      <c r="O295" s="1">
        <v>616</v>
      </c>
      <c r="P295" s="1">
        <v>140</v>
      </c>
      <c r="Q295" s="1">
        <v>780</v>
      </c>
      <c r="R295" s="1">
        <v>648</v>
      </c>
      <c r="S295" s="1">
        <f>SUM(ecommerce_sales_all_data[[#This Row],[sales_month_1]:[sales_month_12]])</f>
        <v>5087</v>
      </c>
      <c r="T295" s="3">
        <f t="shared" si="58"/>
        <v>29509.69</v>
      </c>
      <c r="U295" s="3">
        <f t="shared" si="59"/>
        <v>118038.76</v>
      </c>
      <c r="V295" s="3">
        <f t="shared" si="60"/>
        <v>76065.349999999991</v>
      </c>
      <c r="W295" s="3">
        <f t="shared" si="61"/>
        <v>80647.599999999991</v>
      </c>
      <c r="X295" s="3">
        <f t="shared" si="62"/>
        <v>3849.0899999999997</v>
      </c>
      <c r="Y295" s="3">
        <f t="shared" si="63"/>
        <v>41240.25</v>
      </c>
      <c r="Z295" s="3">
        <f t="shared" si="64"/>
        <v>113273.22</v>
      </c>
      <c r="AA295" s="3">
        <f t="shared" si="65"/>
        <v>69466.91</v>
      </c>
      <c r="AB295" s="3">
        <f t="shared" si="66"/>
        <v>112906.64</v>
      </c>
      <c r="AC295" s="3">
        <f t="shared" si="67"/>
        <v>25660.6</v>
      </c>
      <c r="AD295" s="3">
        <f t="shared" si="68"/>
        <v>142966.19999999998</v>
      </c>
      <c r="AE295" s="3">
        <f t="shared" si="69"/>
        <v>118771.92</v>
      </c>
      <c r="AF295" s="3">
        <f>SUM(ecommerce_sales_all_data[[#This Row],[revenue_month_1]:[revenue_month_12]])</f>
        <v>932396.23</v>
      </c>
    </row>
    <row r="296" spans="1:32" x14ac:dyDescent="0.3">
      <c r="A296">
        <v>295</v>
      </c>
      <c r="B296" t="s">
        <v>319</v>
      </c>
      <c r="C296" t="s">
        <v>26</v>
      </c>
      <c r="D296" s="2">
        <v>67.89</v>
      </c>
      <c r="E296">
        <v>4.2</v>
      </c>
      <c r="F296">
        <v>156</v>
      </c>
      <c r="G296" s="1">
        <v>904</v>
      </c>
      <c r="H296" s="1">
        <v>713</v>
      </c>
      <c r="I296" s="1">
        <v>505</v>
      </c>
      <c r="J296" s="1">
        <v>85</v>
      </c>
      <c r="K296" s="1">
        <v>290</v>
      </c>
      <c r="L296" s="1">
        <v>104</v>
      </c>
      <c r="M296" s="1">
        <v>108</v>
      </c>
      <c r="N296" s="1">
        <v>906</v>
      </c>
      <c r="O296" s="1">
        <v>505</v>
      </c>
      <c r="P296" s="1">
        <v>264</v>
      </c>
      <c r="Q296" s="1">
        <v>302</v>
      </c>
      <c r="R296" s="1">
        <v>748</v>
      </c>
      <c r="S296" s="1">
        <f>SUM(ecommerce_sales_all_data[[#This Row],[sales_month_1]:[sales_month_12]])</f>
        <v>5434</v>
      </c>
      <c r="T296" s="3">
        <f t="shared" si="58"/>
        <v>61372.56</v>
      </c>
      <c r="U296" s="3">
        <f t="shared" si="59"/>
        <v>48405.57</v>
      </c>
      <c r="V296" s="3">
        <f t="shared" si="60"/>
        <v>34284.449999999997</v>
      </c>
      <c r="W296" s="3">
        <f t="shared" si="61"/>
        <v>5770.65</v>
      </c>
      <c r="X296" s="3">
        <f t="shared" si="62"/>
        <v>19688.099999999999</v>
      </c>
      <c r="Y296" s="3">
        <f t="shared" si="63"/>
        <v>7060.56</v>
      </c>
      <c r="Z296" s="3">
        <f t="shared" si="64"/>
        <v>7332.12</v>
      </c>
      <c r="AA296" s="3">
        <f t="shared" si="65"/>
        <v>61508.340000000004</v>
      </c>
      <c r="AB296" s="3">
        <f t="shared" si="66"/>
        <v>34284.449999999997</v>
      </c>
      <c r="AC296" s="3">
        <f t="shared" si="67"/>
        <v>17922.96</v>
      </c>
      <c r="AD296" s="3">
        <f t="shared" si="68"/>
        <v>20502.78</v>
      </c>
      <c r="AE296" s="3">
        <f t="shared" si="69"/>
        <v>50781.72</v>
      </c>
      <c r="AF296" s="3">
        <f>SUM(ecommerce_sales_all_data[[#This Row],[revenue_month_1]:[revenue_month_12]])</f>
        <v>368914.26</v>
      </c>
    </row>
    <row r="297" spans="1:32" x14ac:dyDescent="0.3">
      <c r="A297">
        <v>296</v>
      </c>
      <c r="B297" t="s">
        <v>320</v>
      </c>
      <c r="C297" t="s">
        <v>23</v>
      </c>
      <c r="D297" s="2">
        <v>263.51</v>
      </c>
      <c r="E297">
        <v>1.8</v>
      </c>
      <c r="F297">
        <v>760</v>
      </c>
      <c r="G297" s="1">
        <v>727</v>
      </c>
      <c r="H297" s="1">
        <v>859</v>
      </c>
      <c r="I297" s="1">
        <v>732</v>
      </c>
      <c r="J297" s="1">
        <v>475</v>
      </c>
      <c r="K297" s="1">
        <v>484</v>
      </c>
      <c r="L297" s="1">
        <v>973</v>
      </c>
      <c r="M297" s="1">
        <v>371</v>
      </c>
      <c r="N297" s="1">
        <v>871</v>
      </c>
      <c r="O297" s="1">
        <v>917</v>
      </c>
      <c r="P297" s="1">
        <v>138</v>
      </c>
      <c r="Q297" s="1">
        <v>86</v>
      </c>
      <c r="R297" s="1">
        <v>352</v>
      </c>
      <c r="S297" s="1">
        <f>SUM(ecommerce_sales_all_data[[#This Row],[sales_month_1]:[sales_month_12]])</f>
        <v>6985</v>
      </c>
      <c r="T297" s="3">
        <f t="shared" si="58"/>
        <v>191571.77</v>
      </c>
      <c r="U297" s="3">
        <f t="shared" si="59"/>
        <v>226355.09</v>
      </c>
      <c r="V297" s="3">
        <f t="shared" si="60"/>
        <v>192889.32</v>
      </c>
      <c r="W297" s="3">
        <f t="shared" si="61"/>
        <v>125167.25</v>
      </c>
      <c r="X297" s="3">
        <f t="shared" si="62"/>
        <v>127538.84</v>
      </c>
      <c r="Y297" s="3">
        <f t="shared" si="63"/>
        <v>256395.22999999998</v>
      </c>
      <c r="Z297" s="3">
        <f t="shared" si="64"/>
        <v>97762.209999999992</v>
      </c>
      <c r="AA297" s="3">
        <f t="shared" si="65"/>
        <v>229517.21</v>
      </c>
      <c r="AB297" s="3">
        <f t="shared" si="66"/>
        <v>241638.66999999998</v>
      </c>
      <c r="AC297" s="3">
        <f t="shared" si="67"/>
        <v>36364.379999999997</v>
      </c>
      <c r="AD297" s="3">
        <f t="shared" si="68"/>
        <v>22661.86</v>
      </c>
      <c r="AE297" s="3">
        <f t="shared" si="69"/>
        <v>92755.51999999999</v>
      </c>
      <c r="AF297" s="3">
        <f>SUM(ecommerce_sales_all_data[[#This Row],[revenue_month_1]:[revenue_month_12]])</f>
        <v>1840617.3499999999</v>
      </c>
    </row>
    <row r="298" spans="1:32" x14ac:dyDescent="0.3">
      <c r="A298">
        <v>297</v>
      </c>
      <c r="B298" t="s">
        <v>321</v>
      </c>
      <c r="C298" t="s">
        <v>35</v>
      </c>
      <c r="D298" s="2">
        <v>386.15</v>
      </c>
      <c r="E298">
        <v>1.7</v>
      </c>
      <c r="F298">
        <v>218</v>
      </c>
      <c r="G298" s="1">
        <v>775</v>
      </c>
      <c r="H298" s="1">
        <v>20</v>
      </c>
      <c r="I298" s="1">
        <v>724</v>
      </c>
      <c r="J298" s="1">
        <v>51</v>
      </c>
      <c r="K298" s="1">
        <v>783</v>
      </c>
      <c r="L298" s="1">
        <v>771</v>
      </c>
      <c r="M298" s="1">
        <v>356</v>
      </c>
      <c r="N298" s="1">
        <v>834</v>
      </c>
      <c r="O298" s="1">
        <v>319</v>
      </c>
      <c r="P298" s="1">
        <v>458</v>
      </c>
      <c r="Q298" s="1">
        <v>829</v>
      </c>
      <c r="R298" s="1">
        <v>929</v>
      </c>
      <c r="S298" s="1">
        <f>SUM(ecommerce_sales_all_data[[#This Row],[sales_month_1]:[sales_month_12]])</f>
        <v>6849</v>
      </c>
      <c r="T298" s="3">
        <f t="shared" si="58"/>
        <v>299266.25</v>
      </c>
      <c r="U298" s="3">
        <f t="shared" si="59"/>
        <v>7723</v>
      </c>
      <c r="V298" s="3">
        <f t="shared" si="60"/>
        <v>279572.59999999998</v>
      </c>
      <c r="W298" s="3">
        <f t="shared" si="61"/>
        <v>19693.649999999998</v>
      </c>
      <c r="X298" s="3">
        <f t="shared" si="62"/>
        <v>302355.44999999995</v>
      </c>
      <c r="Y298" s="3">
        <f t="shared" si="63"/>
        <v>297721.64999999997</v>
      </c>
      <c r="Z298" s="3">
        <f t="shared" si="64"/>
        <v>137469.4</v>
      </c>
      <c r="AA298" s="3">
        <f t="shared" si="65"/>
        <v>322049.09999999998</v>
      </c>
      <c r="AB298" s="3">
        <f t="shared" si="66"/>
        <v>123181.84999999999</v>
      </c>
      <c r="AC298" s="3">
        <f t="shared" si="67"/>
        <v>176856.69999999998</v>
      </c>
      <c r="AD298" s="3">
        <f t="shared" si="68"/>
        <v>320118.34999999998</v>
      </c>
      <c r="AE298" s="3">
        <f t="shared" si="69"/>
        <v>358733.35</v>
      </c>
      <c r="AF298" s="3">
        <f>SUM(ecommerce_sales_all_data[[#This Row],[revenue_month_1]:[revenue_month_12]])</f>
        <v>2644741.3499999996</v>
      </c>
    </row>
    <row r="299" spans="1:32" x14ac:dyDescent="0.3">
      <c r="A299">
        <v>298</v>
      </c>
      <c r="B299" t="s">
        <v>322</v>
      </c>
      <c r="C299" t="s">
        <v>35</v>
      </c>
      <c r="D299" s="2">
        <v>111.83</v>
      </c>
      <c r="E299">
        <v>1.4</v>
      </c>
      <c r="F299">
        <v>190</v>
      </c>
      <c r="G299" s="1">
        <v>262</v>
      </c>
      <c r="H299" s="1">
        <v>241</v>
      </c>
      <c r="I299" s="1">
        <v>852</v>
      </c>
      <c r="J299" s="1">
        <v>110</v>
      </c>
      <c r="K299" s="1">
        <v>305</v>
      </c>
      <c r="L299" s="1">
        <v>860</v>
      </c>
      <c r="M299" s="1">
        <v>180</v>
      </c>
      <c r="N299" s="1">
        <v>470</v>
      </c>
      <c r="O299" s="1">
        <v>552</v>
      </c>
      <c r="P299" s="1">
        <v>69</v>
      </c>
      <c r="Q299" s="1">
        <v>437</v>
      </c>
      <c r="R299" s="1">
        <v>940</v>
      </c>
      <c r="S299" s="1">
        <f>SUM(ecommerce_sales_all_data[[#This Row],[sales_month_1]:[sales_month_12]])</f>
        <v>5278</v>
      </c>
      <c r="T299" s="3">
        <f t="shared" si="58"/>
        <v>29299.46</v>
      </c>
      <c r="U299" s="3">
        <f t="shared" si="59"/>
        <v>26951.03</v>
      </c>
      <c r="V299" s="3">
        <f t="shared" si="60"/>
        <v>95279.16</v>
      </c>
      <c r="W299" s="3">
        <f t="shared" si="61"/>
        <v>12301.3</v>
      </c>
      <c r="X299" s="3">
        <f t="shared" si="62"/>
        <v>34108.15</v>
      </c>
      <c r="Y299" s="3">
        <f t="shared" si="63"/>
        <v>96173.8</v>
      </c>
      <c r="Z299" s="3">
        <f t="shared" si="64"/>
        <v>20129.400000000001</v>
      </c>
      <c r="AA299" s="3">
        <f t="shared" si="65"/>
        <v>52560.1</v>
      </c>
      <c r="AB299" s="3">
        <f t="shared" si="66"/>
        <v>61730.159999999996</v>
      </c>
      <c r="AC299" s="3">
        <f t="shared" si="67"/>
        <v>7716.2699999999995</v>
      </c>
      <c r="AD299" s="3">
        <f t="shared" si="68"/>
        <v>48869.71</v>
      </c>
      <c r="AE299" s="3">
        <f t="shared" si="69"/>
        <v>105120.2</v>
      </c>
      <c r="AF299" s="3">
        <f>SUM(ecommerce_sales_all_data[[#This Row],[revenue_month_1]:[revenue_month_12]])</f>
        <v>590238.74</v>
      </c>
    </row>
    <row r="300" spans="1:32" x14ac:dyDescent="0.3">
      <c r="A300">
        <v>299</v>
      </c>
      <c r="B300" t="s">
        <v>323</v>
      </c>
      <c r="C300" t="s">
        <v>21</v>
      </c>
      <c r="D300" s="2">
        <v>313.33</v>
      </c>
      <c r="E300">
        <v>3.5</v>
      </c>
      <c r="F300">
        <v>417</v>
      </c>
      <c r="G300" s="1">
        <v>803</v>
      </c>
      <c r="H300" s="1">
        <v>454</v>
      </c>
      <c r="I300" s="1">
        <v>423</v>
      </c>
      <c r="J300" s="1">
        <v>948</v>
      </c>
      <c r="K300" s="1">
        <v>633</v>
      </c>
      <c r="L300" s="1">
        <v>424</v>
      </c>
      <c r="M300" s="1">
        <v>355</v>
      </c>
      <c r="N300" s="1">
        <v>774</v>
      </c>
      <c r="O300" s="1">
        <v>214</v>
      </c>
      <c r="P300" s="1">
        <v>384</v>
      </c>
      <c r="Q300" s="1">
        <v>540</v>
      </c>
      <c r="R300" s="1">
        <v>983</v>
      </c>
      <c r="S300" s="1">
        <f>SUM(ecommerce_sales_all_data[[#This Row],[sales_month_1]:[sales_month_12]])</f>
        <v>6935</v>
      </c>
      <c r="T300" s="3">
        <f t="shared" si="58"/>
        <v>251603.99</v>
      </c>
      <c r="U300" s="3">
        <f t="shared" si="59"/>
        <v>142251.82</v>
      </c>
      <c r="V300" s="3">
        <f t="shared" si="60"/>
        <v>132538.59</v>
      </c>
      <c r="W300" s="3">
        <f t="shared" si="61"/>
        <v>297036.83999999997</v>
      </c>
      <c r="X300" s="3">
        <f t="shared" si="62"/>
        <v>198337.88999999998</v>
      </c>
      <c r="Y300" s="3">
        <f t="shared" si="63"/>
        <v>132851.91999999998</v>
      </c>
      <c r="Z300" s="3">
        <f t="shared" si="64"/>
        <v>111232.15</v>
      </c>
      <c r="AA300" s="3">
        <f t="shared" si="65"/>
        <v>242517.41999999998</v>
      </c>
      <c r="AB300" s="3">
        <f t="shared" si="66"/>
        <v>67052.62</v>
      </c>
      <c r="AC300" s="3">
        <f t="shared" si="67"/>
        <v>120318.72</v>
      </c>
      <c r="AD300" s="3">
        <f t="shared" si="68"/>
        <v>169198.19999999998</v>
      </c>
      <c r="AE300" s="3">
        <f t="shared" si="69"/>
        <v>308003.38999999996</v>
      </c>
      <c r="AF300" s="3">
        <f>SUM(ecommerce_sales_all_data[[#This Row],[revenue_month_1]:[revenue_month_12]])</f>
        <v>2172943.5499999998</v>
      </c>
    </row>
    <row r="301" spans="1:32" x14ac:dyDescent="0.3">
      <c r="A301">
        <v>300</v>
      </c>
      <c r="B301" t="s">
        <v>324</v>
      </c>
      <c r="C301" t="s">
        <v>48</v>
      </c>
      <c r="D301" s="2">
        <v>47.25</v>
      </c>
      <c r="E301">
        <v>3.8</v>
      </c>
      <c r="F301">
        <v>981</v>
      </c>
      <c r="G301" s="1">
        <v>273</v>
      </c>
      <c r="H301" s="1">
        <v>962</v>
      </c>
      <c r="I301" s="1">
        <v>406</v>
      </c>
      <c r="J301" s="1">
        <v>876</v>
      </c>
      <c r="K301" s="1">
        <v>127</v>
      </c>
      <c r="L301" s="1">
        <v>254</v>
      </c>
      <c r="M301" s="1">
        <v>675</v>
      </c>
      <c r="N301" s="1">
        <v>918</v>
      </c>
      <c r="O301" s="1">
        <v>70</v>
      </c>
      <c r="P301" s="1">
        <v>629</v>
      </c>
      <c r="Q301" s="1">
        <v>21</v>
      </c>
      <c r="R301" s="1">
        <v>264</v>
      </c>
      <c r="S301" s="1">
        <f>SUM(ecommerce_sales_all_data[[#This Row],[sales_month_1]:[sales_month_12]])</f>
        <v>5475</v>
      </c>
      <c r="T301" s="3">
        <f t="shared" si="58"/>
        <v>12899.25</v>
      </c>
      <c r="U301" s="3">
        <f t="shared" si="59"/>
        <v>45454.5</v>
      </c>
      <c r="V301" s="3">
        <f t="shared" si="60"/>
        <v>19183.5</v>
      </c>
      <c r="W301" s="3">
        <f t="shared" si="61"/>
        <v>41391</v>
      </c>
      <c r="X301" s="3">
        <f t="shared" si="62"/>
        <v>6000.75</v>
      </c>
      <c r="Y301" s="3">
        <f t="shared" si="63"/>
        <v>12001.5</v>
      </c>
      <c r="Z301" s="3">
        <f t="shared" si="64"/>
        <v>31893.75</v>
      </c>
      <c r="AA301" s="3">
        <f t="shared" si="65"/>
        <v>43375.5</v>
      </c>
      <c r="AB301" s="3">
        <f t="shared" si="66"/>
        <v>3307.5</v>
      </c>
      <c r="AC301" s="3">
        <f t="shared" si="67"/>
        <v>29720.25</v>
      </c>
      <c r="AD301" s="3">
        <f t="shared" si="68"/>
        <v>992.25</v>
      </c>
      <c r="AE301" s="3">
        <f t="shared" si="69"/>
        <v>12474</v>
      </c>
      <c r="AF301" s="3">
        <f>SUM(ecommerce_sales_all_data[[#This Row],[revenue_month_1]:[revenue_month_12]])</f>
        <v>258693.75</v>
      </c>
    </row>
    <row r="302" spans="1:32" x14ac:dyDescent="0.3">
      <c r="A302">
        <v>301</v>
      </c>
      <c r="B302" t="s">
        <v>325</v>
      </c>
      <c r="C302" t="s">
        <v>48</v>
      </c>
      <c r="D302" s="2">
        <v>30.58</v>
      </c>
      <c r="E302">
        <v>1.1000000000000001</v>
      </c>
      <c r="F302">
        <v>675</v>
      </c>
      <c r="G302" s="1">
        <v>2</v>
      </c>
      <c r="H302" s="1">
        <v>620</v>
      </c>
      <c r="I302" s="1">
        <v>567</v>
      </c>
      <c r="J302" s="1">
        <v>853</v>
      </c>
      <c r="K302" s="1">
        <v>624</v>
      </c>
      <c r="L302" s="1">
        <v>428</v>
      </c>
      <c r="M302" s="1">
        <v>67</v>
      </c>
      <c r="N302" s="1">
        <v>700</v>
      </c>
      <c r="O302" s="1">
        <v>567</v>
      </c>
      <c r="P302" s="1">
        <v>197</v>
      </c>
      <c r="Q302" s="1">
        <v>832</v>
      </c>
      <c r="R302" s="1">
        <v>646</v>
      </c>
      <c r="S302" s="1">
        <f>SUM(ecommerce_sales_all_data[[#This Row],[sales_month_1]:[sales_month_12]])</f>
        <v>6103</v>
      </c>
      <c r="T302" s="3">
        <f t="shared" si="58"/>
        <v>61.16</v>
      </c>
      <c r="U302" s="3">
        <f t="shared" si="59"/>
        <v>18959.599999999999</v>
      </c>
      <c r="V302" s="3">
        <f t="shared" si="60"/>
        <v>17338.86</v>
      </c>
      <c r="W302" s="3">
        <f t="shared" si="61"/>
        <v>26084.739999999998</v>
      </c>
      <c r="X302" s="3">
        <f t="shared" si="62"/>
        <v>19081.919999999998</v>
      </c>
      <c r="Y302" s="3">
        <f t="shared" si="63"/>
        <v>13088.24</v>
      </c>
      <c r="Z302" s="3">
        <f t="shared" si="64"/>
        <v>2048.8599999999997</v>
      </c>
      <c r="AA302" s="3">
        <f t="shared" si="65"/>
        <v>21406</v>
      </c>
      <c r="AB302" s="3">
        <f t="shared" si="66"/>
        <v>17338.86</v>
      </c>
      <c r="AC302" s="3">
        <f t="shared" si="67"/>
        <v>6024.2599999999993</v>
      </c>
      <c r="AD302" s="3">
        <f t="shared" si="68"/>
        <v>25442.559999999998</v>
      </c>
      <c r="AE302" s="3">
        <f t="shared" si="69"/>
        <v>19754.68</v>
      </c>
      <c r="AF302" s="3">
        <f>SUM(ecommerce_sales_all_data[[#This Row],[revenue_month_1]:[revenue_month_12]])</f>
        <v>186629.74</v>
      </c>
    </row>
    <row r="303" spans="1:32" x14ac:dyDescent="0.3">
      <c r="A303">
        <v>302</v>
      </c>
      <c r="B303" t="s">
        <v>326</v>
      </c>
      <c r="C303" t="s">
        <v>26</v>
      </c>
      <c r="D303" s="2">
        <v>268.02</v>
      </c>
      <c r="E303">
        <v>4.7</v>
      </c>
      <c r="F303">
        <v>692</v>
      </c>
      <c r="G303" s="1">
        <v>27</v>
      </c>
      <c r="H303" s="1">
        <v>302</v>
      </c>
      <c r="I303" s="1">
        <v>389</v>
      </c>
      <c r="J303" s="1">
        <v>42</v>
      </c>
      <c r="K303" s="1">
        <v>938</v>
      </c>
      <c r="L303" s="1">
        <v>433</v>
      </c>
      <c r="M303" s="1">
        <v>291</v>
      </c>
      <c r="N303" s="1">
        <v>454</v>
      </c>
      <c r="O303" s="1">
        <v>918</v>
      </c>
      <c r="P303" s="1">
        <v>204</v>
      </c>
      <c r="Q303" s="1">
        <v>796</v>
      </c>
      <c r="R303" s="1">
        <v>655</v>
      </c>
      <c r="S303" s="1">
        <f>SUM(ecommerce_sales_all_data[[#This Row],[sales_month_1]:[sales_month_12]])</f>
        <v>5449</v>
      </c>
      <c r="T303" s="3">
        <f t="shared" si="58"/>
        <v>7236.5399999999991</v>
      </c>
      <c r="U303" s="3">
        <f t="shared" si="59"/>
        <v>80942.039999999994</v>
      </c>
      <c r="V303" s="3">
        <f t="shared" si="60"/>
        <v>104259.78</v>
      </c>
      <c r="W303" s="3">
        <f t="shared" si="61"/>
        <v>11256.84</v>
      </c>
      <c r="X303" s="3">
        <f t="shared" si="62"/>
        <v>251402.75999999998</v>
      </c>
      <c r="Y303" s="3">
        <f t="shared" si="63"/>
        <v>116052.65999999999</v>
      </c>
      <c r="Z303" s="3">
        <f t="shared" si="64"/>
        <v>77993.819999999992</v>
      </c>
      <c r="AA303" s="3">
        <f t="shared" si="65"/>
        <v>121681.07999999999</v>
      </c>
      <c r="AB303" s="3">
        <f t="shared" si="66"/>
        <v>246042.36</v>
      </c>
      <c r="AC303" s="3">
        <f t="shared" si="67"/>
        <v>54676.079999999994</v>
      </c>
      <c r="AD303" s="3">
        <f t="shared" si="68"/>
        <v>213343.91999999998</v>
      </c>
      <c r="AE303" s="3">
        <f t="shared" si="69"/>
        <v>175553.09999999998</v>
      </c>
      <c r="AF303" s="3">
        <f>SUM(ecommerce_sales_all_data[[#This Row],[revenue_month_1]:[revenue_month_12]])</f>
        <v>1460440.98</v>
      </c>
    </row>
    <row r="304" spans="1:32" x14ac:dyDescent="0.3">
      <c r="A304">
        <v>303</v>
      </c>
      <c r="B304" t="s">
        <v>327</v>
      </c>
      <c r="C304" t="s">
        <v>29</v>
      </c>
      <c r="D304" s="2">
        <v>272.61</v>
      </c>
      <c r="E304">
        <v>1.2</v>
      </c>
      <c r="F304">
        <v>546</v>
      </c>
      <c r="G304" s="1">
        <v>325</v>
      </c>
      <c r="H304" s="1">
        <v>595</v>
      </c>
      <c r="I304" s="1">
        <v>341</v>
      </c>
      <c r="J304" s="1">
        <v>210</v>
      </c>
      <c r="K304" s="1">
        <v>272</v>
      </c>
      <c r="L304" s="1">
        <v>206</v>
      </c>
      <c r="M304" s="1">
        <v>691</v>
      </c>
      <c r="N304" s="1">
        <v>365</v>
      </c>
      <c r="O304" s="1">
        <v>235</v>
      </c>
      <c r="P304" s="1">
        <v>725</v>
      </c>
      <c r="Q304" s="1">
        <v>559</v>
      </c>
      <c r="R304" s="1">
        <v>18</v>
      </c>
      <c r="S304" s="1">
        <f>SUM(ecommerce_sales_all_data[[#This Row],[sales_month_1]:[sales_month_12]])</f>
        <v>4542</v>
      </c>
      <c r="T304" s="3">
        <f t="shared" si="58"/>
        <v>88598.25</v>
      </c>
      <c r="U304" s="3">
        <f t="shared" si="59"/>
        <v>162202.95000000001</v>
      </c>
      <c r="V304" s="3">
        <f t="shared" si="60"/>
        <v>92960.010000000009</v>
      </c>
      <c r="W304" s="3">
        <f t="shared" si="61"/>
        <v>57248.100000000006</v>
      </c>
      <c r="X304" s="3">
        <f t="shared" si="62"/>
        <v>74149.919999999998</v>
      </c>
      <c r="Y304" s="3">
        <f t="shared" si="63"/>
        <v>56157.66</v>
      </c>
      <c r="Z304" s="3">
        <f t="shared" si="64"/>
        <v>188373.51</v>
      </c>
      <c r="AA304" s="3">
        <f t="shared" si="65"/>
        <v>99502.650000000009</v>
      </c>
      <c r="AB304" s="3">
        <f t="shared" si="66"/>
        <v>64063.350000000006</v>
      </c>
      <c r="AC304" s="3">
        <f t="shared" si="67"/>
        <v>197642.25</v>
      </c>
      <c r="AD304" s="3">
        <f t="shared" si="68"/>
        <v>152388.99000000002</v>
      </c>
      <c r="AE304" s="3">
        <f t="shared" si="69"/>
        <v>4906.9800000000005</v>
      </c>
      <c r="AF304" s="3">
        <f>SUM(ecommerce_sales_all_data[[#This Row],[revenue_month_1]:[revenue_month_12]])</f>
        <v>1238194.6199999999</v>
      </c>
    </row>
    <row r="305" spans="1:32" x14ac:dyDescent="0.3">
      <c r="A305">
        <v>304</v>
      </c>
      <c r="B305" t="s">
        <v>328</v>
      </c>
      <c r="C305" t="s">
        <v>29</v>
      </c>
      <c r="D305" s="2">
        <v>320.52999999999997</v>
      </c>
      <c r="E305">
        <v>3.2</v>
      </c>
      <c r="F305">
        <v>41</v>
      </c>
      <c r="G305" s="1">
        <v>939</v>
      </c>
      <c r="H305" s="1">
        <v>594</v>
      </c>
      <c r="I305" s="1">
        <v>945</v>
      </c>
      <c r="J305" s="1">
        <v>967</v>
      </c>
      <c r="K305" s="1">
        <v>847</v>
      </c>
      <c r="L305" s="1">
        <v>27</v>
      </c>
      <c r="M305" s="1">
        <v>180</v>
      </c>
      <c r="N305" s="1">
        <v>289</v>
      </c>
      <c r="O305" s="1">
        <v>280</v>
      </c>
      <c r="P305" s="1">
        <v>567</v>
      </c>
      <c r="Q305" s="1">
        <v>516</v>
      </c>
      <c r="R305" s="1">
        <v>742</v>
      </c>
      <c r="S305" s="1">
        <f>SUM(ecommerce_sales_all_data[[#This Row],[sales_month_1]:[sales_month_12]])</f>
        <v>6893</v>
      </c>
      <c r="T305" s="3">
        <f t="shared" si="58"/>
        <v>300977.67</v>
      </c>
      <c r="U305" s="3">
        <f t="shared" si="59"/>
        <v>190394.81999999998</v>
      </c>
      <c r="V305" s="3">
        <f t="shared" si="60"/>
        <v>302900.84999999998</v>
      </c>
      <c r="W305" s="3">
        <f t="shared" si="61"/>
        <v>309952.50999999995</v>
      </c>
      <c r="X305" s="3">
        <f t="shared" si="62"/>
        <v>271488.90999999997</v>
      </c>
      <c r="Y305" s="3">
        <f t="shared" si="63"/>
        <v>8654.31</v>
      </c>
      <c r="Z305" s="3">
        <f t="shared" si="64"/>
        <v>57695.399999999994</v>
      </c>
      <c r="AA305" s="3">
        <f t="shared" si="65"/>
        <v>92633.17</v>
      </c>
      <c r="AB305" s="3">
        <f t="shared" si="66"/>
        <v>89748.4</v>
      </c>
      <c r="AC305" s="3">
        <f t="shared" si="67"/>
        <v>181740.50999999998</v>
      </c>
      <c r="AD305" s="3">
        <f t="shared" si="68"/>
        <v>165393.47999999998</v>
      </c>
      <c r="AE305" s="3">
        <f t="shared" si="69"/>
        <v>237833.25999999998</v>
      </c>
      <c r="AF305" s="3">
        <f>SUM(ecommerce_sales_all_data[[#This Row],[revenue_month_1]:[revenue_month_12]])</f>
        <v>2209413.2899999996</v>
      </c>
    </row>
    <row r="306" spans="1:32" x14ac:dyDescent="0.3">
      <c r="A306">
        <v>305</v>
      </c>
      <c r="B306" t="s">
        <v>329</v>
      </c>
      <c r="C306" t="s">
        <v>26</v>
      </c>
      <c r="D306" s="2">
        <v>364.42</v>
      </c>
      <c r="E306">
        <v>3.8</v>
      </c>
      <c r="F306">
        <v>307</v>
      </c>
      <c r="G306" s="1">
        <v>148</v>
      </c>
      <c r="H306" s="1">
        <v>802</v>
      </c>
      <c r="I306" s="1">
        <v>613</v>
      </c>
      <c r="J306" s="1">
        <v>199</v>
      </c>
      <c r="K306" s="1">
        <v>441</v>
      </c>
      <c r="L306" s="1">
        <v>681</v>
      </c>
      <c r="M306" s="1">
        <v>465</v>
      </c>
      <c r="N306" s="1">
        <v>873</v>
      </c>
      <c r="O306" s="1">
        <v>986</v>
      </c>
      <c r="P306" s="1">
        <v>798</v>
      </c>
      <c r="Q306" s="1">
        <v>761</v>
      </c>
      <c r="R306" s="1">
        <v>645</v>
      </c>
      <c r="S306" s="1">
        <f>SUM(ecommerce_sales_all_data[[#This Row],[sales_month_1]:[sales_month_12]])</f>
        <v>7412</v>
      </c>
      <c r="T306" s="3">
        <f t="shared" si="58"/>
        <v>53934.16</v>
      </c>
      <c r="U306" s="3">
        <f t="shared" si="59"/>
        <v>292264.84000000003</v>
      </c>
      <c r="V306" s="3">
        <f t="shared" si="60"/>
        <v>223389.46000000002</v>
      </c>
      <c r="W306" s="3">
        <f t="shared" si="61"/>
        <v>72519.58</v>
      </c>
      <c r="X306" s="3">
        <f t="shared" si="62"/>
        <v>160709.22</v>
      </c>
      <c r="Y306" s="3">
        <f t="shared" si="63"/>
        <v>248170.02000000002</v>
      </c>
      <c r="Z306" s="3">
        <f t="shared" si="64"/>
        <v>169455.30000000002</v>
      </c>
      <c r="AA306" s="3">
        <f t="shared" si="65"/>
        <v>318138.66000000003</v>
      </c>
      <c r="AB306" s="3">
        <f t="shared" si="66"/>
        <v>359318.12</v>
      </c>
      <c r="AC306" s="3">
        <f t="shared" si="67"/>
        <v>290807.16000000003</v>
      </c>
      <c r="AD306" s="3">
        <f t="shared" si="68"/>
        <v>277323.62</v>
      </c>
      <c r="AE306" s="3">
        <f t="shared" si="69"/>
        <v>235050.90000000002</v>
      </c>
      <c r="AF306" s="3">
        <f>SUM(ecommerce_sales_all_data[[#This Row],[revenue_month_1]:[revenue_month_12]])</f>
        <v>2701081.04</v>
      </c>
    </row>
    <row r="307" spans="1:32" x14ac:dyDescent="0.3">
      <c r="A307">
        <v>306</v>
      </c>
      <c r="B307" t="s">
        <v>330</v>
      </c>
      <c r="C307" t="s">
        <v>26</v>
      </c>
      <c r="D307" s="2">
        <v>488.05</v>
      </c>
      <c r="E307">
        <v>4.5</v>
      </c>
      <c r="F307">
        <v>943</v>
      </c>
      <c r="G307" s="1">
        <v>539</v>
      </c>
      <c r="H307" s="1">
        <v>963</v>
      </c>
      <c r="I307" s="1">
        <v>932</v>
      </c>
      <c r="J307" s="1">
        <v>809</v>
      </c>
      <c r="K307" s="1">
        <v>502</v>
      </c>
      <c r="L307" s="1">
        <v>335</v>
      </c>
      <c r="M307" s="1">
        <v>433</v>
      </c>
      <c r="N307" s="1">
        <v>402</v>
      </c>
      <c r="O307" s="1">
        <v>616</v>
      </c>
      <c r="P307" s="1">
        <v>981</v>
      </c>
      <c r="Q307" s="1">
        <v>674</v>
      </c>
      <c r="R307" s="1">
        <v>625</v>
      </c>
      <c r="S307" s="1">
        <f>SUM(ecommerce_sales_all_data[[#This Row],[sales_month_1]:[sales_month_12]])</f>
        <v>7811</v>
      </c>
      <c r="T307" s="3">
        <f t="shared" si="58"/>
        <v>263058.95</v>
      </c>
      <c r="U307" s="3">
        <f t="shared" si="59"/>
        <v>469992.15</v>
      </c>
      <c r="V307" s="3">
        <f t="shared" si="60"/>
        <v>454862.60000000003</v>
      </c>
      <c r="W307" s="3">
        <f t="shared" si="61"/>
        <v>394832.45</v>
      </c>
      <c r="X307" s="3">
        <f t="shared" si="62"/>
        <v>245001.1</v>
      </c>
      <c r="Y307" s="3">
        <f t="shared" si="63"/>
        <v>163496.75</v>
      </c>
      <c r="Z307" s="3">
        <f t="shared" si="64"/>
        <v>211325.65</v>
      </c>
      <c r="AA307" s="3">
        <f t="shared" si="65"/>
        <v>196196.1</v>
      </c>
      <c r="AB307" s="3">
        <f t="shared" si="66"/>
        <v>300638.8</v>
      </c>
      <c r="AC307" s="3">
        <f t="shared" si="67"/>
        <v>478777.05</v>
      </c>
      <c r="AD307" s="3">
        <f t="shared" si="68"/>
        <v>328945.7</v>
      </c>
      <c r="AE307" s="3">
        <f t="shared" si="69"/>
        <v>305031.25</v>
      </c>
      <c r="AF307" s="3">
        <f>SUM(ecommerce_sales_all_data[[#This Row],[revenue_month_1]:[revenue_month_12]])</f>
        <v>3812158.5500000003</v>
      </c>
    </row>
    <row r="308" spans="1:32" x14ac:dyDescent="0.3">
      <c r="A308">
        <v>307</v>
      </c>
      <c r="B308" t="s">
        <v>331</v>
      </c>
      <c r="C308" t="s">
        <v>23</v>
      </c>
      <c r="D308" s="2">
        <v>260.57</v>
      </c>
      <c r="E308">
        <v>3.9</v>
      </c>
      <c r="F308">
        <v>338</v>
      </c>
      <c r="G308" s="1">
        <v>487</v>
      </c>
      <c r="H308" s="1">
        <v>68</v>
      </c>
      <c r="I308" s="1">
        <v>492</v>
      </c>
      <c r="J308" s="1">
        <v>857</v>
      </c>
      <c r="K308" s="1">
        <v>129</v>
      </c>
      <c r="L308" s="1">
        <v>587</v>
      </c>
      <c r="M308" s="1">
        <v>463</v>
      </c>
      <c r="N308" s="1">
        <v>57</v>
      </c>
      <c r="O308" s="1">
        <v>901</v>
      </c>
      <c r="P308" s="1">
        <v>804</v>
      </c>
      <c r="Q308" s="1">
        <v>502</v>
      </c>
      <c r="R308" s="1">
        <v>498</v>
      </c>
      <c r="S308" s="1">
        <f>SUM(ecommerce_sales_all_data[[#This Row],[sales_month_1]:[sales_month_12]])</f>
        <v>5845</v>
      </c>
      <c r="T308" s="3">
        <f t="shared" si="58"/>
        <v>126897.59</v>
      </c>
      <c r="U308" s="3">
        <f t="shared" si="59"/>
        <v>17718.759999999998</v>
      </c>
      <c r="V308" s="3">
        <f t="shared" si="60"/>
        <v>128200.44</v>
      </c>
      <c r="W308" s="3">
        <f t="shared" si="61"/>
        <v>223308.49</v>
      </c>
      <c r="X308" s="3">
        <f t="shared" si="62"/>
        <v>33613.53</v>
      </c>
      <c r="Y308" s="3">
        <f t="shared" si="63"/>
        <v>152954.59</v>
      </c>
      <c r="Z308" s="3">
        <f t="shared" si="64"/>
        <v>120643.91</v>
      </c>
      <c r="AA308" s="3">
        <f t="shared" si="65"/>
        <v>14852.49</v>
      </c>
      <c r="AB308" s="3">
        <f t="shared" si="66"/>
        <v>234773.57</v>
      </c>
      <c r="AC308" s="3">
        <f t="shared" si="67"/>
        <v>209498.28</v>
      </c>
      <c r="AD308" s="3">
        <f t="shared" si="68"/>
        <v>130806.14</v>
      </c>
      <c r="AE308" s="3">
        <f t="shared" si="69"/>
        <v>129763.86</v>
      </c>
      <c r="AF308" s="3">
        <f>SUM(ecommerce_sales_all_data[[#This Row],[revenue_month_1]:[revenue_month_12]])</f>
        <v>1523031.6500000001</v>
      </c>
    </row>
    <row r="309" spans="1:32" x14ac:dyDescent="0.3">
      <c r="A309">
        <v>308</v>
      </c>
      <c r="B309" t="s">
        <v>332</v>
      </c>
      <c r="C309" t="s">
        <v>35</v>
      </c>
      <c r="D309" s="2">
        <v>164.86</v>
      </c>
      <c r="E309">
        <v>4.2</v>
      </c>
      <c r="F309">
        <v>314</v>
      </c>
      <c r="G309" s="1">
        <v>821</v>
      </c>
      <c r="H309" s="1">
        <v>128</v>
      </c>
      <c r="I309" s="1">
        <v>191</v>
      </c>
      <c r="J309" s="1">
        <v>751</v>
      </c>
      <c r="K309" s="1">
        <v>131</v>
      </c>
      <c r="L309" s="1">
        <v>627</v>
      </c>
      <c r="M309" s="1">
        <v>680</v>
      </c>
      <c r="N309" s="1">
        <v>520</v>
      </c>
      <c r="O309" s="1">
        <v>886</v>
      </c>
      <c r="P309" s="1">
        <v>686</v>
      </c>
      <c r="Q309" s="1">
        <v>713</v>
      </c>
      <c r="R309" s="1">
        <v>138</v>
      </c>
      <c r="S309" s="1">
        <f>SUM(ecommerce_sales_all_data[[#This Row],[sales_month_1]:[sales_month_12]])</f>
        <v>6272</v>
      </c>
      <c r="T309" s="3">
        <f t="shared" si="58"/>
        <v>135350.06</v>
      </c>
      <c r="U309" s="3">
        <f t="shared" si="59"/>
        <v>21102.080000000002</v>
      </c>
      <c r="V309" s="3">
        <f t="shared" si="60"/>
        <v>31488.260000000002</v>
      </c>
      <c r="W309" s="3">
        <f t="shared" si="61"/>
        <v>123809.86000000002</v>
      </c>
      <c r="X309" s="3">
        <f t="shared" si="62"/>
        <v>21596.660000000003</v>
      </c>
      <c r="Y309" s="3">
        <f t="shared" si="63"/>
        <v>103367.22000000002</v>
      </c>
      <c r="Z309" s="3">
        <f t="shared" si="64"/>
        <v>112104.8</v>
      </c>
      <c r="AA309" s="3">
        <f t="shared" si="65"/>
        <v>85727.200000000012</v>
      </c>
      <c r="AB309" s="3">
        <f t="shared" si="66"/>
        <v>146065.96000000002</v>
      </c>
      <c r="AC309" s="3">
        <f t="shared" si="67"/>
        <v>113093.96</v>
      </c>
      <c r="AD309" s="3">
        <f t="shared" si="68"/>
        <v>117545.18000000001</v>
      </c>
      <c r="AE309" s="3">
        <f t="shared" si="69"/>
        <v>22750.68</v>
      </c>
      <c r="AF309" s="3">
        <f>SUM(ecommerce_sales_all_data[[#This Row],[revenue_month_1]:[revenue_month_12]])</f>
        <v>1034001.9200000002</v>
      </c>
    </row>
    <row r="310" spans="1:32" x14ac:dyDescent="0.3">
      <c r="A310">
        <v>309</v>
      </c>
      <c r="B310" t="s">
        <v>333</v>
      </c>
      <c r="C310" t="s">
        <v>26</v>
      </c>
      <c r="D310" s="2">
        <v>398.62</v>
      </c>
      <c r="E310">
        <v>2.4</v>
      </c>
      <c r="F310">
        <v>75</v>
      </c>
      <c r="G310" s="1">
        <v>437</v>
      </c>
      <c r="H310" s="1">
        <v>195</v>
      </c>
      <c r="I310" s="1">
        <v>498</v>
      </c>
      <c r="J310" s="1">
        <v>626</v>
      </c>
      <c r="K310" s="1">
        <v>596</v>
      </c>
      <c r="L310" s="1">
        <v>68</v>
      </c>
      <c r="M310" s="1">
        <v>913</v>
      </c>
      <c r="N310" s="1">
        <v>303</v>
      </c>
      <c r="O310" s="1">
        <v>161</v>
      </c>
      <c r="P310" s="1">
        <v>858</v>
      </c>
      <c r="Q310" s="1">
        <v>466</v>
      </c>
      <c r="R310" s="1">
        <v>636</v>
      </c>
      <c r="S310" s="1">
        <f>SUM(ecommerce_sales_all_data[[#This Row],[sales_month_1]:[sales_month_12]])</f>
        <v>5757</v>
      </c>
      <c r="T310" s="3">
        <f t="shared" si="58"/>
        <v>174196.94</v>
      </c>
      <c r="U310" s="3">
        <f t="shared" si="59"/>
        <v>77730.899999999994</v>
      </c>
      <c r="V310" s="3">
        <f t="shared" si="60"/>
        <v>198512.76</v>
      </c>
      <c r="W310" s="3">
        <f t="shared" si="61"/>
        <v>249536.12</v>
      </c>
      <c r="X310" s="3">
        <f t="shared" si="62"/>
        <v>237577.52</v>
      </c>
      <c r="Y310" s="3">
        <f t="shared" si="63"/>
        <v>27106.16</v>
      </c>
      <c r="Z310" s="3">
        <f t="shared" si="64"/>
        <v>363940.06</v>
      </c>
      <c r="AA310" s="3">
        <f t="shared" si="65"/>
        <v>120781.86</v>
      </c>
      <c r="AB310" s="3">
        <f t="shared" si="66"/>
        <v>64177.82</v>
      </c>
      <c r="AC310" s="3">
        <f t="shared" si="67"/>
        <v>342015.96</v>
      </c>
      <c r="AD310" s="3">
        <f t="shared" si="68"/>
        <v>185756.92</v>
      </c>
      <c r="AE310" s="3">
        <f t="shared" si="69"/>
        <v>253522.32</v>
      </c>
      <c r="AF310" s="3">
        <f>SUM(ecommerce_sales_all_data[[#This Row],[revenue_month_1]:[revenue_month_12]])</f>
        <v>2294855.34</v>
      </c>
    </row>
    <row r="311" spans="1:32" x14ac:dyDescent="0.3">
      <c r="A311">
        <v>310</v>
      </c>
      <c r="B311" t="s">
        <v>334</v>
      </c>
      <c r="C311" t="s">
        <v>35</v>
      </c>
      <c r="D311" s="2">
        <v>139.06</v>
      </c>
      <c r="E311">
        <v>4.3</v>
      </c>
      <c r="F311">
        <v>953</v>
      </c>
      <c r="G311" s="1">
        <v>64</v>
      </c>
      <c r="H311" s="1">
        <v>139</v>
      </c>
      <c r="I311" s="1">
        <v>821</v>
      </c>
      <c r="J311" s="1">
        <v>25</v>
      </c>
      <c r="K311" s="1">
        <v>934</v>
      </c>
      <c r="L311" s="1">
        <v>865</v>
      </c>
      <c r="M311" s="1">
        <v>533</v>
      </c>
      <c r="N311" s="1">
        <v>114</v>
      </c>
      <c r="O311" s="1">
        <v>190</v>
      </c>
      <c r="P311" s="1">
        <v>881</v>
      </c>
      <c r="Q311" s="1">
        <v>100</v>
      </c>
      <c r="R311" s="1">
        <v>715</v>
      </c>
      <c r="S311" s="1">
        <f>SUM(ecommerce_sales_all_data[[#This Row],[sales_month_1]:[sales_month_12]])</f>
        <v>5381</v>
      </c>
      <c r="T311" s="3">
        <f t="shared" si="58"/>
        <v>8899.84</v>
      </c>
      <c r="U311" s="3">
        <f t="shared" si="59"/>
        <v>19329.34</v>
      </c>
      <c r="V311" s="3">
        <f t="shared" si="60"/>
        <v>114168.26</v>
      </c>
      <c r="W311" s="3">
        <f t="shared" si="61"/>
        <v>3476.5</v>
      </c>
      <c r="X311" s="3">
        <f t="shared" si="62"/>
        <v>129882.04000000001</v>
      </c>
      <c r="Y311" s="3">
        <f t="shared" si="63"/>
        <v>120286.90000000001</v>
      </c>
      <c r="Z311" s="3">
        <f t="shared" si="64"/>
        <v>74118.98</v>
      </c>
      <c r="AA311" s="3">
        <f t="shared" si="65"/>
        <v>15852.84</v>
      </c>
      <c r="AB311" s="3">
        <f t="shared" si="66"/>
        <v>26421.4</v>
      </c>
      <c r="AC311" s="3">
        <f t="shared" si="67"/>
        <v>122511.86</v>
      </c>
      <c r="AD311" s="3">
        <f t="shared" si="68"/>
        <v>13906</v>
      </c>
      <c r="AE311" s="3">
        <f t="shared" si="69"/>
        <v>99427.900000000009</v>
      </c>
      <c r="AF311" s="3">
        <f>SUM(ecommerce_sales_all_data[[#This Row],[revenue_month_1]:[revenue_month_12]])</f>
        <v>748281.8600000001</v>
      </c>
    </row>
    <row r="312" spans="1:32" x14ac:dyDescent="0.3">
      <c r="A312">
        <v>311</v>
      </c>
      <c r="B312" t="s">
        <v>335</v>
      </c>
      <c r="C312" t="s">
        <v>21</v>
      </c>
      <c r="D312" s="2">
        <v>222.29</v>
      </c>
      <c r="E312">
        <v>1.3</v>
      </c>
      <c r="F312">
        <v>279</v>
      </c>
      <c r="G312" s="1">
        <v>355</v>
      </c>
      <c r="H312" s="1">
        <v>443</v>
      </c>
      <c r="I312" s="1">
        <v>711</v>
      </c>
      <c r="J312" s="1">
        <v>918</v>
      </c>
      <c r="K312" s="1">
        <v>481</v>
      </c>
      <c r="L312" s="1">
        <v>745</v>
      </c>
      <c r="M312" s="1">
        <v>65</v>
      </c>
      <c r="N312" s="1">
        <v>209</v>
      </c>
      <c r="O312" s="1">
        <v>8</v>
      </c>
      <c r="P312" s="1">
        <v>973</v>
      </c>
      <c r="Q312" s="1">
        <v>582</v>
      </c>
      <c r="R312" s="1">
        <v>572</v>
      </c>
      <c r="S312" s="1">
        <f>SUM(ecommerce_sales_all_data[[#This Row],[sales_month_1]:[sales_month_12]])</f>
        <v>6062</v>
      </c>
      <c r="T312" s="3">
        <f t="shared" si="58"/>
        <v>78912.95</v>
      </c>
      <c r="U312" s="3">
        <f t="shared" si="59"/>
        <v>98474.47</v>
      </c>
      <c r="V312" s="3">
        <f t="shared" si="60"/>
        <v>158048.19</v>
      </c>
      <c r="W312" s="3">
        <f t="shared" si="61"/>
        <v>204062.22</v>
      </c>
      <c r="X312" s="3">
        <f t="shared" si="62"/>
        <v>106921.48999999999</v>
      </c>
      <c r="Y312" s="3">
        <f t="shared" si="63"/>
        <v>165606.04999999999</v>
      </c>
      <c r="Z312" s="3">
        <f t="shared" si="64"/>
        <v>14448.85</v>
      </c>
      <c r="AA312" s="3">
        <f t="shared" si="65"/>
        <v>46458.61</v>
      </c>
      <c r="AB312" s="3">
        <f t="shared" si="66"/>
        <v>1778.32</v>
      </c>
      <c r="AC312" s="3">
        <f t="shared" si="67"/>
        <v>216288.16999999998</v>
      </c>
      <c r="AD312" s="3">
        <f t="shared" si="68"/>
        <v>129372.78</v>
      </c>
      <c r="AE312" s="3">
        <f t="shared" si="69"/>
        <v>127149.87999999999</v>
      </c>
      <c r="AF312" s="3">
        <f>SUM(ecommerce_sales_all_data[[#This Row],[revenue_month_1]:[revenue_month_12]])</f>
        <v>1347521.9799999997</v>
      </c>
    </row>
    <row r="313" spans="1:32" x14ac:dyDescent="0.3">
      <c r="A313">
        <v>312</v>
      </c>
      <c r="B313" t="s">
        <v>336</v>
      </c>
      <c r="C313" t="s">
        <v>35</v>
      </c>
      <c r="D313" s="2">
        <v>43.84</v>
      </c>
      <c r="E313">
        <v>4.5999999999999996</v>
      </c>
      <c r="F313">
        <v>176</v>
      </c>
      <c r="G313" s="1">
        <v>532</v>
      </c>
      <c r="H313" s="1">
        <v>282</v>
      </c>
      <c r="I313" s="1">
        <v>232</v>
      </c>
      <c r="J313" s="1">
        <v>298</v>
      </c>
      <c r="K313" s="1">
        <v>861</v>
      </c>
      <c r="L313" s="1">
        <v>512</v>
      </c>
      <c r="M313" s="1">
        <v>20</v>
      </c>
      <c r="N313" s="1">
        <v>40</v>
      </c>
      <c r="O313" s="1">
        <v>59</v>
      </c>
      <c r="P313" s="1">
        <v>639</v>
      </c>
      <c r="Q313" s="1">
        <v>941</v>
      </c>
      <c r="R313" s="1">
        <v>761</v>
      </c>
      <c r="S313" s="1">
        <f>SUM(ecommerce_sales_all_data[[#This Row],[sales_month_1]:[sales_month_12]])</f>
        <v>5177</v>
      </c>
      <c r="T313" s="3">
        <f t="shared" si="58"/>
        <v>23322.880000000001</v>
      </c>
      <c r="U313" s="3">
        <f t="shared" si="59"/>
        <v>12362.880000000001</v>
      </c>
      <c r="V313" s="3">
        <f t="shared" si="60"/>
        <v>10170.880000000001</v>
      </c>
      <c r="W313" s="3">
        <f t="shared" si="61"/>
        <v>13064.320000000002</v>
      </c>
      <c r="X313" s="3">
        <f t="shared" si="62"/>
        <v>37746.240000000005</v>
      </c>
      <c r="Y313" s="3">
        <f t="shared" si="63"/>
        <v>22446.080000000002</v>
      </c>
      <c r="Z313" s="3">
        <f t="shared" si="64"/>
        <v>876.80000000000007</v>
      </c>
      <c r="AA313" s="3">
        <f t="shared" si="65"/>
        <v>1753.6000000000001</v>
      </c>
      <c r="AB313" s="3">
        <f t="shared" si="66"/>
        <v>2586.5600000000004</v>
      </c>
      <c r="AC313" s="3">
        <f t="shared" si="67"/>
        <v>28013.760000000002</v>
      </c>
      <c r="AD313" s="3">
        <f t="shared" si="68"/>
        <v>41253.440000000002</v>
      </c>
      <c r="AE313" s="3">
        <f t="shared" si="69"/>
        <v>33362.240000000005</v>
      </c>
      <c r="AF313" s="3">
        <f>SUM(ecommerce_sales_all_data[[#This Row],[revenue_month_1]:[revenue_month_12]])</f>
        <v>226959.68000000005</v>
      </c>
    </row>
    <row r="314" spans="1:32" x14ac:dyDescent="0.3">
      <c r="A314">
        <v>313</v>
      </c>
      <c r="B314" t="s">
        <v>337</v>
      </c>
      <c r="C314" t="s">
        <v>23</v>
      </c>
      <c r="D314" s="2">
        <v>17.55</v>
      </c>
      <c r="E314">
        <v>3.2</v>
      </c>
      <c r="F314">
        <v>896</v>
      </c>
      <c r="G314" s="1">
        <v>251</v>
      </c>
      <c r="H314" s="1">
        <v>311</v>
      </c>
      <c r="I314" s="1">
        <v>944</v>
      </c>
      <c r="J314" s="1">
        <v>76</v>
      </c>
      <c r="K314" s="1">
        <v>389</v>
      </c>
      <c r="L314" s="1">
        <v>166</v>
      </c>
      <c r="M314" s="1">
        <v>611</v>
      </c>
      <c r="N314" s="1">
        <v>815</v>
      </c>
      <c r="O314" s="1">
        <v>892</v>
      </c>
      <c r="P314" s="1">
        <v>430</v>
      </c>
      <c r="Q314" s="1">
        <v>674</v>
      </c>
      <c r="R314" s="1">
        <v>809</v>
      </c>
      <c r="S314" s="1">
        <f>SUM(ecommerce_sales_all_data[[#This Row],[sales_month_1]:[sales_month_12]])</f>
        <v>6368</v>
      </c>
      <c r="T314" s="3">
        <f t="shared" si="58"/>
        <v>4405.05</v>
      </c>
      <c r="U314" s="3">
        <f t="shared" si="59"/>
        <v>5458.05</v>
      </c>
      <c r="V314" s="3">
        <f t="shared" si="60"/>
        <v>16567.2</v>
      </c>
      <c r="W314" s="3">
        <f t="shared" si="61"/>
        <v>1333.8</v>
      </c>
      <c r="X314" s="3">
        <f t="shared" si="62"/>
        <v>6826.9500000000007</v>
      </c>
      <c r="Y314" s="3">
        <f t="shared" si="63"/>
        <v>2913.3</v>
      </c>
      <c r="Z314" s="3">
        <f t="shared" si="64"/>
        <v>10723.050000000001</v>
      </c>
      <c r="AA314" s="3">
        <f t="shared" si="65"/>
        <v>14303.25</v>
      </c>
      <c r="AB314" s="3">
        <f t="shared" si="66"/>
        <v>15654.6</v>
      </c>
      <c r="AC314" s="3">
        <f t="shared" si="67"/>
        <v>7546.5</v>
      </c>
      <c r="AD314" s="3">
        <f t="shared" si="68"/>
        <v>11828.7</v>
      </c>
      <c r="AE314" s="3">
        <f t="shared" si="69"/>
        <v>14197.95</v>
      </c>
      <c r="AF314" s="3">
        <f>SUM(ecommerce_sales_all_data[[#This Row],[revenue_month_1]:[revenue_month_12]])</f>
        <v>111758.40000000001</v>
      </c>
    </row>
    <row r="315" spans="1:32" x14ac:dyDescent="0.3">
      <c r="A315">
        <v>314</v>
      </c>
      <c r="B315" t="s">
        <v>338</v>
      </c>
      <c r="C315" t="s">
        <v>48</v>
      </c>
      <c r="D315" s="2">
        <v>481.51</v>
      </c>
      <c r="E315">
        <v>4.3</v>
      </c>
      <c r="F315">
        <v>662</v>
      </c>
      <c r="G315" s="1">
        <v>234</v>
      </c>
      <c r="H315" s="1">
        <v>745</v>
      </c>
      <c r="I315" s="1">
        <v>226</v>
      </c>
      <c r="J315" s="1">
        <v>923</v>
      </c>
      <c r="K315" s="1">
        <v>592</v>
      </c>
      <c r="L315" s="1">
        <v>863</v>
      </c>
      <c r="M315" s="1">
        <v>383</v>
      </c>
      <c r="N315" s="1">
        <v>172</v>
      </c>
      <c r="O315" s="1">
        <v>816</v>
      </c>
      <c r="P315" s="1">
        <v>889</v>
      </c>
      <c r="Q315" s="1">
        <v>684</v>
      </c>
      <c r="R315" s="1">
        <v>524</v>
      </c>
      <c r="S315" s="1">
        <f>SUM(ecommerce_sales_all_data[[#This Row],[sales_month_1]:[sales_month_12]])</f>
        <v>7051</v>
      </c>
      <c r="T315" s="3">
        <f t="shared" si="58"/>
        <v>112673.34</v>
      </c>
      <c r="U315" s="3">
        <f t="shared" si="59"/>
        <v>358724.95</v>
      </c>
      <c r="V315" s="3">
        <f t="shared" si="60"/>
        <v>108821.26</v>
      </c>
      <c r="W315" s="3">
        <f t="shared" si="61"/>
        <v>444433.73</v>
      </c>
      <c r="X315" s="3">
        <f t="shared" si="62"/>
        <v>285053.92</v>
      </c>
      <c r="Y315" s="3">
        <f t="shared" si="63"/>
        <v>415543.13</v>
      </c>
      <c r="Z315" s="3">
        <f t="shared" si="64"/>
        <v>184418.33</v>
      </c>
      <c r="AA315" s="3">
        <f t="shared" si="65"/>
        <v>82819.72</v>
      </c>
      <c r="AB315" s="3">
        <f t="shared" si="66"/>
        <v>392912.16</v>
      </c>
      <c r="AC315" s="3">
        <f t="shared" si="67"/>
        <v>428062.39</v>
      </c>
      <c r="AD315" s="3">
        <f t="shared" si="68"/>
        <v>329352.83999999997</v>
      </c>
      <c r="AE315" s="3">
        <f t="shared" si="69"/>
        <v>252311.24</v>
      </c>
      <c r="AF315" s="3">
        <f>SUM(ecommerce_sales_all_data[[#This Row],[revenue_month_1]:[revenue_month_12]])</f>
        <v>3395127.01</v>
      </c>
    </row>
    <row r="316" spans="1:32" x14ac:dyDescent="0.3">
      <c r="A316">
        <v>315</v>
      </c>
      <c r="B316" t="s">
        <v>339</v>
      </c>
      <c r="C316" t="s">
        <v>48</v>
      </c>
      <c r="D316" s="2">
        <v>418.81</v>
      </c>
      <c r="E316">
        <v>2.8</v>
      </c>
      <c r="F316">
        <v>273</v>
      </c>
      <c r="G316" s="1">
        <v>226</v>
      </c>
      <c r="H316" s="1">
        <v>534</v>
      </c>
      <c r="I316" s="1">
        <v>370</v>
      </c>
      <c r="J316" s="1">
        <v>136</v>
      </c>
      <c r="K316" s="1">
        <v>998</v>
      </c>
      <c r="L316" s="1">
        <v>729</v>
      </c>
      <c r="M316" s="1">
        <v>811</v>
      </c>
      <c r="N316" s="1">
        <v>233</v>
      </c>
      <c r="O316" s="1">
        <v>224</v>
      </c>
      <c r="P316" s="1">
        <v>324</v>
      </c>
      <c r="Q316" s="1">
        <v>140</v>
      </c>
      <c r="R316" s="1">
        <v>907</v>
      </c>
      <c r="S316" s="1">
        <f>SUM(ecommerce_sales_all_data[[#This Row],[sales_month_1]:[sales_month_12]])</f>
        <v>5632</v>
      </c>
      <c r="T316" s="3">
        <f t="shared" si="58"/>
        <v>94651.06</v>
      </c>
      <c r="U316" s="3">
        <f t="shared" si="59"/>
        <v>223644.54</v>
      </c>
      <c r="V316" s="3">
        <f t="shared" si="60"/>
        <v>154959.70000000001</v>
      </c>
      <c r="W316" s="3">
        <f t="shared" si="61"/>
        <v>56958.16</v>
      </c>
      <c r="X316" s="3">
        <f t="shared" si="62"/>
        <v>417972.38</v>
      </c>
      <c r="Y316" s="3">
        <f t="shared" si="63"/>
        <v>305312.49</v>
      </c>
      <c r="Z316" s="3">
        <f t="shared" si="64"/>
        <v>339654.91</v>
      </c>
      <c r="AA316" s="3">
        <f t="shared" si="65"/>
        <v>97582.73</v>
      </c>
      <c r="AB316" s="3">
        <f t="shared" si="66"/>
        <v>93813.440000000002</v>
      </c>
      <c r="AC316" s="3">
        <f t="shared" si="67"/>
        <v>135694.44</v>
      </c>
      <c r="AD316" s="3">
        <f t="shared" si="68"/>
        <v>58633.4</v>
      </c>
      <c r="AE316" s="3">
        <f t="shared" si="69"/>
        <v>379860.67</v>
      </c>
      <c r="AF316" s="3">
        <f>SUM(ecommerce_sales_all_data[[#This Row],[revenue_month_1]:[revenue_month_12]])</f>
        <v>2358737.9199999999</v>
      </c>
    </row>
    <row r="317" spans="1:32" x14ac:dyDescent="0.3">
      <c r="A317">
        <v>316</v>
      </c>
      <c r="B317" t="s">
        <v>340</v>
      </c>
      <c r="C317" t="s">
        <v>35</v>
      </c>
      <c r="D317" s="2">
        <v>349.51</v>
      </c>
      <c r="E317">
        <v>3.6</v>
      </c>
      <c r="F317">
        <v>837</v>
      </c>
      <c r="G317" s="1">
        <v>524</v>
      </c>
      <c r="H317" s="1">
        <v>664</v>
      </c>
      <c r="I317" s="1">
        <v>138</v>
      </c>
      <c r="J317" s="1">
        <v>19</v>
      </c>
      <c r="K317" s="1">
        <v>984</v>
      </c>
      <c r="L317" s="1">
        <v>784</v>
      </c>
      <c r="M317" s="1">
        <v>614</v>
      </c>
      <c r="N317" s="1">
        <v>792</v>
      </c>
      <c r="O317" s="1">
        <v>818</v>
      </c>
      <c r="P317" s="1">
        <v>441</v>
      </c>
      <c r="Q317" s="1">
        <v>137</v>
      </c>
      <c r="R317" s="1">
        <v>254</v>
      </c>
      <c r="S317" s="1">
        <f>SUM(ecommerce_sales_all_data[[#This Row],[sales_month_1]:[sales_month_12]])</f>
        <v>6169</v>
      </c>
      <c r="T317" s="3">
        <f t="shared" si="58"/>
        <v>183143.24</v>
      </c>
      <c r="U317" s="3">
        <f t="shared" si="59"/>
        <v>232074.63999999998</v>
      </c>
      <c r="V317" s="3">
        <f t="shared" si="60"/>
        <v>48232.38</v>
      </c>
      <c r="W317" s="3">
        <f t="shared" si="61"/>
        <v>6640.69</v>
      </c>
      <c r="X317" s="3">
        <f t="shared" si="62"/>
        <v>343917.83999999997</v>
      </c>
      <c r="Y317" s="3">
        <f t="shared" si="63"/>
        <v>274015.83999999997</v>
      </c>
      <c r="Z317" s="3">
        <f t="shared" si="64"/>
        <v>214599.13999999998</v>
      </c>
      <c r="AA317" s="3">
        <f t="shared" si="65"/>
        <v>276811.92</v>
      </c>
      <c r="AB317" s="3">
        <f t="shared" si="66"/>
        <v>285899.18</v>
      </c>
      <c r="AC317" s="3">
        <f t="shared" si="67"/>
        <v>154133.91</v>
      </c>
      <c r="AD317" s="3">
        <f t="shared" si="68"/>
        <v>47882.869999999995</v>
      </c>
      <c r="AE317" s="3">
        <f t="shared" si="69"/>
        <v>88775.54</v>
      </c>
      <c r="AF317" s="3">
        <f>SUM(ecommerce_sales_all_data[[#This Row],[revenue_month_1]:[revenue_month_12]])</f>
        <v>2156127.1899999995</v>
      </c>
    </row>
    <row r="318" spans="1:32" x14ac:dyDescent="0.3">
      <c r="A318">
        <v>317</v>
      </c>
      <c r="B318" t="s">
        <v>341</v>
      </c>
      <c r="C318" t="s">
        <v>48</v>
      </c>
      <c r="D318" s="2">
        <v>207.43</v>
      </c>
      <c r="E318">
        <v>3.1</v>
      </c>
      <c r="F318">
        <v>620</v>
      </c>
      <c r="G318" s="1">
        <v>312</v>
      </c>
      <c r="H318" s="1">
        <v>276</v>
      </c>
      <c r="I318" s="1">
        <v>855</v>
      </c>
      <c r="J318" s="1">
        <v>439</v>
      </c>
      <c r="K318" s="1">
        <v>324</v>
      </c>
      <c r="L318" s="1">
        <v>367</v>
      </c>
      <c r="M318" s="1">
        <v>558</v>
      </c>
      <c r="N318" s="1">
        <v>883</v>
      </c>
      <c r="O318" s="1">
        <v>699</v>
      </c>
      <c r="P318" s="1">
        <v>803</v>
      </c>
      <c r="Q318" s="1">
        <v>577</v>
      </c>
      <c r="R318" s="1">
        <v>84</v>
      </c>
      <c r="S318" s="1">
        <f>SUM(ecommerce_sales_all_data[[#This Row],[sales_month_1]:[sales_month_12]])</f>
        <v>6177</v>
      </c>
      <c r="T318" s="3">
        <f t="shared" si="58"/>
        <v>64718.16</v>
      </c>
      <c r="U318" s="3">
        <f t="shared" si="59"/>
        <v>57250.68</v>
      </c>
      <c r="V318" s="3">
        <f t="shared" si="60"/>
        <v>177352.65</v>
      </c>
      <c r="W318" s="3">
        <f t="shared" si="61"/>
        <v>91061.77</v>
      </c>
      <c r="X318" s="3">
        <f t="shared" si="62"/>
        <v>67207.320000000007</v>
      </c>
      <c r="Y318" s="3">
        <f t="shared" si="63"/>
        <v>76126.81</v>
      </c>
      <c r="Z318" s="3">
        <f t="shared" si="64"/>
        <v>115745.94</v>
      </c>
      <c r="AA318" s="3">
        <f t="shared" si="65"/>
        <v>183160.69</v>
      </c>
      <c r="AB318" s="3">
        <f t="shared" si="66"/>
        <v>144993.57</v>
      </c>
      <c r="AC318" s="3">
        <f t="shared" si="67"/>
        <v>166566.29</v>
      </c>
      <c r="AD318" s="3">
        <f t="shared" si="68"/>
        <v>119687.11</v>
      </c>
      <c r="AE318" s="3">
        <f t="shared" si="69"/>
        <v>17424.12</v>
      </c>
      <c r="AF318" s="3">
        <f>SUM(ecommerce_sales_all_data[[#This Row],[revenue_month_1]:[revenue_month_12]])</f>
        <v>1281295.1100000003</v>
      </c>
    </row>
    <row r="319" spans="1:32" x14ac:dyDescent="0.3">
      <c r="A319">
        <v>318</v>
      </c>
      <c r="B319" t="s">
        <v>342</v>
      </c>
      <c r="C319" t="s">
        <v>48</v>
      </c>
      <c r="D319" s="2">
        <v>90.78</v>
      </c>
      <c r="E319">
        <v>3.9</v>
      </c>
      <c r="F319">
        <v>651</v>
      </c>
      <c r="G319" s="1">
        <v>48</v>
      </c>
      <c r="H319" s="1">
        <v>60</v>
      </c>
      <c r="I319" s="1">
        <v>816</v>
      </c>
      <c r="J319" s="1">
        <v>210</v>
      </c>
      <c r="K319" s="1">
        <v>68</v>
      </c>
      <c r="L319" s="1">
        <v>250</v>
      </c>
      <c r="M319" s="1">
        <v>38</v>
      </c>
      <c r="N319" s="1">
        <v>589</v>
      </c>
      <c r="O319" s="1">
        <v>581</v>
      </c>
      <c r="P319" s="1">
        <v>287</v>
      </c>
      <c r="Q319" s="1">
        <v>709</v>
      </c>
      <c r="R319" s="1">
        <v>457</v>
      </c>
      <c r="S319" s="1">
        <f>SUM(ecommerce_sales_all_data[[#This Row],[sales_month_1]:[sales_month_12]])</f>
        <v>4113</v>
      </c>
      <c r="T319" s="3">
        <f t="shared" si="58"/>
        <v>4357.4400000000005</v>
      </c>
      <c r="U319" s="3">
        <f t="shared" si="59"/>
        <v>5446.8</v>
      </c>
      <c r="V319" s="3">
        <f t="shared" si="60"/>
        <v>74076.479999999996</v>
      </c>
      <c r="W319" s="3">
        <f t="shared" si="61"/>
        <v>19063.8</v>
      </c>
      <c r="X319" s="3">
        <f t="shared" si="62"/>
        <v>6173.04</v>
      </c>
      <c r="Y319" s="3">
        <f t="shared" si="63"/>
        <v>22695</v>
      </c>
      <c r="Z319" s="3">
        <f t="shared" si="64"/>
        <v>3449.64</v>
      </c>
      <c r="AA319" s="3">
        <f t="shared" si="65"/>
        <v>53469.42</v>
      </c>
      <c r="AB319" s="3">
        <f t="shared" si="66"/>
        <v>52743.18</v>
      </c>
      <c r="AC319" s="3">
        <f t="shared" si="67"/>
        <v>26053.86</v>
      </c>
      <c r="AD319" s="3">
        <f t="shared" si="68"/>
        <v>64363.020000000004</v>
      </c>
      <c r="AE319" s="3">
        <f t="shared" si="69"/>
        <v>41486.46</v>
      </c>
      <c r="AF319" s="3">
        <f>SUM(ecommerce_sales_all_data[[#This Row],[revenue_month_1]:[revenue_month_12]])</f>
        <v>373378.14</v>
      </c>
    </row>
    <row r="320" spans="1:32" x14ac:dyDescent="0.3">
      <c r="A320">
        <v>319</v>
      </c>
      <c r="B320" t="s">
        <v>343</v>
      </c>
      <c r="C320" t="s">
        <v>19</v>
      </c>
      <c r="D320" s="2">
        <v>82.44</v>
      </c>
      <c r="E320">
        <v>1.3</v>
      </c>
      <c r="F320">
        <v>862</v>
      </c>
      <c r="G320" s="1">
        <v>117</v>
      </c>
      <c r="H320" s="1">
        <v>318</v>
      </c>
      <c r="I320" s="1">
        <v>148</v>
      </c>
      <c r="J320" s="1">
        <v>751</v>
      </c>
      <c r="K320" s="1">
        <v>659</v>
      </c>
      <c r="L320" s="1">
        <v>858</v>
      </c>
      <c r="M320" s="1">
        <v>284</v>
      </c>
      <c r="N320" s="1">
        <v>619</v>
      </c>
      <c r="O320" s="1">
        <v>804</v>
      </c>
      <c r="P320" s="1">
        <v>225</v>
      </c>
      <c r="Q320" s="1">
        <v>839</v>
      </c>
      <c r="R320" s="1">
        <v>531</v>
      </c>
      <c r="S320" s="1">
        <f>SUM(ecommerce_sales_all_data[[#This Row],[sales_month_1]:[sales_month_12]])</f>
        <v>6153</v>
      </c>
      <c r="T320" s="3">
        <f t="shared" si="58"/>
        <v>9645.48</v>
      </c>
      <c r="U320" s="3">
        <f t="shared" si="59"/>
        <v>26215.919999999998</v>
      </c>
      <c r="V320" s="3">
        <f t="shared" si="60"/>
        <v>12201.119999999999</v>
      </c>
      <c r="W320" s="3">
        <f t="shared" si="61"/>
        <v>61912.439999999995</v>
      </c>
      <c r="X320" s="3">
        <f t="shared" si="62"/>
        <v>54327.96</v>
      </c>
      <c r="Y320" s="3">
        <f t="shared" si="63"/>
        <v>70733.52</v>
      </c>
      <c r="Z320" s="3">
        <f t="shared" si="64"/>
        <v>23412.959999999999</v>
      </c>
      <c r="AA320" s="3">
        <f t="shared" si="65"/>
        <v>51030.36</v>
      </c>
      <c r="AB320" s="3">
        <f t="shared" si="66"/>
        <v>66281.759999999995</v>
      </c>
      <c r="AC320" s="3">
        <f t="shared" si="67"/>
        <v>18549</v>
      </c>
      <c r="AD320" s="3">
        <f t="shared" si="68"/>
        <v>69167.16</v>
      </c>
      <c r="AE320" s="3">
        <f t="shared" si="69"/>
        <v>43775.64</v>
      </c>
      <c r="AF320" s="3">
        <f>SUM(ecommerce_sales_all_data[[#This Row],[revenue_month_1]:[revenue_month_12]])</f>
        <v>507253.32000000007</v>
      </c>
    </row>
    <row r="321" spans="1:32" x14ac:dyDescent="0.3">
      <c r="A321">
        <v>320</v>
      </c>
      <c r="B321" t="s">
        <v>344</v>
      </c>
      <c r="C321" t="s">
        <v>21</v>
      </c>
      <c r="D321" s="2">
        <v>128.87</v>
      </c>
      <c r="E321">
        <v>1.2</v>
      </c>
      <c r="F321">
        <v>783</v>
      </c>
      <c r="G321" s="1">
        <v>53</v>
      </c>
      <c r="H321" s="1">
        <v>889</v>
      </c>
      <c r="I321" s="1">
        <v>114</v>
      </c>
      <c r="J321" s="1">
        <v>550</v>
      </c>
      <c r="K321" s="1">
        <v>447</v>
      </c>
      <c r="L321" s="1">
        <v>855</v>
      </c>
      <c r="M321" s="1">
        <v>821</v>
      </c>
      <c r="N321" s="1">
        <v>792</v>
      </c>
      <c r="O321" s="1">
        <v>286</v>
      </c>
      <c r="P321" s="1">
        <v>63</v>
      </c>
      <c r="Q321" s="1">
        <v>227</v>
      </c>
      <c r="R321" s="1">
        <v>561</v>
      </c>
      <c r="S321" s="1">
        <f>SUM(ecommerce_sales_all_data[[#This Row],[sales_month_1]:[sales_month_12]])</f>
        <v>5658</v>
      </c>
      <c r="T321" s="3">
        <f t="shared" si="58"/>
        <v>6830.1100000000006</v>
      </c>
      <c r="U321" s="3">
        <f t="shared" si="59"/>
        <v>114565.43000000001</v>
      </c>
      <c r="V321" s="3">
        <f t="shared" si="60"/>
        <v>14691.18</v>
      </c>
      <c r="W321" s="3">
        <f t="shared" si="61"/>
        <v>70878.5</v>
      </c>
      <c r="X321" s="3">
        <f t="shared" si="62"/>
        <v>57604.89</v>
      </c>
      <c r="Y321" s="3">
        <f t="shared" si="63"/>
        <v>110183.85</v>
      </c>
      <c r="Z321" s="3">
        <f t="shared" si="64"/>
        <v>105802.27</v>
      </c>
      <c r="AA321" s="3">
        <f t="shared" si="65"/>
        <v>102065.04000000001</v>
      </c>
      <c r="AB321" s="3">
        <f t="shared" si="66"/>
        <v>36856.82</v>
      </c>
      <c r="AC321" s="3">
        <f t="shared" si="67"/>
        <v>8118.81</v>
      </c>
      <c r="AD321" s="3">
        <f t="shared" si="68"/>
        <v>29253.49</v>
      </c>
      <c r="AE321" s="3">
        <f t="shared" si="69"/>
        <v>72296.070000000007</v>
      </c>
      <c r="AF321" s="3">
        <f>SUM(ecommerce_sales_all_data[[#This Row],[revenue_month_1]:[revenue_month_12]])</f>
        <v>729146.46</v>
      </c>
    </row>
    <row r="322" spans="1:32" x14ac:dyDescent="0.3">
      <c r="A322">
        <v>321</v>
      </c>
      <c r="B322" t="s">
        <v>345</v>
      </c>
      <c r="C322" t="s">
        <v>23</v>
      </c>
      <c r="D322" s="2">
        <v>276.87</v>
      </c>
      <c r="E322">
        <v>2</v>
      </c>
      <c r="F322">
        <v>859</v>
      </c>
      <c r="G322" s="1">
        <v>649</v>
      </c>
      <c r="H322" s="1">
        <v>51</v>
      </c>
      <c r="I322" s="1">
        <v>449</v>
      </c>
      <c r="J322" s="1">
        <v>434</v>
      </c>
      <c r="K322" s="1">
        <v>527</v>
      </c>
      <c r="L322" s="1">
        <v>930</v>
      </c>
      <c r="M322" s="1">
        <v>601</v>
      </c>
      <c r="N322" s="1">
        <v>402</v>
      </c>
      <c r="O322" s="1">
        <v>993</v>
      </c>
      <c r="P322" s="1">
        <v>966</v>
      </c>
      <c r="Q322" s="1">
        <v>280</v>
      </c>
      <c r="R322" s="1">
        <v>675</v>
      </c>
      <c r="S322" s="1">
        <f>SUM(ecommerce_sales_all_data[[#This Row],[sales_month_1]:[sales_month_12]])</f>
        <v>6957</v>
      </c>
      <c r="T322" s="3">
        <f t="shared" ref="T322:T385" si="70">G322*$D322</f>
        <v>179688.63</v>
      </c>
      <c r="U322" s="3">
        <f t="shared" ref="U322:U385" si="71">H322*$D322</f>
        <v>14120.37</v>
      </c>
      <c r="V322" s="3">
        <f t="shared" si="60"/>
        <v>124314.63</v>
      </c>
      <c r="W322" s="3">
        <f t="shared" si="61"/>
        <v>120161.58</v>
      </c>
      <c r="X322" s="3">
        <f t="shared" si="62"/>
        <v>145910.49</v>
      </c>
      <c r="Y322" s="3">
        <f t="shared" si="63"/>
        <v>257489.1</v>
      </c>
      <c r="Z322" s="3">
        <f t="shared" si="64"/>
        <v>166398.87</v>
      </c>
      <c r="AA322" s="3">
        <f t="shared" si="65"/>
        <v>111301.74</v>
      </c>
      <c r="AB322" s="3">
        <f t="shared" si="66"/>
        <v>274931.91000000003</v>
      </c>
      <c r="AC322" s="3">
        <f t="shared" si="67"/>
        <v>267456.42</v>
      </c>
      <c r="AD322" s="3">
        <f t="shared" si="68"/>
        <v>77523.600000000006</v>
      </c>
      <c r="AE322" s="3">
        <f t="shared" si="69"/>
        <v>186887.25</v>
      </c>
      <c r="AF322" s="3">
        <f>SUM(ecommerce_sales_all_data[[#This Row],[revenue_month_1]:[revenue_month_12]])</f>
        <v>1926184.5899999999</v>
      </c>
    </row>
    <row r="323" spans="1:32" x14ac:dyDescent="0.3">
      <c r="A323">
        <v>322</v>
      </c>
      <c r="B323" t="s">
        <v>346</v>
      </c>
      <c r="C323" t="s">
        <v>23</v>
      </c>
      <c r="D323" s="2">
        <v>358.72</v>
      </c>
      <c r="E323">
        <v>1.6</v>
      </c>
      <c r="F323">
        <v>931</v>
      </c>
      <c r="G323" s="1">
        <v>564</v>
      </c>
      <c r="H323" s="1">
        <v>855</v>
      </c>
      <c r="I323" s="1">
        <v>62</v>
      </c>
      <c r="J323" s="1">
        <v>779</v>
      </c>
      <c r="K323" s="1">
        <v>818</v>
      </c>
      <c r="L323" s="1">
        <v>685</v>
      </c>
      <c r="M323" s="1">
        <v>596</v>
      </c>
      <c r="N323" s="1">
        <v>38</v>
      </c>
      <c r="O323" s="1">
        <v>168</v>
      </c>
      <c r="P323" s="1">
        <v>937</v>
      </c>
      <c r="Q323" s="1">
        <v>683</v>
      </c>
      <c r="R323" s="1">
        <v>91</v>
      </c>
      <c r="S323" s="1">
        <f>SUM(ecommerce_sales_all_data[[#This Row],[sales_month_1]:[sales_month_12]])</f>
        <v>6276</v>
      </c>
      <c r="T323" s="3">
        <f t="shared" si="70"/>
        <v>202318.08000000002</v>
      </c>
      <c r="U323" s="3">
        <f t="shared" si="71"/>
        <v>306705.60000000003</v>
      </c>
      <c r="V323" s="3">
        <f t="shared" ref="V323:V386" si="72">I323*$D323</f>
        <v>22240.640000000003</v>
      </c>
      <c r="W323" s="3">
        <f t="shared" ref="W323:W386" si="73">J323*$D323</f>
        <v>279442.88</v>
      </c>
      <c r="X323" s="3">
        <f t="shared" ref="X323:X386" si="74">K323*$D323</f>
        <v>293432.96000000002</v>
      </c>
      <c r="Y323" s="3">
        <f t="shared" ref="Y323:Y386" si="75">L323*$D323</f>
        <v>245723.2</v>
      </c>
      <c r="Z323" s="3">
        <f t="shared" ref="Z323:Z386" si="76">M323*$D323</f>
        <v>213797.12000000002</v>
      </c>
      <c r="AA323" s="3">
        <f t="shared" ref="AA323:AA386" si="77">N323*$D323</f>
        <v>13631.36</v>
      </c>
      <c r="AB323" s="3">
        <f t="shared" ref="AB323:AB386" si="78">O323*$D323</f>
        <v>60264.960000000006</v>
      </c>
      <c r="AC323" s="3">
        <f t="shared" ref="AC323:AC386" si="79">P323*$D323</f>
        <v>336120.64</v>
      </c>
      <c r="AD323" s="3">
        <f t="shared" ref="AD323:AD386" si="80">Q323*$D323</f>
        <v>245005.76</v>
      </c>
      <c r="AE323" s="3">
        <f t="shared" ref="AE323:AE386" si="81">R323*$D323</f>
        <v>32643.520000000004</v>
      </c>
      <c r="AF323" s="3">
        <f>SUM(ecommerce_sales_all_data[[#This Row],[revenue_month_1]:[revenue_month_12]])</f>
        <v>2251326.7200000002</v>
      </c>
    </row>
    <row r="324" spans="1:32" x14ac:dyDescent="0.3">
      <c r="A324">
        <v>323</v>
      </c>
      <c r="B324" t="s">
        <v>347</v>
      </c>
      <c r="C324" t="s">
        <v>48</v>
      </c>
      <c r="D324" s="2">
        <v>331.8</v>
      </c>
      <c r="E324">
        <v>4.5</v>
      </c>
      <c r="F324">
        <v>289</v>
      </c>
      <c r="G324" s="1">
        <v>43</v>
      </c>
      <c r="H324" s="1">
        <v>152</v>
      </c>
      <c r="I324" s="1">
        <v>103</v>
      </c>
      <c r="J324" s="1">
        <v>206</v>
      </c>
      <c r="K324" s="1">
        <v>616</v>
      </c>
      <c r="L324" s="1">
        <v>169</v>
      </c>
      <c r="M324" s="1">
        <v>784</v>
      </c>
      <c r="N324" s="1">
        <v>118</v>
      </c>
      <c r="O324" s="1">
        <v>61</v>
      </c>
      <c r="P324" s="1">
        <v>559</v>
      </c>
      <c r="Q324" s="1">
        <v>827</v>
      </c>
      <c r="R324" s="1">
        <v>599</v>
      </c>
      <c r="S324" s="1">
        <f>SUM(ecommerce_sales_all_data[[#This Row],[sales_month_1]:[sales_month_12]])</f>
        <v>4237</v>
      </c>
      <c r="T324" s="3">
        <f t="shared" si="70"/>
        <v>14267.4</v>
      </c>
      <c r="U324" s="3">
        <f t="shared" si="71"/>
        <v>50433.599999999999</v>
      </c>
      <c r="V324" s="3">
        <f t="shared" si="72"/>
        <v>34175.4</v>
      </c>
      <c r="W324" s="3">
        <f t="shared" si="73"/>
        <v>68350.8</v>
      </c>
      <c r="X324" s="3">
        <f t="shared" si="74"/>
        <v>204388.80000000002</v>
      </c>
      <c r="Y324" s="3">
        <f t="shared" si="75"/>
        <v>56074.200000000004</v>
      </c>
      <c r="Z324" s="3">
        <f t="shared" si="76"/>
        <v>260131.20000000001</v>
      </c>
      <c r="AA324" s="3">
        <f t="shared" si="77"/>
        <v>39152.400000000001</v>
      </c>
      <c r="AB324" s="3">
        <f t="shared" si="78"/>
        <v>20239.8</v>
      </c>
      <c r="AC324" s="3">
        <f t="shared" si="79"/>
        <v>185476.2</v>
      </c>
      <c r="AD324" s="3">
        <f t="shared" si="80"/>
        <v>274398.60000000003</v>
      </c>
      <c r="AE324" s="3">
        <f t="shared" si="81"/>
        <v>198748.2</v>
      </c>
      <c r="AF324" s="3">
        <f>SUM(ecommerce_sales_all_data[[#This Row],[revenue_month_1]:[revenue_month_12]])</f>
        <v>1405836.6</v>
      </c>
    </row>
    <row r="325" spans="1:32" x14ac:dyDescent="0.3">
      <c r="A325">
        <v>324</v>
      </c>
      <c r="B325" t="s">
        <v>348</v>
      </c>
      <c r="C325" t="s">
        <v>29</v>
      </c>
      <c r="D325" s="2">
        <v>143.57</v>
      </c>
      <c r="E325">
        <v>1.9</v>
      </c>
      <c r="F325">
        <v>724</v>
      </c>
      <c r="G325" s="1">
        <v>814</v>
      </c>
      <c r="H325" s="1">
        <v>748</v>
      </c>
      <c r="I325" s="1">
        <v>850</v>
      </c>
      <c r="J325" s="1">
        <v>990</v>
      </c>
      <c r="K325" s="1">
        <v>164</v>
      </c>
      <c r="L325" s="1">
        <v>757</v>
      </c>
      <c r="M325" s="1">
        <v>335</v>
      </c>
      <c r="N325" s="1">
        <v>334</v>
      </c>
      <c r="O325" s="1">
        <v>348</v>
      </c>
      <c r="P325" s="1">
        <v>713</v>
      </c>
      <c r="Q325" s="1">
        <v>430</v>
      </c>
      <c r="R325" s="1">
        <v>68</v>
      </c>
      <c r="S325" s="1">
        <f>SUM(ecommerce_sales_all_data[[#This Row],[sales_month_1]:[sales_month_12]])</f>
        <v>6551</v>
      </c>
      <c r="T325" s="3">
        <f t="shared" si="70"/>
        <v>116865.98</v>
      </c>
      <c r="U325" s="3">
        <f t="shared" si="71"/>
        <v>107390.36</v>
      </c>
      <c r="V325" s="3">
        <f t="shared" si="72"/>
        <v>122034.5</v>
      </c>
      <c r="W325" s="3">
        <f t="shared" si="73"/>
        <v>142134.29999999999</v>
      </c>
      <c r="X325" s="3">
        <f t="shared" si="74"/>
        <v>23545.48</v>
      </c>
      <c r="Y325" s="3">
        <f t="shared" si="75"/>
        <v>108682.48999999999</v>
      </c>
      <c r="Z325" s="3">
        <f t="shared" si="76"/>
        <v>48095.95</v>
      </c>
      <c r="AA325" s="3">
        <f t="shared" si="77"/>
        <v>47952.38</v>
      </c>
      <c r="AB325" s="3">
        <f t="shared" si="78"/>
        <v>49962.36</v>
      </c>
      <c r="AC325" s="3">
        <f t="shared" si="79"/>
        <v>102365.40999999999</v>
      </c>
      <c r="AD325" s="3">
        <f t="shared" si="80"/>
        <v>61735.1</v>
      </c>
      <c r="AE325" s="3">
        <f t="shared" si="81"/>
        <v>9762.76</v>
      </c>
      <c r="AF325" s="3">
        <f>SUM(ecommerce_sales_all_data[[#This Row],[revenue_month_1]:[revenue_month_12]])</f>
        <v>940527.06999999983</v>
      </c>
    </row>
    <row r="326" spans="1:32" x14ac:dyDescent="0.3">
      <c r="A326">
        <v>325</v>
      </c>
      <c r="B326" t="s">
        <v>349</v>
      </c>
      <c r="C326" t="s">
        <v>23</v>
      </c>
      <c r="D326" s="2">
        <v>477.66</v>
      </c>
      <c r="E326">
        <v>4.9000000000000004</v>
      </c>
      <c r="F326">
        <v>893</v>
      </c>
      <c r="G326" s="1">
        <v>52</v>
      </c>
      <c r="H326" s="1">
        <v>310</v>
      </c>
      <c r="I326" s="1">
        <v>870</v>
      </c>
      <c r="J326" s="1">
        <v>438</v>
      </c>
      <c r="K326" s="1">
        <v>487</v>
      </c>
      <c r="L326" s="1">
        <v>934</v>
      </c>
      <c r="M326" s="1">
        <v>187</v>
      </c>
      <c r="N326" s="1">
        <v>335</v>
      </c>
      <c r="O326" s="1">
        <v>441</v>
      </c>
      <c r="P326" s="1">
        <v>497</v>
      </c>
      <c r="Q326" s="1">
        <v>39</v>
      </c>
      <c r="R326" s="1">
        <v>36</v>
      </c>
      <c r="S326" s="1">
        <f>SUM(ecommerce_sales_all_data[[#This Row],[sales_month_1]:[sales_month_12]])</f>
        <v>4626</v>
      </c>
      <c r="T326" s="3">
        <f t="shared" si="70"/>
        <v>24838.32</v>
      </c>
      <c r="U326" s="3">
        <f t="shared" si="71"/>
        <v>148074.6</v>
      </c>
      <c r="V326" s="3">
        <f t="shared" si="72"/>
        <v>415564.2</v>
      </c>
      <c r="W326" s="3">
        <f t="shared" si="73"/>
        <v>209215.08000000002</v>
      </c>
      <c r="X326" s="3">
        <f t="shared" si="74"/>
        <v>232620.42</v>
      </c>
      <c r="Y326" s="3">
        <f t="shared" si="75"/>
        <v>446134.44</v>
      </c>
      <c r="Z326" s="3">
        <f t="shared" si="76"/>
        <v>89322.42</v>
      </c>
      <c r="AA326" s="3">
        <f t="shared" si="77"/>
        <v>160016.1</v>
      </c>
      <c r="AB326" s="3">
        <f t="shared" si="78"/>
        <v>210648.06</v>
      </c>
      <c r="AC326" s="3">
        <f t="shared" si="79"/>
        <v>237397.02000000002</v>
      </c>
      <c r="AD326" s="3">
        <f t="shared" si="80"/>
        <v>18628.740000000002</v>
      </c>
      <c r="AE326" s="3">
        <f t="shared" si="81"/>
        <v>17195.760000000002</v>
      </c>
      <c r="AF326" s="3">
        <f>SUM(ecommerce_sales_all_data[[#This Row],[revenue_month_1]:[revenue_month_12]])</f>
        <v>2209655.16</v>
      </c>
    </row>
    <row r="327" spans="1:32" x14ac:dyDescent="0.3">
      <c r="A327">
        <v>326</v>
      </c>
      <c r="B327" t="s">
        <v>350</v>
      </c>
      <c r="C327" t="s">
        <v>21</v>
      </c>
      <c r="D327" s="2">
        <v>370.26</v>
      </c>
      <c r="E327">
        <v>2.2999999999999998</v>
      </c>
      <c r="F327">
        <v>272</v>
      </c>
      <c r="G327" s="1">
        <v>585</v>
      </c>
      <c r="H327" s="1">
        <v>813</v>
      </c>
      <c r="I327" s="1">
        <v>667</v>
      </c>
      <c r="J327" s="1">
        <v>973</v>
      </c>
      <c r="K327" s="1">
        <v>712</v>
      </c>
      <c r="L327" s="1">
        <v>89</v>
      </c>
      <c r="M327" s="1">
        <v>670</v>
      </c>
      <c r="N327" s="1">
        <v>538</v>
      </c>
      <c r="O327" s="1">
        <v>13</v>
      </c>
      <c r="P327" s="1">
        <v>848</v>
      </c>
      <c r="Q327" s="1">
        <v>518</v>
      </c>
      <c r="R327" s="1">
        <v>764</v>
      </c>
      <c r="S327" s="1">
        <f>SUM(ecommerce_sales_all_data[[#This Row],[sales_month_1]:[sales_month_12]])</f>
        <v>7190</v>
      </c>
      <c r="T327" s="3">
        <f t="shared" si="70"/>
        <v>216602.1</v>
      </c>
      <c r="U327" s="3">
        <f t="shared" si="71"/>
        <v>301021.38</v>
      </c>
      <c r="V327" s="3">
        <f t="shared" si="72"/>
        <v>246963.41999999998</v>
      </c>
      <c r="W327" s="3">
        <f t="shared" si="73"/>
        <v>360262.98</v>
      </c>
      <c r="X327" s="3">
        <f t="shared" si="74"/>
        <v>263625.12</v>
      </c>
      <c r="Y327" s="3">
        <f t="shared" si="75"/>
        <v>32953.14</v>
      </c>
      <c r="Z327" s="3">
        <f t="shared" si="76"/>
        <v>248074.19999999998</v>
      </c>
      <c r="AA327" s="3">
        <f t="shared" si="77"/>
        <v>199199.88</v>
      </c>
      <c r="AB327" s="3">
        <f t="shared" si="78"/>
        <v>4813.38</v>
      </c>
      <c r="AC327" s="3">
        <f t="shared" si="79"/>
        <v>313980.48</v>
      </c>
      <c r="AD327" s="3">
        <f t="shared" si="80"/>
        <v>191794.68</v>
      </c>
      <c r="AE327" s="3">
        <f t="shared" si="81"/>
        <v>282878.64</v>
      </c>
      <c r="AF327" s="3">
        <f>SUM(ecommerce_sales_all_data[[#This Row],[revenue_month_1]:[revenue_month_12]])</f>
        <v>2662169.4</v>
      </c>
    </row>
    <row r="328" spans="1:32" x14ac:dyDescent="0.3">
      <c r="A328">
        <v>327</v>
      </c>
      <c r="B328" t="s">
        <v>351</v>
      </c>
      <c r="C328" t="s">
        <v>26</v>
      </c>
      <c r="D328" s="2">
        <v>279.41000000000003</v>
      </c>
      <c r="E328">
        <v>1.7</v>
      </c>
      <c r="F328">
        <v>930</v>
      </c>
      <c r="G328" s="1">
        <v>557</v>
      </c>
      <c r="H328" s="1">
        <v>543</v>
      </c>
      <c r="I328" s="1">
        <v>272</v>
      </c>
      <c r="J328" s="1">
        <v>778</v>
      </c>
      <c r="K328" s="1">
        <v>708</v>
      </c>
      <c r="L328" s="1">
        <v>560</v>
      </c>
      <c r="M328" s="1">
        <v>242</v>
      </c>
      <c r="N328" s="1">
        <v>615</v>
      </c>
      <c r="O328" s="1">
        <v>163</v>
      </c>
      <c r="P328" s="1">
        <v>925</v>
      </c>
      <c r="Q328" s="1">
        <v>685</v>
      </c>
      <c r="R328" s="1">
        <v>763</v>
      </c>
      <c r="S328" s="1">
        <f>SUM(ecommerce_sales_all_data[[#This Row],[sales_month_1]:[sales_month_12]])</f>
        <v>6811</v>
      </c>
      <c r="T328" s="3">
        <f t="shared" si="70"/>
        <v>155631.37000000002</v>
      </c>
      <c r="U328" s="3">
        <f t="shared" si="71"/>
        <v>151719.63</v>
      </c>
      <c r="V328" s="3">
        <f t="shared" si="72"/>
        <v>75999.520000000004</v>
      </c>
      <c r="W328" s="3">
        <f t="shared" si="73"/>
        <v>217380.98</v>
      </c>
      <c r="X328" s="3">
        <f t="shared" si="74"/>
        <v>197822.28000000003</v>
      </c>
      <c r="Y328" s="3">
        <f t="shared" si="75"/>
        <v>156469.6</v>
      </c>
      <c r="Z328" s="3">
        <f t="shared" si="76"/>
        <v>67617.22</v>
      </c>
      <c r="AA328" s="3">
        <f t="shared" si="77"/>
        <v>171837.15000000002</v>
      </c>
      <c r="AB328" s="3">
        <f t="shared" si="78"/>
        <v>45543.83</v>
      </c>
      <c r="AC328" s="3">
        <f t="shared" si="79"/>
        <v>258454.25000000003</v>
      </c>
      <c r="AD328" s="3">
        <f t="shared" si="80"/>
        <v>191395.85</v>
      </c>
      <c r="AE328" s="3">
        <f t="shared" si="81"/>
        <v>213189.83000000002</v>
      </c>
      <c r="AF328" s="3">
        <f>SUM(ecommerce_sales_all_data[[#This Row],[revenue_month_1]:[revenue_month_12]])</f>
        <v>1903061.5100000002</v>
      </c>
    </row>
    <row r="329" spans="1:32" x14ac:dyDescent="0.3">
      <c r="A329">
        <v>328</v>
      </c>
      <c r="B329" t="s">
        <v>352</v>
      </c>
      <c r="C329" t="s">
        <v>21</v>
      </c>
      <c r="D329" s="2">
        <v>307.8</v>
      </c>
      <c r="E329">
        <v>4.2</v>
      </c>
      <c r="F329">
        <v>66</v>
      </c>
      <c r="G329" s="1">
        <v>524</v>
      </c>
      <c r="H329" s="1">
        <v>566</v>
      </c>
      <c r="I329" s="1">
        <v>5</v>
      </c>
      <c r="J329" s="1">
        <v>665</v>
      </c>
      <c r="K329" s="1">
        <v>425</v>
      </c>
      <c r="L329" s="1">
        <v>445</v>
      </c>
      <c r="M329" s="1">
        <v>72</v>
      </c>
      <c r="N329" s="1">
        <v>73</v>
      </c>
      <c r="O329" s="1">
        <v>419</v>
      </c>
      <c r="P329" s="1">
        <v>916</v>
      </c>
      <c r="Q329" s="1">
        <v>662</v>
      </c>
      <c r="R329" s="1">
        <v>139</v>
      </c>
      <c r="S329" s="1">
        <f>SUM(ecommerce_sales_all_data[[#This Row],[sales_month_1]:[sales_month_12]])</f>
        <v>4911</v>
      </c>
      <c r="T329" s="3">
        <f t="shared" si="70"/>
        <v>161287.20000000001</v>
      </c>
      <c r="U329" s="3">
        <f t="shared" si="71"/>
        <v>174214.80000000002</v>
      </c>
      <c r="V329" s="3">
        <f t="shared" si="72"/>
        <v>1539</v>
      </c>
      <c r="W329" s="3">
        <f t="shared" si="73"/>
        <v>204687</v>
      </c>
      <c r="X329" s="3">
        <f t="shared" si="74"/>
        <v>130815</v>
      </c>
      <c r="Y329" s="3">
        <f t="shared" si="75"/>
        <v>136971</v>
      </c>
      <c r="Z329" s="3">
        <f t="shared" si="76"/>
        <v>22161.600000000002</v>
      </c>
      <c r="AA329" s="3">
        <f t="shared" si="77"/>
        <v>22469.4</v>
      </c>
      <c r="AB329" s="3">
        <f t="shared" si="78"/>
        <v>128968.20000000001</v>
      </c>
      <c r="AC329" s="3">
        <f t="shared" si="79"/>
        <v>281944.8</v>
      </c>
      <c r="AD329" s="3">
        <f t="shared" si="80"/>
        <v>203763.6</v>
      </c>
      <c r="AE329" s="3">
        <f t="shared" si="81"/>
        <v>42784.200000000004</v>
      </c>
      <c r="AF329" s="3">
        <f>SUM(ecommerce_sales_all_data[[#This Row],[revenue_month_1]:[revenue_month_12]])</f>
        <v>1511605.8</v>
      </c>
    </row>
    <row r="330" spans="1:32" x14ac:dyDescent="0.3">
      <c r="A330">
        <v>329</v>
      </c>
      <c r="B330" t="s">
        <v>353</v>
      </c>
      <c r="C330" t="s">
        <v>48</v>
      </c>
      <c r="D330" s="2">
        <v>212.7</v>
      </c>
      <c r="E330">
        <v>3.6</v>
      </c>
      <c r="F330">
        <v>483</v>
      </c>
      <c r="G330" s="1">
        <v>676</v>
      </c>
      <c r="H330" s="1">
        <v>863</v>
      </c>
      <c r="I330" s="1">
        <v>146</v>
      </c>
      <c r="J330" s="1">
        <v>41</v>
      </c>
      <c r="K330" s="1">
        <v>696</v>
      </c>
      <c r="L330" s="1">
        <v>293</v>
      </c>
      <c r="M330" s="1">
        <v>478</v>
      </c>
      <c r="N330" s="1">
        <v>190</v>
      </c>
      <c r="O330" s="1">
        <v>756</v>
      </c>
      <c r="P330" s="1">
        <v>59</v>
      </c>
      <c r="Q330" s="1">
        <v>210</v>
      </c>
      <c r="R330" s="1">
        <v>866</v>
      </c>
      <c r="S330" s="1">
        <f>SUM(ecommerce_sales_all_data[[#This Row],[sales_month_1]:[sales_month_12]])</f>
        <v>5274</v>
      </c>
      <c r="T330" s="3">
        <f t="shared" si="70"/>
        <v>143785.19999999998</v>
      </c>
      <c r="U330" s="3">
        <f t="shared" si="71"/>
        <v>183560.09999999998</v>
      </c>
      <c r="V330" s="3">
        <f t="shared" si="72"/>
        <v>31054.199999999997</v>
      </c>
      <c r="W330" s="3">
        <f t="shared" si="73"/>
        <v>8720.6999999999989</v>
      </c>
      <c r="X330" s="3">
        <f t="shared" si="74"/>
        <v>148039.19999999998</v>
      </c>
      <c r="Y330" s="3">
        <f t="shared" si="75"/>
        <v>62321.1</v>
      </c>
      <c r="Z330" s="3">
        <f t="shared" si="76"/>
        <v>101670.59999999999</v>
      </c>
      <c r="AA330" s="3">
        <f t="shared" si="77"/>
        <v>40413</v>
      </c>
      <c r="AB330" s="3">
        <f t="shared" si="78"/>
        <v>160801.19999999998</v>
      </c>
      <c r="AC330" s="3">
        <f t="shared" si="79"/>
        <v>12549.3</v>
      </c>
      <c r="AD330" s="3">
        <f t="shared" si="80"/>
        <v>44667</v>
      </c>
      <c r="AE330" s="3">
        <f t="shared" si="81"/>
        <v>184198.19999999998</v>
      </c>
      <c r="AF330" s="3">
        <f>SUM(ecommerce_sales_all_data[[#This Row],[revenue_month_1]:[revenue_month_12]])</f>
        <v>1121779.7999999998</v>
      </c>
    </row>
    <row r="331" spans="1:32" x14ac:dyDescent="0.3">
      <c r="A331">
        <v>330</v>
      </c>
      <c r="B331" t="s">
        <v>354</v>
      </c>
      <c r="C331" t="s">
        <v>48</v>
      </c>
      <c r="D331" s="2">
        <v>127.63</v>
      </c>
      <c r="E331">
        <v>3</v>
      </c>
      <c r="F331">
        <v>936</v>
      </c>
      <c r="G331" s="1">
        <v>101</v>
      </c>
      <c r="H331" s="1">
        <v>388</v>
      </c>
      <c r="I331" s="1">
        <v>183</v>
      </c>
      <c r="J331" s="1">
        <v>410</v>
      </c>
      <c r="K331" s="1">
        <v>833</v>
      </c>
      <c r="L331" s="1">
        <v>918</v>
      </c>
      <c r="M331" s="1">
        <v>973</v>
      </c>
      <c r="N331" s="1">
        <v>323</v>
      </c>
      <c r="O331" s="1">
        <v>846</v>
      </c>
      <c r="P331" s="1">
        <v>396</v>
      </c>
      <c r="Q331" s="1">
        <v>301</v>
      </c>
      <c r="R331" s="1">
        <v>892</v>
      </c>
      <c r="S331" s="1">
        <f>SUM(ecommerce_sales_all_data[[#This Row],[sales_month_1]:[sales_month_12]])</f>
        <v>6564</v>
      </c>
      <c r="T331" s="3">
        <f t="shared" si="70"/>
        <v>12890.63</v>
      </c>
      <c r="U331" s="3">
        <f t="shared" si="71"/>
        <v>49520.439999999995</v>
      </c>
      <c r="V331" s="3">
        <f t="shared" si="72"/>
        <v>23356.29</v>
      </c>
      <c r="W331" s="3">
        <f t="shared" si="73"/>
        <v>52328.299999999996</v>
      </c>
      <c r="X331" s="3">
        <f t="shared" si="74"/>
        <v>106315.79</v>
      </c>
      <c r="Y331" s="3">
        <f t="shared" si="75"/>
        <v>117164.34</v>
      </c>
      <c r="Z331" s="3">
        <f t="shared" si="76"/>
        <v>124183.98999999999</v>
      </c>
      <c r="AA331" s="3">
        <f t="shared" si="77"/>
        <v>41224.49</v>
      </c>
      <c r="AB331" s="3">
        <f t="shared" si="78"/>
        <v>107974.98</v>
      </c>
      <c r="AC331" s="3">
        <f t="shared" si="79"/>
        <v>50541.479999999996</v>
      </c>
      <c r="AD331" s="3">
        <f t="shared" si="80"/>
        <v>38416.629999999997</v>
      </c>
      <c r="AE331" s="3">
        <f t="shared" si="81"/>
        <v>113845.95999999999</v>
      </c>
      <c r="AF331" s="3">
        <f>SUM(ecommerce_sales_all_data[[#This Row],[revenue_month_1]:[revenue_month_12]])</f>
        <v>837763.31999999983</v>
      </c>
    </row>
    <row r="332" spans="1:32" x14ac:dyDescent="0.3">
      <c r="A332">
        <v>331</v>
      </c>
      <c r="B332" t="s">
        <v>355</v>
      </c>
      <c r="C332" t="s">
        <v>19</v>
      </c>
      <c r="D332" s="2">
        <v>181.21</v>
      </c>
      <c r="E332">
        <v>3.2</v>
      </c>
      <c r="F332">
        <v>248</v>
      </c>
      <c r="G332" s="1">
        <v>791</v>
      </c>
      <c r="H332" s="1">
        <v>547</v>
      </c>
      <c r="I332" s="1">
        <v>997</v>
      </c>
      <c r="J332" s="1">
        <v>522</v>
      </c>
      <c r="K332" s="1">
        <v>264</v>
      </c>
      <c r="L332" s="1">
        <v>149</v>
      </c>
      <c r="M332" s="1">
        <v>560</v>
      </c>
      <c r="N332" s="1">
        <v>146</v>
      </c>
      <c r="O332" s="1">
        <v>519</v>
      </c>
      <c r="P332" s="1">
        <v>256</v>
      </c>
      <c r="Q332" s="1">
        <v>85</v>
      </c>
      <c r="R332" s="1">
        <v>679</v>
      </c>
      <c r="S332" s="1">
        <f>SUM(ecommerce_sales_all_data[[#This Row],[sales_month_1]:[sales_month_12]])</f>
        <v>5515</v>
      </c>
      <c r="T332" s="3">
        <f t="shared" si="70"/>
        <v>143337.11000000002</v>
      </c>
      <c r="U332" s="3">
        <f t="shared" si="71"/>
        <v>99121.87000000001</v>
      </c>
      <c r="V332" s="3">
        <f t="shared" si="72"/>
        <v>180666.37</v>
      </c>
      <c r="W332" s="3">
        <f t="shared" si="73"/>
        <v>94591.62000000001</v>
      </c>
      <c r="X332" s="3">
        <f t="shared" si="74"/>
        <v>47839.44</v>
      </c>
      <c r="Y332" s="3">
        <f t="shared" si="75"/>
        <v>27000.29</v>
      </c>
      <c r="Z332" s="3">
        <f t="shared" si="76"/>
        <v>101477.6</v>
      </c>
      <c r="AA332" s="3">
        <f t="shared" si="77"/>
        <v>26456.66</v>
      </c>
      <c r="AB332" s="3">
        <f t="shared" si="78"/>
        <v>94047.99</v>
      </c>
      <c r="AC332" s="3">
        <f t="shared" si="79"/>
        <v>46389.760000000002</v>
      </c>
      <c r="AD332" s="3">
        <f t="shared" si="80"/>
        <v>15402.85</v>
      </c>
      <c r="AE332" s="3">
        <f t="shared" si="81"/>
        <v>123041.59000000001</v>
      </c>
      <c r="AF332" s="3">
        <f>SUM(ecommerce_sales_all_data[[#This Row],[revenue_month_1]:[revenue_month_12]])</f>
        <v>999373.15</v>
      </c>
    </row>
    <row r="333" spans="1:32" x14ac:dyDescent="0.3">
      <c r="A333">
        <v>332</v>
      </c>
      <c r="B333" t="s">
        <v>356</v>
      </c>
      <c r="C333" t="s">
        <v>35</v>
      </c>
      <c r="D333" s="2">
        <v>380.13</v>
      </c>
      <c r="E333">
        <v>3.9</v>
      </c>
      <c r="F333">
        <v>156</v>
      </c>
      <c r="G333" s="1">
        <v>769</v>
      </c>
      <c r="H333" s="1">
        <v>621</v>
      </c>
      <c r="I333" s="1">
        <v>27</v>
      </c>
      <c r="J333" s="1">
        <v>805</v>
      </c>
      <c r="K333" s="1">
        <v>874</v>
      </c>
      <c r="L333" s="1">
        <v>131</v>
      </c>
      <c r="M333" s="1">
        <v>100</v>
      </c>
      <c r="N333" s="1">
        <v>766</v>
      </c>
      <c r="O333" s="1">
        <v>665</v>
      </c>
      <c r="P333" s="1">
        <v>576</v>
      </c>
      <c r="Q333" s="1">
        <v>396</v>
      </c>
      <c r="R333" s="1">
        <v>565</v>
      </c>
      <c r="S333" s="1">
        <f>SUM(ecommerce_sales_all_data[[#This Row],[sales_month_1]:[sales_month_12]])</f>
        <v>6295</v>
      </c>
      <c r="T333" s="3">
        <f t="shared" si="70"/>
        <v>292319.96999999997</v>
      </c>
      <c r="U333" s="3">
        <f t="shared" si="71"/>
        <v>236060.73</v>
      </c>
      <c r="V333" s="3">
        <f t="shared" si="72"/>
        <v>10263.51</v>
      </c>
      <c r="W333" s="3">
        <f t="shared" si="73"/>
        <v>306004.65000000002</v>
      </c>
      <c r="X333" s="3">
        <f t="shared" si="74"/>
        <v>332233.62</v>
      </c>
      <c r="Y333" s="3">
        <f t="shared" si="75"/>
        <v>49797.03</v>
      </c>
      <c r="Z333" s="3">
        <f t="shared" si="76"/>
        <v>38013</v>
      </c>
      <c r="AA333" s="3">
        <f t="shared" si="77"/>
        <v>291179.58</v>
      </c>
      <c r="AB333" s="3">
        <f t="shared" si="78"/>
        <v>252786.44999999998</v>
      </c>
      <c r="AC333" s="3">
        <f t="shared" si="79"/>
        <v>218954.88</v>
      </c>
      <c r="AD333" s="3">
        <f t="shared" si="80"/>
        <v>150531.48000000001</v>
      </c>
      <c r="AE333" s="3">
        <f t="shared" si="81"/>
        <v>214773.45</v>
      </c>
      <c r="AF333" s="3">
        <f>SUM(ecommerce_sales_all_data[[#This Row],[revenue_month_1]:[revenue_month_12]])</f>
        <v>2392918.35</v>
      </c>
    </row>
    <row r="334" spans="1:32" x14ac:dyDescent="0.3">
      <c r="A334">
        <v>333</v>
      </c>
      <c r="B334" t="s">
        <v>357</v>
      </c>
      <c r="C334" t="s">
        <v>23</v>
      </c>
      <c r="D334" s="2">
        <v>12.12</v>
      </c>
      <c r="E334">
        <v>1.9</v>
      </c>
      <c r="F334">
        <v>47</v>
      </c>
      <c r="G334" s="1">
        <v>981</v>
      </c>
      <c r="H334" s="1">
        <v>176</v>
      </c>
      <c r="I334" s="1">
        <v>961</v>
      </c>
      <c r="J334" s="1">
        <v>609</v>
      </c>
      <c r="K334" s="1">
        <v>611</v>
      </c>
      <c r="L334" s="1">
        <v>432</v>
      </c>
      <c r="M334" s="1">
        <v>513</v>
      </c>
      <c r="N334" s="1">
        <v>283</v>
      </c>
      <c r="O334" s="1">
        <v>547</v>
      </c>
      <c r="P334" s="1">
        <v>238</v>
      </c>
      <c r="Q334" s="1">
        <v>252</v>
      </c>
      <c r="R334" s="1">
        <v>897</v>
      </c>
      <c r="S334" s="1">
        <f>SUM(ecommerce_sales_all_data[[#This Row],[sales_month_1]:[sales_month_12]])</f>
        <v>6500</v>
      </c>
      <c r="T334" s="3">
        <f t="shared" si="70"/>
        <v>11889.72</v>
      </c>
      <c r="U334" s="3">
        <f t="shared" si="71"/>
        <v>2133.12</v>
      </c>
      <c r="V334" s="3">
        <f t="shared" si="72"/>
        <v>11647.32</v>
      </c>
      <c r="W334" s="3">
        <f t="shared" si="73"/>
        <v>7381.08</v>
      </c>
      <c r="X334" s="3">
        <f t="shared" si="74"/>
        <v>7405.32</v>
      </c>
      <c r="Y334" s="3">
        <f t="shared" si="75"/>
        <v>5235.8399999999992</v>
      </c>
      <c r="Z334" s="3">
        <f t="shared" si="76"/>
        <v>6217.5599999999995</v>
      </c>
      <c r="AA334" s="3">
        <f t="shared" si="77"/>
        <v>3429.9599999999996</v>
      </c>
      <c r="AB334" s="3">
        <f t="shared" si="78"/>
        <v>6629.6399999999994</v>
      </c>
      <c r="AC334" s="3">
        <f t="shared" si="79"/>
        <v>2884.56</v>
      </c>
      <c r="AD334" s="3">
        <f t="shared" si="80"/>
        <v>3054.24</v>
      </c>
      <c r="AE334" s="3">
        <f t="shared" si="81"/>
        <v>10871.64</v>
      </c>
      <c r="AF334" s="3">
        <f>SUM(ecommerce_sales_all_data[[#This Row],[revenue_month_1]:[revenue_month_12]])</f>
        <v>78779.999999999985</v>
      </c>
    </row>
    <row r="335" spans="1:32" x14ac:dyDescent="0.3">
      <c r="A335">
        <v>334</v>
      </c>
      <c r="B335" t="s">
        <v>358</v>
      </c>
      <c r="C335" t="s">
        <v>35</v>
      </c>
      <c r="D335" s="2">
        <v>62.46</v>
      </c>
      <c r="E335">
        <v>5</v>
      </c>
      <c r="F335">
        <v>935</v>
      </c>
      <c r="G335" s="1">
        <v>848</v>
      </c>
      <c r="H335" s="1">
        <v>361</v>
      </c>
      <c r="I335" s="1">
        <v>549</v>
      </c>
      <c r="J335" s="1">
        <v>426</v>
      </c>
      <c r="K335" s="1">
        <v>341</v>
      </c>
      <c r="L335" s="1">
        <v>58</v>
      </c>
      <c r="M335" s="1">
        <v>755</v>
      </c>
      <c r="N335" s="1">
        <v>212</v>
      </c>
      <c r="O335" s="1">
        <v>559</v>
      </c>
      <c r="P335" s="1">
        <v>800</v>
      </c>
      <c r="Q335" s="1">
        <v>532</v>
      </c>
      <c r="R335" s="1">
        <v>177</v>
      </c>
      <c r="S335" s="1">
        <f>SUM(ecommerce_sales_all_data[[#This Row],[sales_month_1]:[sales_month_12]])</f>
        <v>5618</v>
      </c>
      <c r="T335" s="3">
        <f t="shared" si="70"/>
        <v>52966.080000000002</v>
      </c>
      <c r="U335" s="3">
        <f t="shared" si="71"/>
        <v>22548.06</v>
      </c>
      <c r="V335" s="3">
        <f t="shared" si="72"/>
        <v>34290.54</v>
      </c>
      <c r="W335" s="3">
        <f t="shared" si="73"/>
        <v>26607.96</v>
      </c>
      <c r="X335" s="3">
        <f t="shared" si="74"/>
        <v>21298.86</v>
      </c>
      <c r="Y335" s="3">
        <f t="shared" si="75"/>
        <v>3622.68</v>
      </c>
      <c r="Z335" s="3">
        <f t="shared" si="76"/>
        <v>47157.3</v>
      </c>
      <c r="AA335" s="3">
        <f t="shared" si="77"/>
        <v>13241.52</v>
      </c>
      <c r="AB335" s="3">
        <f t="shared" si="78"/>
        <v>34915.14</v>
      </c>
      <c r="AC335" s="3">
        <f t="shared" si="79"/>
        <v>49968</v>
      </c>
      <c r="AD335" s="3">
        <f t="shared" si="80"/>
        <v>33228.720000000001</v>
      </c>
      <c r="AE335" s="3">
        <f t="shared" si="81"/>
        <v>11055.42</v>
      </c>
      <c r="AF335" s="3">
        <f>SUM(ecommerce_sales_all_data[[#This Row],[revenue_month_1]:[revenue_month_12]])</f>
        <v>350900.27999999997</v>
      </c>
    </row>
    <row r="336" spans="1:32" x14ac:dyDescent="0.3">
      <c r="A336">
        <v>335</v>
      </c>
      <c r="B336" t="s">
        <v>359</v>
      </c>
      <c r="C336" t="s">
        <v>35</v>
      </c>
      <c r="D336" s="2">
        <v>27.77</v>
      </c>
      <c r="E336">
        <v>4.9000000000000004</v>
      </c>
      <c r="F336">
        <v>454</v>
      </c>
      <c r="G336" s="1">
        <v>867</v>
      </c>
      <c r="H336" s="1">
        <v>313</v>
      </c>
      <c r="I336" s="1">
        <v>118</v>
      </c>
      <c r="J336" s="1">
        <v>274</v>
      </c>
      <c r="K336" s="1">
        <v>831</v>
      </c>
      <c r="L336" s="1">
        <v>968</v>
      </c>
      <c r="M336" s="1">
        <v>175</v>
      </c>
      <c r="N336" s="1">
        <v>634</v>
      </c>
      <c r="O336" s="1">
        <v>596</v>
      </c>
      <c r="P336" s="1">
        <v>37</v>
      </c>
      <c r="Q336" s="1">
        <v>768</v>
      </c>
      <c r="R336" s="1">
        <v>808</v>
      </c>
      <c r="S336" s="1">
        <f>SUM(ecommerce_sales_all_data[[#This Row],[sales_month_1]:[sales_month_12]])</f>
        <v>6389</v>
      </c>
      <c r="T336" s="3">
        <f t="shared" si="70"/>
        <v>24076.59</v>
      </c>
      <c r="U336" s="3">
        <f t="shared" si="71"/>
        <v>8692.01</v>
      </c>
      <c r="V336" s="3">
        <f t="shared" si="72"/>
        <v>3276.86</v>
      </c>
      <c r="W336" s="3">
        <f t="shared" si="73"/>
        <v>7608.98</v>
      </c>
      <c r="X336" s="3">
        <f t="shared" si="74"/>
        <v>23076.87</v>
      </c>
      <c r="Y336" s="3">
        <f t="shared" si="75"/>
        <v>26881.360000000001</v>
      </c>
      <c r="Z336" s="3">
        <f t="shared" si="76"/>
        <v>4859.75</v>
      </c>
      <c r="AA336" s="3">
        <f t="shared" si="77"/>
        <v>17606.18</v>
      </c>
      <c r="AB336" s="3">
        <f t="shared" si="78"/>
        <v>16550.919999999998</v>
      </c>
      <c r="AC336" s="3">
        <f t="shared" si="79"/>
        <v>1027.49</v>
      </c>
      <c r="AD336" s="3">
        <f t="shared" si="80"/>
        <v>21327.360000000001</v>
      </c>
      <c r="AE336" s="3">
        <f t="shared" si="81"/>
        <v>22438.16</v>
      </c>
      <c r="AF336" s="3">
        <f>SUM(ecommerce_sales_all_data[[#This Row],[revenue_month_1]:[revenue_month_12]])</f>
        <v>177422.53</v>
      </c>
    </row>
    <row r="337" spans="1:32" x14ac:dyDescent="0.3">
      <c r="A337">
        <v>336</v>
      </c>
      <c r="B337" t="s">
        <v>360</v>
      </c>
      <c r="C337" t="s">
        <v>23</v>
      </c>
      <c r="D337" s="2">
        <v>25.16</v>
      </c>
      <c r="E337">
        <v>3.6</v>
      </c>
      <c r="F337">
        <v>201</v>
      </c>
      <c r="G337" s="1">
        <v>397</v>
      </c>
      <c r="H337" s="1">
        <v>806</v>
      </c>
      <c r="I337" s="1">
        <v>292</v>
      </c>
      <c r="J337" s="1">
        <v>447</v>
      </c>
      <c r="K337" s="1">
        <v>725</v>
      </c>
      <c r="L337" s="1">
        <v>835</v>
      </c>
      <c r="M337" s="1">
        <v>237</v>
      </c>
      <c r="N337" s="1">
        <v>717</v>
      </c>
      <c r="O337" s="1">
        <v>27</v>
      </c>
      <c r="P337" s="1">
        <v>24</v>
      </c>
      <c r="Q337" s="1">
        <v>890</v>
      </c>
      <c r="R337" s="1">
        <v>812</v>
      </c>
      <c r="S337" s="1">
        <f>SUM(ecommerce_sales_all_data[[#This Row],[sales_month_1]:[sales_month_12]])</f>
        <v>6209</v>
      </c>
      <c r="T337" s="3">
        <f t="shared" si="70"/>
        <v>9988.52</v>
      </c>
      <c r="U337" s="3">
        <f t="shared" si="71"/>
        <v>20278.96</v>
      </c>
      <c r="V337" s="3">
        <f t="shared" si="72"/>
        <v>7346.72</v>
      </c>
      <c r="W337" s="3">
        <f t="shared" si="73"/>
        <v>11246.52</v>
      </c>
      <c r="X337" s="3">
        <f t="shared" si="74"/>
        <v>18241</v>
      </c>
      <c r="Y337" s="3">
        <f t="shared" si="75"/>
        <v>21008.6</v>
      </c>
      <c r="Z337" s="3">
        <f t="shared" si="76"/>
        <v>5962.92</v>
      </c>
      <c r="AA337" s="3">
        <f t="shared" si="77"/>
        <v>18039.72</v>
      </c>
      <c r="AB337" s="3">
        <f t="shared" si="78"/>
        <v>679.32</v>
      </c>
      <c r="AC337" s="3">
        <f t="shared" si="79"/>
        <v>603.84</v>
      </c>
      <c r="AD337" s="3">
        <f t="shared" si="80"/>
        <v>22392.400000000001</v>
      </c>
      <c r="AE337" s="3">
        <f t="shared" si="81"/>
        <v>20429.920000000002</v>
      </c>
      <c r="AF337" s="3">
        <f>SUM(ecommerce_sales_all_data[[#This Row],[revenue_month_1]:[revenue_month_12]])</f>
        <v>156218.44000000003</v>
      </c>
    </row>
    <row r="338" spans="1:32" x14ac:dyDescent="0.3">
      <c r="A338">
        <v>337</v>
      </c>
      <c r="B338" t="s">
        <v>361</v>
      </c>
      <c r="C338" t="s">
        <v>23</v>
      </c>
      <c r="D338" s="2">
        <v>428.45</v>
      </c>
      <c r="E338">
        <v>1.8</v>
      </c>
      <c r="F338">
        <v>660</v>
      </c>
      <c r="G338" s="1">
        <v>137</v>
      </c>
      <c r="H338" s="1">
        <v>847</v>
      </c>
      <c r="I338" s="1">
        <v>370</v>
      </c>
      <c r="J338" s="1">
        <v>901</v>
      </c>
      <c r="K338" s="1">
        <v>277</v>
      </c>
      <c r="L338" s="1">
        <v>198</v>
      </c>
      <c r="M338" s="1">
        <v>909</v>
      </c>
      <c r="N338" s="1">
        <v>928</v>
      </c>
      <c r="O338" s="1">
        <v>707</v>
      </c>
      <c r="P338" s="1">
        <v>409</v>
      </c>
      <c r="Q338" s="1">
        <v>914</v>
      </c>
      <c r="R338" s="1">
        <v>870</v>
      </c>
      <c r="S338" s="1">
        <f>SUM(ecommerce_sales_all_data[[#This Row],[sales_month_1]:[sales_month_12]])</f>
        <v>7467</v>
      </c>
      <c r="T338" s="3">
        <f t="shared" si="70"/>
        <v>58697.65</v>
      </c>
      <c r="U338" s="3">
        <f t="shared" si="71"/>
        <v>362897.14999999997</v>
      </c>
      <c r="V338" s="3">
        <f t="shared" si="72"/>
        <v>158526.5</v>
      </c>
      <c r="W338" s="3">
        <f t="shared" si="73"/>
        <v>386033.45</v>
      </c>
      <c r="X338" s="3">
        <f t="shared" si="74"/>
        <v>118680.65</v>
      </c>
      <c r="Y338" s="3">
        <f t="shared" si="75"/>
        <v>84833.099999999991</v>
      </c>
      <c r="Z338" s="3">
        <f t="shared" si="76"/>
        <v>389461.05</v>
      </c>
      <c r="AA338" s="3">
        <f t="shared" si="77"/>
        <v>397601.6</v>
      </c>
      <c r="AB338" s="3">
        <f t="shared" si="78"/>
        <v>302914.14999999997</v>
      </c>
      <c r="AC338" s="3">
        <f t="shared" si="79"/>
        <v>175236.05</v>
      </c>
      <c r="AD338" s="3">
        <f t="shared" si="80"/>
        <v>391603.3</v>
      </c>
      <c r="AE338" s="3">
        <f t="shared" si="81"/>
        <v>372751.5</v>
      </c>
      <c r="AF338" s="3">
        <f>SUM(ecommerce_sales_all_data[[#This Row],[revenue_month_1]:[revenue_month_12]])</f>
        <v>3199236.1499999994</v>
      </c>
    </row>
    <row r="339" spans="1:32" x14ac:dyDescent="0.3">
      <c r="A339">
        <v>338</v>
      </c>
      <c r="B339" t="s">
        <v>362</v>
      </c>
      <c r="C339" t="s">
        <v>48</v>
      </c>
      <c r="D339" s="2">
        <v>353.31</v>
      </c>
      <c r="E339">
        <v>3.7</v>
      </c>
      <c r="F339">
        <v>124</v>
      </c>
      <c r="G339" s="1">
        <v>674</v>
      </c>
      <c r="H339" s="1">
        <v>96</v>
      </c>
      <c r="I339" s="1">
        <v>243</v>
      </c>
      <c r="J339" s="1">
        <v>941</v>
      </c>
      <c r="K339" s="1">
        <v>673</v>
      </c>
      <c r="L339" s="1">
        <v>214</v>
      </c>
      <c r="M339" s="1">
        <v>58</v>
      </c>
      <c r="N339" s="1">
        <v>751</v>
      </c>
      <c r="O339" s="1">
        <v>445</v>
      </c>
      <c r="P339" s="1">
        <v>460</v>
      </c>
      <c r="Q339" s="1">
        <v>380</v>
      </c>
      <c r="R339" s="1">
        <v>617</v>
      </c>
      <c r="S339" s="1">
        <f>SUM(ecommerce_sales_all_data[[#This Row],[sales_month_1]:[sales_month_12]])</f>
        <v>5552</v>
      </c>
      <c r="T339" s="3">
        <f t="shared" si="70"/>
        <v>238130.94</v>
      </c>
      <c r="U339" s="3">
        <f t="shared" si="71"/>
        <v>33917.760000000002</v>
      </c>
      <c r="V339" s="3">
        <f t="shared" si="72"/>
        <v>85854.33</v>
      </c>
      <c r="W339" s="3">
        <f t="shared" si="73"/>
        <v>332464.71000000002</v>
      </c>
      <c r="X339" s="3">
        <f t="shared" si="74"/>
        <v>237777.63</v>
      </c>
      <c r="Y339" s="3">
        <f t="shared" si="75"/>
        <v>75608.34</v>
      </c>
      <c r="Z339" s="3">
        <f t="shared" si="76"/>
        <v>20491.98</v>
      </c>
      <c r="AA339" s="3">
        <f t="shared" si="77"/>
        <v>265335.81</v>
      </c>
      <c r="AB339" s="3">
        <f t="shared" si="78"/>
        <v>157222.95000000001</v>
      </c>
      <c r="AC339" s="3">
        <f t="shared" si="79"/>
        <v>162522.6</v>
      </c>
      <c r="AD339" s="3">
        <f t="shared" si="80"/>
        <v>134257.79999999999</v>
      </c>
      <c r="AE339" s="3">
        <f t="shared" si="81"/>
        <v>217992.27</v>
      </c>
      <c r="AF339" s="3">
        <f>SUM(ecommerce_sales_all_data[[#This Row],[revenue_month_1]:[revenue_month_12]])</f>
        <v>1961577.12</v>
      </c>
    </row>
    <row r="340" spans="1:32" x14ac:dyDescent="0.3">
      <c r="A340">
        <v>339</v>
      </c>
      <c r="B340" t="s">
        <v>363</v>
      </c>
      <c r="C340" t="s">
        <v>23</v>
      </c>
      <c r="D340" s="2">
        <v>239.72</v>
      </c>
      <c r="E340">
        <v>1.3</v>
      </c>
      <c r="F340">
        <v>1</v>
      </c>
      <c r="G340" s="1">
        <v>920</v>
      </c>
      <c r="H340" s="1">
        <v>880</v>
      </c>
      <c r="I340" s="1">
        <v>579</v>
      </c>
      <c r="J340" s="1">
        <v>883</v>
      </c>
      <c r="K340" s="1">
        <v>438</v>
      </c>
      <c r="L340" s="1">
        <v>897</v>
      </c>
      <c r="M340" s="1">
        <v>864</v>
      </c>
      <c r="N340" s="1">
        <v>393</v>
      </c>
      <c r="O340" s="1">
        <v>207</v>
      </c>
      <c r="P340" s="1">
        <v>570</v>
      </c>
      <c r="Q340" s="1">
        <v>443</v>
      </c>
      <c r="R340" s="1">
        <v>136</v>
      </c>
      <c r="S340" s="1">
        <f>SUM(ecommerce_sales_all_data[[#This Row],[sales_month_1]:[sales_month_12]])</f>
        <v>7210</v>
      </c>
      <c r="T340" s="3">
        <f t="shared" si="70"/>
        <v>220542.4</v>
      </c>
      <c r="U340" s="3">
        <f t="shared" si="71"/>
        <v>210953.60000000001</v>
      </c>
      <c r="V340" s="3">
        <f t="shared" si="72"/>
        <v>138797.88</v>
      </c>
      <c r="W340" s="3">
        <f t="shared" si="73"/>
        <v>211672.76</v>
      </c>
      <c r="X340" s="3">
        <f t="shared" si="74"/>
        <v>104997.36</v>
      </c>
      <c r="Y340" s="3">
        <f t="shared" si="75"/>
        <v>215028.84</v>
      </c>
      <c r="Z340" s="3">
        <f t="shared" si="76"/>
        <v>207118.07999999999</v>
      </c>
      <c r="AA340" s="3">
        <f t="shared" si="77"/>
        <v>94209.96</v>
      </c>
      <c r="AB340" s="3">
        <f t="shared" si="78"/>
        <v>49622.04</v>
      </c>
      <c r="AC340" s="3">
        <f t="shared" si="79"/>
        <v>136640.4</v>
      </c>
      <c r="AD340" s="3">
        <f t="shared" si="80"/>
        <v>106195.96</v>
      </c>
      <c r="AE340" s="3">
        <f t="shared" si="81"/>
        <v>32601.919999999998</v>
      </c>
      <c r="AF340" s="3">
        <f>SUM(ecommerce_sales_all_data[[#This Row],[revenue_month_1]:[revenue_month_12]])</f>
        <v>1728381.2</v>
      </c>
    </row>
    <row r="341" spans="1:32" x14ac:dyDescent="0.3">
      <c r="A341">
        <v>340</v>
      </c>
      <c r="B341" t="s">
        <v>364</v>
      </c>
      <c r="C341" t="s">
        <v>29</v>
      </c>
      <c r="D341" s="2">
        <v>53.43</v>
      </c>
      <c r="E341">
        <v>1.1000000000000001</v>
      </c>
      <c r="F341">
        <v>968</v>
      </c>
      <c r="G341" s="1">
        <v>386</v>
      </c>
      <c r="H341" s="1">
        <v>212</v>
      </c>
      <c r="I341" s="1">
        <v>725</v>
      </c>
      <c r="J341" s="1">
        <v>741</v>
      </c>
      <c r="K341" s="1">
        <v>156</v>
      </c>
      <c r="L341" s="1">
        <v>560</v>
      </c>
      <c r="M341" s="1">
        <v>98</v>
      </c>
      <c r="N341" s="1">
        <v>338</v>
      </c>
      <c r="O341" s="1">
        <v>469</v>
      </c>
      <c r="P341" s="1">
        <v>987</v>
      </c>
      <c r="Q341" s="1">
        <v>32</v>
      </c>
      <c r="R341" s="1">
        <v>189</v>
      </c>
      <c r="S341" s="1">
        <f>SUM(ecommerce_sales_all_data[[#This Row],[sales_month_1]:[sales_month_12]])</f>
        <v>4893</v>
      </c>
      <c r="T341" s="3">
        <f t="shared" si="70"/>
        <v>20623.98</v>
      </c>
      <c r="U341" s="3">
        <f t="shared" si="71"/>
        <v>11327.16</v>
      </c>
      <c r="V341" s="3">
        <f t="shared" si="72"/>
        <v>38736.75</v>
      </c>
      <c r="W341" s="3">
        <f t="shared" si="73"/>
        <v>39591.629999999997</v>
      </c>
      <c r="X341" s="3">
        <f t="shared" si="74"/>
        <v>8335.08</v>
      </c>
      <c r="Y341" s="3">
        <f t="shared" si="75"/>
        <v>29920.799999999999</v>
      </c>
      <c r="Z341" s="3">
        <f t="shared" si="76"/>
        <v>5236.1400000000003</v>
      </c>
      <c r="AA341" s="3">
        <f t="shared" si="77"/>
        <v>18059.34</v>
      </c>
      <c r="AB341" s="3">
        <f t="shared" si="78"/>
        <v>25058.67</v>
      </c>
      <c r="AC341" s="3">
        <f t="shared" si="79"/>
        <v>52735.409999999996</v>
      </c>
      <c r="AD341" s="3">
        <f t="shared" si="80"/>
        <v>1709.76</v>
      </c>
      <c r="AE341" s="3">
        <f t="shared" si="81"/>
        <v>10098.27</v>
      </c>
      <c r="AF341" s="3">
        <f>SUM(ecommerce_sales_all_data[[#This Row],[revenue_month_1]:[revenue_month_12]])</f>
        <v>261432.99</v>
      </c>
    </row>
    <row r="342" spans="1:32" x14ac:dyDescent="0.3">
      <c r="A342">
        <v>341</v>
      </c>
      <c r="B342" t="s">
        <v>365</v>
      </c>
      <c r="C342" t="s">
        <v>29</v>
      </c>
      <c r="D342" s="2">
        <v>248.35</v>
      </c>
      <c r="E342">
        <v>2</v>
      </c>
      <c r="F342">
        <v>759</v>
      </c>
      <c r="G342" s="1">
        <v>110</v>
      </c>
      <c r="H342" s="1">
        <v>828</v>
      </c>
      <c r="I342" s="1">
        <v>217</v>
      </c>
      <c r="J342" s="1">
        <v>368</v>
      </c>
      <c r="K342" s="1">
        <v>421</v>
      </c>
      <c r="L342" s="1">
        <v>471</v>
      </c>
      <c r="M342" s="1">
        <v>953</v>
      </c>
      <c r="N342" s="1">
        <v>797</v>
      </c>
      <c r="O342" s="1">
        <v>715</v>
      </c>
      <c r="P342" s="1">
        <v>416</v>
      </c>
      <c r="Q342" s="1">
        <v>259</v>
      </c>
      <c r="R342" s="1">
        <v>639</v>
      </c>
      <c r="S342" s="1">
        <f>SUM(ecommerce_sales_all_data[[#This Row],[sales_month_1]:[sales_month_12]])</f>
        <v>6194</v>
      </c>
      <c r="T342" s="3">
        <f t="shared" si="70"/>
        <v>27318.5</v>
      </c>
      <c r="U342" s="3">
        <f t="shared" si="71"/>
        <v>205633.8</v>
      </c>
      <c r="V342" s="3">
        <f t="shared" si="72"/>
        <v>53891.95</v>
      </c>
      <c r="W342" s="3">
        <f t="shared" si="73"/>
        <v>91392.8</v>
      </c>
      <c r="X342" s="3">
        <f t="shared" si="74"/>
        <v>104555.34999999999</v>
      </c>
      <c r="Y342" s="3">
        <f t="shared" si="75"/>
        <v>116972.84999999999</v>
      </c>
      <c r="Z342" s="3">
        <f t="shared" si="76"/>
        <v>236677.55</v>
      </c>
      <c r="AA342" s="3">
        <f t="shared" si="77"/>
        <v>197934.94999999998</v>
      </c>
      <c r="AB342" s="3">
        <f t="shared" si="78"/>
        <v>177570.25</v>
      </c>
      <c r="AC342" s="3">
        <f t="shared" si="79"/>
        <v>103313.59999999999</v>
      </c>
      <c r="AD342" s="3">
        <f t="shared" si="80"/>
        <v>64322.65</v>
      </c>
      <c r="AE342" s="3">
        <f t="shared" si="81"/>
        <v>158695.65</v>
      </c>
      <c r="AF342" s="3">
        <f>SUM(ecommerce_sales_all_data[[#This Row],[revenue_month_1]:[revenue_month_12]])</f>
        <v>1538279.9</v>
      </c>
    </row>
    <row r="343" spans="1:32" x14ac:dyDescent="0.3">
      <c r="A343">
        <v>342</v>
      </c>
      <c r="B343" t="s">
        <v>366</v>
      </c>
      <c r="C343" t="s">
        <v>26</v>
      </c>
      <c r="D343" s="2">
        <v>239.37</v>
      </c>
      <c r="E343">
        <v>2.9</v>
      </c>
      <c r="F343">
        <v>855</v>
      </c>
      <c r="G343" s="1">
        <v>613</v>
      </c>
      <c r="H343" s="1">
        <v>136</v>
      </c>
      <c r="I343" s="1">
        <v>176</v>
      </c>
      <c r="J343" s="1">
        <v>937</v>
      </c>
      <c r="K343" s="1">
        <v>250</v>
      </c>
      <c r="L343" s="1">
        <v>743</v>
      </c>
      <c r="M343" s="1">
        <v>870</v>
      </c>
      <c r="N343" s="1">
        <v>21</v>
      </c>
      <c r="O343" s="1">
        <v>975</v>
      </c>
      <c r="P343" s="1">
        <v>356</v>
      </c>
      <c r="Q343" s="1">
        <v>233</v>
      </c>
      <c r="R343" s="1">
        <v>341</v>
      </c>
      <c r="S343" s="1">
        <f>SUM(ecommerce_sales_all_data[[#This Row],[sales_month_1]:[sales_month_12]])</f>
        <v>5651</v>
      </c>
      <c r="T343" s="3">
        <f t="shared" si="70"/>
        <v>146733.81</v>
      </c>
      <c r="U343" s="3">
        <f t="shared" si="71"/>
        <v>32554.32</v>
      </c>
      <c r="V343" s="3">
        <f t="shared" si="72"/>
        <v>42129.120000000003</v>
      </c>
      <c r="W343" s="3">
        <f t="shared" si="73"/>
        <v>224289.69</v>
      </c>
      <c r="X343" s="3">
        <f t="shared" si="74"/>
        <v>59842.5</v>
      </c>
      <c r="Y343" s="3">
        <f t="shared" si="75"/>
        <v>177851.91</v>
      </c>
      <c r="Z343" s="3">
        <f t="shared" si="76"/>
        <v>208251.9</v>
      </c>
      <c r="AA343" s="3">
        <f t="shared" si="77"/>
        <v>5026.7700000000004</v>
      </c>
      <c r="AB343" s="3">
        <f t="shared" si="78"/>
        <v>233385.75</v>
      </c>
      <c r="AC343" s="3">
        <f t="shared" si="79"/>
        <v>85215.72</v>
      </c>
      <c r="AD343" s="3">
        <f t="shared" si="80"/>
        <v>55773.21</v>
      </c>
      <c r="AE343" s="3">
        <f t="shared" si="81"/>
        <v>81625.17</v>
      </c>
      <c r="AF343" s="3">
        <f>SUM(ecommerce_sales_all_data[[#This Row],[revenue_month_1]:[revenue_month_12]])</f>
        <v>1352679.8699999999</v>
      </c>
    </row>
    <row r="344" spans="1:32" x14ac:dyDescent="0.3">
      <c r="A344">
        <v>343</v>
      </c>
      <c r="B344" t="s">
        <v>367</v>
      </c>
      <c r="C344" t="s">
        <v>23</v>
      </c>
      <c r="D344" s="2">
        <v>90.73</v>
      </c>
      <c r="E344">
        <v>4.5</v>
      </c>
      <c r="F344">
        <v>640</v>
      </c>
      <c r="G344" s="1">
        <v>16</v>
      </c>
      <c r="H344" s="1">
        <v>5</v>
      </c>
      <c r="I344" s="1">
        <v>298</v>
      </c>
      <c r="J344" s="1">
        <v>219</v>
      </c>
      <c r="K344" s="1">
        <v>877</v>
      </c>
      <c r="L344" s="1">
        <v>246</v>
      </c>
      <c r="M344" s="1">
        <v>953</v>
      </c>
      <c r="N344" s="1">
        <v>770</v>
      </c>
      <c r="O344" s="1">
        <v>818</v>
      </c>
      <c r="P344" s="1">
        <v>382</v>
      </c>
      <c r="Q344" s="1">
        <v>514</v>
      </c>
      <c r="R344" s="1">
        <v>558</v>
      </c>
      <c r="S344" s="1">
        <f>SUM(ecommerce_sales_all_data[[#This Row],[sales_month_1]:[sales_month_12]])</f>
        <v>5656</v>
      </c>
      <c r="T344" s="3">
        <f t="shared" si="70"/>
        <v>1451.68</v>
      </c>
      <c r="U344" s="3">
        <f t="shared" si="71"/>
        <v>453.65000000000003</v>
      </c>
      <c r="V344" s="3">
        <f t="shared" si="72"/>
        <v>27037.54</v>
      </c>
      <c r="W344" s="3">
        <f t="shared" si="73"/>
        <v>19869.870000000003</v>
      </c>
      <c r="X344" s="3">
        <f t="shared" si="74"/>
        <v>79570.210000000006</v>
      </c>
      <c r="Y344" s="3">
        <f t="shared" si="75"/>
        <v>22319.58</v>
      </c>
      <c r="Z344" s="3">
        <f t="shared" si="76"/>
        <v>86465.69</v>
      </c>
      <c r="AA344" s="3">
        <f t="shared" si="77"/>
        <v>69862.100000000006</v>
      </c>
      <c r="AB344" s="3">
        <f t="shared" si="78"/>
        <v>74217.14</v>
      </c>
      <c r="AC344" s="3">
        <f t="shared" si="79"/>
        <v>34658.86</v>
      </c>
      <c r="AD344" s="3">
        <f t="shared" si="80"/>
        <v>46635.22</v>
      </c>
      <c r="AE344" s="3">
        <f t="shared" si="81"/>
        <v>50627.340000000004</v>
      </c>
      <c r="AF344" s="3">
        <f>SUM(ecommerce_sales_all_data[[#This Row],[revenue_month_1]:[revenue_month_12]])</f>
        <v>513168.88000000006</v>
      </c>
    </row>
    <row r="345" spans="1:32" x14ac:dyDescent="0.3">
      <c r="A345">
        <v>344</v>
      </c>
      <c r="B345" t="s">
        <v>368</v>
      </c>
      <c r="C345" t="s">
        <v>19</v>
      </c>
      <c r="D345" s="2">
        <v>219.76</v>
      </c>
      <c r="E345">
        <v>3.9</v>
      </c>
      <c r="F345">
        <v>191</v>
      </c>
      <c r="G345" s="1">
        <v>779</v>
      </c>
      <c r="H345" s="1">
        <v>108</v>
      </c>
      <c r="I345" s="1">
        <v>675</v>
      </c>
      <c r="J345" s="1">
        <v>576</v>
      </c>
      <c r="K345" s="1">
        <v>608</v>
      </c>
      <c r="L345" s="1">
        <v>381</v>
      </c>
      <c r="M345" s="1">
        <v>494</v>
      </c>
      <c r="N345" s="1">
        <v>868</v>
      </c>
      <c r="O345" s="1">
        <v>103</v>
      </c>
      <c r="P345" s="1">
        <v>808</v>
      </c>
      <c r="Q345" s="1">
        <v>858</v>
      </c>
      <c r="R345" s="1">
        <v>4</v>
      </c>
      <c r="S345" s="1">
        <f>SUM(ecommerce_sales_all_data[[#This Row],[sales_month_1]:[sales_month_12]])</f>
        <v>6262</v>
      </c>
      <c r="T345" s="3">
        <f t="shared" si="70"/>
        <v>171193.03999999998</v>
      </c>
      <c r="U345" s="3">
        <f t="shared" si="71"/>
        <v>23734.079999999998</v>
      </c>
      <c r="V345" s="3">
        <f t="shared" si="72"/>
        <v>148338</v>
      </c>
      <c r="W345" s="3">
        <f t="shared" si="73"/>
        <v>126581.75999999999</v>
      </c>
      <c r="X345" s="3">
        <f t="shared" si="74"/>
        <v>133614.07999999999</v>
      </c>
      <c r="Y345" s="3">
        <f t="shared" si="75"/>
        <v>83728.56</v>
      </c>
      <c r="Z345" s="3">
        <f t="shared" si="76"/>
        <v>108561.44</v>
      </c>
      <c r="AA345" s="3">
        <f t="shared" si="77"/>
        <v>190751.68</v>
      </c>
      <c r="AB345" s="3">
        <f t="shared" si="78"/>
        <v>22635.279999999999</v>
      </c>
      <c r="AC345" s="3">
        <f t="shared" si="79"/>
        <v>177566.07999999999</v>
      </c>
      <c r="AD345" s="3">
        <f t="shared" si="80"/>
        <v>188554.08</v>
      </c>
      <c r="AE345" s="3">
        <f t="shared" si="81"/>
        <v>879.04</v>
      </c>
      <c r="AF345" s="3">
        <f>SUM(ecommerce_sales_all_data[[#This Row],[revenue_month_1]:[revenue_month_12]])</f>
        <v>1376137.12</v>
      </c>
    </row>
    <row r="346" spans="1:32" x14ac:dyDescent="0.3">
      <c r="A346">
        <v>345</v>
      </c>
      <c r="B346" t="s">
        <v>369</v>
      </c>
      <c r="C346" t="s">
        <v>26</v>
      </c>
      <c r="D346" s="2">
        <v>202.26</v>
      </c>
      <c r="E346">
        <v>4</v>
      </c>
      <c r="F346">
        <v>579</v>
      </c>
      <c r="G346" s="1">
        <v>181</v>
      </c>
      <c r="H346" s="1">
        <v>546</v>
      </c>
      <c r="I346" s="1">
        <v>57</v>
      </c>
      <c r="J346" s="1">
        <v>866</v>
      </c>
      <c r="K346" s="1">
        <v>529</v>
      </c>
      <c r="L346" s="1">
        <v>990</v>
      </c>
      <c r="M346" s="1">
        <v>946</v>
      </c>
      <c r="N346" s="1">
        <v>104</v>
      </c>
      <c r="O346" s="1">
        <v>741</v>
      </c>
      <c r="P346" s="1">
        <v>157</v>
      </c>
      <c r="Q346" s="1">
        <v>307</v>
      </c>
      <c r="R346" s="1">
        <v>971</v>
      </c>
      <c r="S346" s="1">
        <f>SUM(ecommerce_sales_all_data[[#This Row],[sales_month_1]:[sales_month_12]])</f>
        <v>6395</v>
      </c>
      <c r="T346" s="3">
        <f t="shared" si="70"/>
        <v>36609.06</v>
      </c>
      <c r="U346" s="3">
        <f t="shared" si="71"/>
        <v>110433.95999999999</v>
      </c>
      <c r="V346" s="3">
        <f t="shared" si="72"/>
        <v>11528.82</v>
      </c>
      <c r="W346" s="3">
        <f t="shared" si="73"/>
        <v>175157.16</v>
      </c>
      <c r="X346" s="3">
        <f t="shared" si="74"/>
        <v>106995.54</v>
      </c>
      <c r="Y346" s="3">
        <f t="shared" si="75"/>
        <v>200237.4</v>
      </c>
      <c r="Z346" s="3">
        <f t="shared" si="76"/>
        <v>191337.96</v>
      </c>
      <c r="AA346" s="3">
        <f t="shared" si="77"/>
        <v>21035.040000000001</v>
      </c>
      <c r="AB346" s="3">
        <f t="shared" si="78"/>
        <v>149874.66</v>
      </c>
      <c r="AC346" s="3">
        <f t="shared" si="79"/>
        <v>31754.82</v>
      </c>
      <c r="AD346" s="3">
        <f t="shared" si="80"/>
        <v>62093.82</v>
      </c>
      <c r="AE346" s="3">
        <f t="shared" si="81"/>
        <v>196394.46</v>
      </c>
      <c r="AF346" s="3">
        <f>SUM(ecommerce_sales_all_data[[#This Row],[revenue_month_1]:[revenue_month_12]])</f>
        <v>1293452.7</v>
      </c>
    </row>
    <row r="347" spans="1:32" x14ac:dyDescent="0.3">
      <c r="A347">
        <v>346</v>
      </c>
      <c r="B347" t="s">
        <v>370</v>
      </c>
      <c r="C347" t="s">
        <v>48</v>
      </c>
      <c r="D347" s="2">
        <v>309.85000000000002</v>
      </c>
      <c r="E347">
        <v>2.7</v>
      </c>
      <c r="F347">
        <v>516</v>
      </c>
      <c r="G347" s="1">
        <v>883</v>
      </c>
      <c r="H347" s="1">
        <v>38</v>
      </c>
      <c r="I347" s="1">
        <v>268</v>
      </c>
      <c r="J347" s="1">
        <v>231</v>
      </c>
      <c r="K347" s="1">
        <v>326</v>
      </c>
      <c r="L347" s="1">
        <v>238</v>
      </c>
      <c r="M347" s="1">
        <v>979</v>
      </c>
      <c r="N347" s="1">
        <v>465</v>
      </c>
      <c r="O347" s="1">
        <v>425</v>
      </c>
      <c r="P347" s="1">
        <v>568</v>
      </c>
      <c r="Q347" s="1">
        <v>1000</v>
      </c>
      <c r="R347" s="1">
        <v>256</v>
      </c>
      <c r="S347" s="1">
        <f>SUM(ecommerce_sales_all_data[[#This Row],[sales_month_1]:[sales_month_12]])</f>
        <v>5677</v>
      </c>
      <c r="T347" s="3">
        <f t="shared" si="70"/>
        <v>273597.55000000005</v>
      </c>
      <c r="U347" s="3">
        <f t="shared" si="71"/>
        <v>11774.300000000001</v>
      </c>
      <c r="V347" s="3">
        <f t="shared" si="72"/>
        <v>83039.8</v>
      </c>
      <c r="W347" s="3">
        <f t="shared" si="73"/>
        <v>71575.350000000006</v>
      </c>
      <c r="X347" s="3">
        <f t="shared" si="74"/>
        <v>101011.1</v>
      </c>
      <c r="Y347" s="3">
        <f t="shared" si="75"/>
        <v>73744.3</v>
      </c>
      <c r="Z347" s="3">
        <f t="shared" si="76"/>
        <v>303343.15000000002</v>
      </c>
      <c r="AA347" s="3">
        <f t="shared" si="77"/>
        <v>144080.25</v>
      </c>
      <c r="AB347" s="3">
        <f t="shared" si="78"/>
        <v>131686.25</v>
      </c>
      <c r="AC347" s="3">
        <f t="shared" si="79"/>
        <v>175994.80000000002</v>
      </c>
      <c r="AD347" s="3">
        <f t="shared" si="80"/>
        <v>309850</v>
      </c>
      <c r="AE347" s="3">
        <f t="shared" si="81"/>
        <v>79321.600000000006</v>
      </c>
      <c r="AF347" s="3">
        <f>SUM(ecommerce_sales_all_data[[#This Row],[revenue_month_1]:[revenue_month_12]])</f>
        <v>1759018.4500000002</v>
      </c>
    </row>
    <row r="348" spans="1:32" x14ac:dyDescent="0.3">
      <c r="A348">
        <v>347</v>
      </c>
      <c r="B348" t="s">
        <v>371</v>
      </c>
      <c r="C348" t="s">
        <v>23</v>
      </c>
      <c r="D348" s="2">
        <v>319.37</v>
      </c>
      <c r="E348">
        <v>2.4</v>
      </c>
      <c r="F348">
        <v>442</v>
      </c>
      <c r="G348" s="1">
        <v>535</v>
      </c>
      <c r="H348" s="1">
        <v>661</v>
      </c>
      <c r="I348" s="1">
        <v>307</v>
      </c>
      <c r="J348" s="1">
        <v>327</v>
      </c>
      <c r="K348" s="1">
        <v>960</v>
      </c>
      <c r="L348" s="1">
        <v>926</v>
      </c>
      <c r="M348" s="1">
        <v>513</v>
      </c>
      <c r="N348" s="1">
        <v>458</v>
      </c>
      <c r="O348" s="1">
        <v>100</v>
      </c>
      <c r="P348" s="1">
        <v>432</v>
      </c>
      <c r="Q348" s="1">
        <v>738</v>
      </c>
      <c r="R348" s="1">
        <v>811</v>
      </c>
      <c r="S348" s="1">
        <f>SUM(ecommerce_sales_all_data[[#This Row],[sales_month_1]:[sales_month_12]])</f>
        <v>6768</v>
      </c>
      <c r="T348" s="3">
        <f t="shared" si="70"/>
        <v>170862.95</v>
      </c>
      <c r="U348" s="3">
        <f t="shared" si="71"/>
        <v>211103.57</v>
      </c>
      <c r="V348" s="3">
        <f t="shared" si="72"/>
        <v>98046.59</v>
      </c>
      <c r="W348" s="3">
        <f t="shared" si="73"/>
        <v>104433.99</v>
      </c>
      <c r="X348" s="3">
        <f t="shared" si="74"/>
        <v>306595.20000000001</v>
      </c>
      <c r="Y348" s="3">
        <f t="shared" si="75"/>
        <v>295736.62</v>
      </c>
      <c r="Z348" s="3">
        <f t="shared" si="76"/>
        <v>163836.81</v>
      </c>
      <c r="AA348" s="3">
        <f t="shared" si="77"/>
        <v>146271.46</v>
      </c>
      <c r="AB348" s="3">
        <f t="shared" si="78"/>
        <v>31937</v>
      </c>
      <c r="AC348" s="3">
        <f t="shared" si="79"/>
        <v>137967.84</v>
      </c>
      <c r="AD348" s="3">
        <f t="shared" si="80"/>
        <v>235695.06</v>
      </c>
      <c r="AE348" s="3">
        <f t="shared" si="81"/>
        <v>259009.07</v>
      </c>
      <c r="AF348" s="3">
        <f>SUM(ecommerce_sales_all_data[[#This Row],[revenue_month_1]:[revenue_month_12]])</f>
        <v>2161496.16</v>
      </c>
    </row>
    <row r="349" spans="1:32" x14ac:dyDescent="0.3">
      <c r="A349">
        <v>348</v>
      </c>
      <c r="B349" t="s">
        <v>372</v>
      </c>
      <c r="C349" t="s">
        <v>29</v>
      </c>
      <c r="D349" s="2">
        <v>27.43</v>
      </c>
      <c r="E349">
        <v>2.5</v>
      </c>
      <c r="F349">
        <v>921</v>
      </c>
      <c r="G349" s="1">
        <v>540</v>
      </c>
      <c r="H349" s="1">
        <v>424</v>
      </c>
      <c r="I349" s="1">
        <v>569</v>
      </c>
      <c r="J349" s="1">
        <v>442</v>
      </c>
      <c r="K349" s="1">
        <v>894</v>
      </c>
      <c r="L349" s="1">
        <v>366</v>
      </c>
      <c r="M349" s="1">
        <v>754</v>
      </c>
      <c r="N349" s="1">
        <v>431</v>
      </c>
      <c r="O349" s="1">
        <v>540</v>
      </c>
      <c r="P349" s="1">
        <v>47</v>
      </c>
      <c r="Q349" s="1">
        <v>795</v>
      </c>
      <c r="R349" s="1">
        <v>661</v>
      </c>
      <c r="S349" s="1">
        <f>SUM(ecommerce_sales_all_data[[#This Row],[sales_month_1]:[sales_month_12]])</f>
        <v>6463</v>
      </c>
      <c r="T349" s="3">
        <f t="shared" si="70"/>
        <v>14812.2</v>
      </c>
      <c r="U349" s="3">
        <f t="shared" si="71"/>
        <v>11630.32</v>
      </c>
      <c r="V349" s="3">
        <f t="shared" si="72"/>
        <v>15607.67</v>
      </c>
      <c r="W349" s="3">
        <f t="shared" si="73"/>
        <v>12124.06</v>
      </c>
      <c r="X349" s="3">
        <f t="shared" si="74"/>
        <v>24522.42</v>
      </c>
      <c r="Y349" s="3">
        <f t="shared" si="75"/>
        <v>10039.379999999999</v>
      </c>
      <c r="Z349" s="3">
        <f t="shared" si="76"/>
        <v>20682.22</v>
      </c>
      <c r="AA349" s="3">
        <f t="shared" si="77"/>
        <v>11822.33</v>
      </c>
      <c r="AB349" s="3">
        <f t="shared" si="78"/>
        <v>14812.2</v>
      </c>
      <c r="AC349" s="3">
        <f t="shared" si="79"/>
        <v>1289.21</v>
      </c>
      <c r="AD349" s="3">
        <f t="shared" si="80"/>
        <v>21806.85</v>
      </c>
      <c r="AE349" s="3">
        <f t="shared" si="81"/>
        <v>18131.23</v>
      </c>
      <c r="AF349" s="3">
        <f>SUM(ecommerce_sales_all_data[[#This Row],[revenue_month_1]:[revenue_month_12]])</f>
        <v>177280.09000000003</v>
      </c>
    </row>
    <row r="350" spans="1:32" x14ac:dyDescent="0.3">
      <c r="A350">
        <v>349</v>
      </c>
      <c r="B350" t="s">
        <v>373</v>
      </c>
      <c r="C350" t="s">
        <v>19</v>
      </c>
      <c r="D350" s="2">
        <v>190.43</v>
      </c>
      <c r="E350">
        <v>5</v>
      </c>
      <c r="F350">
        <v>815</v>
      </c>
      <c r="G350" s="1">
        <v>170</v>
      </c>
      <c r="H350" s="1">
        <v>629</v>
      </c>
      <c r="I350" s="1">
        <v>287</v>
      </c>
      <c r="J350" s="1">
        <v>51</v>
      </c>
      <c r="K350" s="1">
        <v>96</v>
      </c>
      <c r="L350" s="1">
        <v>167</v>
      </c>
      <c r="M350" s="1">
        <v>296</v>
      </c>
      <c r="N350" s="1">
        <v>769</v>
      </c>
      <c r="O350" s="1">
        <v>638</v>
      </c>
      <c r="P350" s="1">
        <v>327</v>
      </c>
      <c r="Q350" s="1">
        <v>69</v>
      </c>
      <c r="R350" s="1">
        <v>805</v>
      </c>
      <c r="S350" s="1">
        <f>SUM(ecommerce_sales_all_data[[#This Row],[sales_month_1]:[sales_month_12]])</f>
        <v>4304</v>
      </c>
      <c r="T350" s="3">
        <f t="shared" si="70"/>
        <v>32373.100000000002</v>
      </c>
      <c r="U350" s="3">
        <f t="shared" si="71"/>
        <v>119780.47</v>
      </c>
      <c r="V350" s="3">
        <f t="shared" si="72"/>
        <v>54653.41</v>
      </c>
      <c r="W350" s="3">
        <f t="shared" si="73"/>
        <v>9711.93</v>
      </c>
      <c r="X350" s="3">
        <f t="shared" si="74"/>
        <v>18281.28</v>
      </c>
      <c r="Y350" s="3">
        <f t="shared" si="75"/>
        <v>31801.81</v>
      </c>
      <c r="Z350" s="3">
        <f t="shared" si="76"/>
        <v>56367.28</v>
      </c>
      <c r="AA350" s="3">
        <f t="shared" si="77"/>
        <v>146440.67000000001</v>
      </c>
      <c r="AB350" s="3">
        <f t="shared" si="78"/>
        <v>121494.34000000001</v>
      </c>
      <c r="AC350" s="3">
        <f t="shared" si="79"/>
        <v>62270.61</v>
      </c>
      <c r="AD350" s="3">
        <f t="shared" si="80"/>
        <v>13139.67</v>
      </c>
      <c r="AE350" s="3">
        <f t="shared" si="81"/>
        <v>153296.15</v>
      </c>
      <c r="AF350" s="3">
        <f>SUM(ecommerce_sales_all_data[[#This Row],[revenue_month_1]:[revenue_month_12]])</f>
        <v>819610.72000000009</v>
      </c>
    </row>
    <row r="351" spans="1:32" x14ac:dyDescent="0.3">
      <c r="A351">
        <v>350</v>
      </c>
      <c r="B351" t="s">
        <v>374</v>
      </c>
      <c r="C351" t="s">
        <v>26</v>
      </c>
      <c r="D351" s="2">
        <v>314.8</v>
      </c>
      <c r="E351">
        <v>1.2</v>
      </c>
      <c r="F351">
        <v>806</v>
      </c>
      <c r="G351" s="1">
        <v>408</v>
      </c>
      <c r="H351" s="1">
        <v>260</v>
      </c>
      <c r="I351" s="1">
        <v>976</v>
      </c>
      <c r="J351" s="1">
        <v>885</v>
      </c>
      <c r="K351" s="1">
        <v>512</v>
      </c>
      <c r="L351" s="1">
        <v>559</v>
      </c>
      <c r="M351" s="1">
        <v>210</v>
      </c>
      <c r="N351" s="1">
        <v>715</v>
      </c>
      <c r="O351" s="1">
        <v>849</v>
      </c>
      <c r="P351" s="1">
        <v>432</v>
      </c>
      <c r="Q351" s="1">
        <v>453</v>
      </c>
      <c r="R351" s="1">
        <v>242</v>
      </c>
      <c r="S351" s="1">
        <f>SUM(ecommerce_sales_all_data[[#This Row],[sales_month_1]:[sales_month_12]])</f>
        <v>6501</v>
      </c>
      <c r="T351" s="3">
        <f t="shared" si="70"/>
        <v>128438.40000000001</v>
      </c>
      <c r="U351" s="3">
        <f t="shared" si="71"/>
        <v>81848</v>
      </c>
      <c r="V351" s="3">
        <f t="shared" si="72"/>
        <v>307244.79999999999</v>
      </c>
      <c r="W351" s="3">
        <f t="shared" si="73"/>
        <v>278598</v>
      </c>
      <c r="X351" s="3">
        <f t="shared" si="74"/>
        <v>161177.60000000001</v>
      </c>
      <c r="Y351" s="3">
        <f t="shared" si="75"/>
        <v>175973.2</v>
      </c>
      <c r="Z351" s="3">
        <f t="shared" si="76"/>
        <v>66108</v>
      </c>
      <c r="AA351" s="3">
        <f t="shared" si="77"/>
        <v>225082</v>
      </c>
      <c r="AB351" s="3">
        <f t="shared" si="78"/>
        <v>267265.2</v>
      </c>
      <c r="AC351" s="3">
        <f t="shared" si="79"/>
        <v>135993.60000000001</v>
      </c>
      <c r="AD351" s="3">
        <f t="shared" si="80"/>
        <v>142604.4</v>
      </c>
      <c r="AE351" s="3">
        <f t="shared" si="81"/>
        <v>76181.600000000006</v>
      </c>
      <c r="AF351" s="3">
        <f>SUM(ecommerce_sales_all_data[[#This Row],[revenue_month_1]:[revenue_month_12]])</f>
        <v>2046514.8</v>
      </c>
    </row>
    <row r="352" spans="1:32" x14ac:dyDescent="0.3">
      <c r="A352">
        <v>351</v>
      </c>
      <c r="B352" t="s">
        <v>375</v>
      </c>
      <c r="C352" t="s">
        <v>19</v>
      </c>
      <c r="D352" s="2">
        <v>254.05</v>
      </c>
      <c r="E352">
        <v>4.5</v>
      </c>
      <c r="F352">
        <v>143</v>
      </c>
      <c r="G352" s="1">
        <v>739</v>
      </c>
      <c r="H352" s="1">
        <v>425</v>
      </c>
      <c r="I352" s="1">
        <v>104</v>
      </c>
      <c r="J352" s="1">
        <v>942</v>
      </c>
      <c r="K352" s="1">
        <v>215</v>
      </c>
      <c r="L352" s="1">
        <v>50</v>
      </c>
      <c r="M352" s="1">
        <v>122</v>
      </c>
      <c r="N352" s="1">
        <v>821</v>
      </c>
      <c r="O352" s="1">
        <v>521</v>
      </c>
      <c r="P352" s="1">
        <v>430</v>
      </c>
      <c r="Q352" s="1">
        <v>438</v>
      </c>
      <c r="R352" s="1">
        <v>786</v>
      </c>
      <c r="S352" s="1">
        <f>SUM(ecommerce_sales_all_data[[#This Row],[sales_month_1]:[sales_month_12]])</f>
        <v>5593</v>
      </c>
      <c r="T352" s="3">
        <f t="shared" si="70"/>
        <v>187742.95</v>
      </c>
      <c r="U352" s="3">
        <f t="shared" si="71"/>
        <v>107971.25</v>
      </c>
      <c r="V352" s="3">
        <f t="shared" si="72"/>
        <v>26421.200000000001</v>
      </c>
      <c r="W352" s="3">
        <f t="shared" si="73"/>
        <v>239315.1</v>
      </c>
      <c r="X352" s="3">
        <f t="shared" si="74"/>
        <v>54620.75</v>
      </c>
      <c r="Y352" s="3">
        <f t="shared" si="75"/>
        <v>12702.5</v>
      </c>
      <c r="Z352" s="3">
        <f t="shared" si="76"/>
        <v>30994.100000000002</v>
      </c>
      <c r="AA352" s="3">
        <f t="shared" si="77"/>
        <v>208575.05000000002</v>
      </c>
      <c r="AB352" s="3">
        <f t="shared" si="78"/>
        <v>132360.05000000002</v>
      </c>
      <c r="AC352" s="3">
        <f t="shared" si="79"/>
        <v>109241.5</v>
      </c>
      <c r="AD352" s="3">
        <f t="shared" si="80"/>
        <v>111273.90000000001</v>
      </c>
      <c r="AE352" s="3">
        <f t="shared" si="81"/>
        <v>199683.30000000002</v>
      </c>
      <c r="AF352" s="3">
        <f>SUM(ecommerce_sales_all_data[[#This Row],[revenue_month_1]:[revenue_month_12]])</f>
        <v>1420901.6500000001</v>
      </c>
    </row>
    <row r="353" spans="1:32" x14ac:dyDescent="0.3">
      <c r="A353">
        <v>352</v>
      </c>
      <c r="B353" t="s">
        <v>376</v>
      </c>
      <c r="C353" t="s">
        <v>23</v>
      </c>
      <c r="D353" s="2">
        <v>428.96</v>
      </c>
      <c r="E353">
        <v>3.3</v>
      </c>
      <c r="F353">
        <v>191</v>
      </c>
      <c r="G353" s="1">
        <v>377</v>
      </c>
      <c r="H353" s="1">
        <v>86</v>
      </c>
      <c r="I353" s="1">
        <v>227</v>
      </c>
      <c r="J353" s="1">
        <v>375</v>
      </c>
      <c r="K353" s="1">
        <v>131</v>
      </c>
      <c r="L353" s="1">
        <v>810</v>
      </c>
      <c r="M353" s="1">
        <v>228</v>
      </c>
      <c r="N353" s="1">
        <v>773</v>
      </c>
      <c r="O353" s="1">
        <v>105</v>
      </c>
      <c r="P353" s="1">
        <v>55</v>
      </c>
      <c r="Q353" s="1">
        <v>824</v>
      </c>
      <c r="R353" s="1">
        <v>719</v>
      </c>
      <c r="S353" s="1">
        <f>SUM(ecommerce_sales_all_data[[#This Row],[sales_month_1]:[sales_month_12]])</f>
        <v>4710</v>
      </c>
      <c r="T353" s="3">
        <f t="shared" si="70"/>
        <v>161717.91999999998</v>
      </c>
      <c r="U353" s="3">
        <f t="shared" si="71"/>
        <v>36890.559999999998</v>
      </c>
      <c r="V353" s="3">
        <f t="shared" si="72"/>
        <v>97373.92</v>
      </c>
      <c r="W353" s="3">
        <f t="shared" si="73"/>
        <v>160860</v>
      </c>
      <c r="X353" s="3">
        <f t="shared" si="74"/>
        <v>56193.759999999995</v>
      </c>
      <c r="Y353" s="3">
        <f t="shared" si="75"/>
        <v>347457.6</v>
      </c>
      <c r="Z353" s="3">
        <f t="shared" si="76"/>
        <v>97802.87999999999</v>
      </c>
      <c r="AA353" s="3">
        <f t="shared" si="77"/>
        <v>331586.07999999996</v>
      </c>
      <c r="AB353" s="3">
        <f t="shared" si="78"/>
        <v>45040.799999999996</v>
      </c>
      <c r="AC353" s="3">
        <f t="shared" si="79"/>
        <v>23592.799999999999</v>
      </c>
      <c r="AD353" s="3">
        <f t="shared" si="80"/>
        <v>353463.03999999998</v>
      </c>
      <c r="AE353" s="3">
        <f t="shared" si="81"/>
        <v>308422.24</v>
      </c>
      <c r="AF353" s="3">
        <f>SUM(ecommerce_sales_all_data[[#This Row],[revenue_month_1]:[revenue_month_12]])</f>
        <v>2020401.6</v>
      </c>
    </row>
    <row r="354" spans="1:32" x14ac:dyDescent="0.3">
      <c r="A354">
        <v>353</v>
      </c>
      <c r="B354" t="s">
        <v>377</v>
      </c>
      <c r="C354" t="s">
        <v>21</v>
      </c>
      <c r="D354" s="2">
        <v>331.05</v>
      </c>
      <c r="E354">
        <v>2.8</v>
      </c>
      <c r="F354">
        <v>533</v>
      </c>
      <c r="G354" s="1">
        <v>187</v>
      </c>
      <c r="H354" s="1">
        <v>464</v>
      </c>
      <c r="I354" s="1">
        <v>246</v>
      </c>
      <c r="J354" s="1">
        <v>262</v>
      </c>
      <c r="K354" s="1">
        <v>259</v>
      </c>
      <c r="L354" s="1">
        <v>609</v>
      </c>
      <c r="M354" s="1">
        <v>593</v>
      </c>
      <c r="N354" s="1">
        <v>618</v>
      </c>
      <c r="O354" s="1">
        <v>678</v>
      </c>
      <c r="P354" s="1">
        <v>576</v>
      </c>
      <c r="Q354" s="1">
        <v>363</v>
      </c>
      <c r="R354" s="1">
        <v>414</v>
      </c>
      <c r="S354" s="1">
        <f>SUM(ecommerce_sales_all_data[[#This Row],[sales_month_1]:[sales_month_12]])</f>
        <v>5269</v>
      </c>
      <c r="T354" s="3">
        <f t="shared" si="70"/>
        <v>61906.35</v>
      </c>
      <c r="U354" s="3">
        <f t="shared" si="71"/>
        <v>153607.20000000001</v>
      </c>
      <c r="V354" s="3">
        <f t="shared" si="72"/>
        <v>81438.3</v>
      </c>
      <c r="W354" s="3">
        <f t="shared" si="73"/>
        <v>86735.1</v>
      </c>
      <c r="X354" s="3">
        <f t="shared" si="74"/>
        <v>85741.95</v>
      </c>
      <c r="Y354" s="3">
        <f t="shared" si="75"/>
        <v>201609.45</v>
      </c>
      <c r="Z354" s="3">
        <f t="shared" si="76"/>
        <v>196312.65</v>
      </c>
      <c r="AA354" s="3">
        <f t="shared" si="77"/>
        <v>204588.9</v>
      </c>
      <c r="AB354" s="3">
        <f t="shared" si="78"/>
        <v>224451.9</v>
      </c>
      <c r="AC354" s="3">
        <f t="shared" si="79"/>
        <v>190684.80000000002</v>
      </c>
      <c r="AD354" s="3">
        <f t="shared" si="80"/>
        <v>120171.15000000001</v>
      </c>
      <c r="AE354" s="3">
        <f t="shared" si="81"/>
        <v>137054.70000000001</v>
      </c>
      <c r="AF354" s="3">
        <f>SUM(ecommerce_sales_all_data[[#This Row],[revenue_month_1]:[revenue_month_12]])</f>
        <v>1744302.45</v>
      </c>
    </row>
    <row r="355" spans="1:32" x14ac:dyDescent="0.3">
      <c r="A355">
        <v>354</v>
      </c>
      <c r="B355" t="s">
        <v>378</v>
      </c>
      <c r="C355" t="s">
        <v>19</v>
      </c>
      <c r="D355" s="2">
        <v>85.65</v>
      </c>
      <c r="E355">
        <v>3.9</v>
      </c>
      <c r="F355">
        <v>227</v>
      </c>
      <c r="G355" s="1">
        <v>857</v>
      </c>
      <c r="H355" s="1">
        <v>75</v>
      </c>
      <c r="I355" s="1">
        <v>699</v>
      </c>
      <c r="J355" s="1">
        <v>266</v>
      </c>
      <c r="K355" s="1">
        <v>124</v>
      </c>
      <c r="L355" s="1">
        <v>950</v>
      </c>
      <c r="M355" s="1">
        <v>655</v>
      </c>
      <c r="N355" s="1">
        <v>762</v>
      </c>
      <c r="O355" s="1">
        <v>977</v>
      </c>
      <c r="P355" s="1">
        <v>267</v>
      </c>
      <c r="Q355" s="1">
        <v>982</v>
      </c>
      <c r="R355" s="1">
        <v>626</v>
      </c>
      <c r="S355" s="1">
        <f>SUM(ecommerce_sales_all_data[[#This Row],[sales_month_1]:[sales_month_12]])</f>
        <v>7240</v>
      </c>
      <c r="T355" s="3">
        <f t="shared" si="70"/>
        <v>73402.05</v>
      </c>
      <c r="U355" s="3">
        <f t="shared" si="71"/>
        <v>6423.75</v>
      </c>
      <c r="V355" s="3">
        <f t="shared" si="72"/>
        <v>59869.350000000006</v>
      </c>
      <c r="W355" s="3">
        <f t="shared" si="73"/>
        <v>22782.9</v>
      </c>
      <c r="X355" s="3">
        <f t="shared" si="74"/>
        <v>10620.6</v>
      </c>
      <c r="Y355" s="3">
        <f t="shared" si="75"/>
        <v>81367.5</v>
      </c>
      <c r="Z355" s="3">
        <f t="shared" si="76"/>
        <v>56100.750000000007</v>
      </c>
      <c r="AA355" s="3">
        <f t="shared" si="77"/>
        <v>65265.3</v>
      </c>
      <c r="AB355" s="3">
        <f t="shared" si="78"/>
        <v>83680.05</v>
      </c>
      <c r="AC355" s="3">
        <f t="shared" si="79"/>
        <v>22868.550000000003</v>
      </c>
      <c r="AD355" s="3">
        <f t="shared" si="80"/>
        <v>84108.3</v>
      </c>
      <c r="AE355" s="3">
        <f t="shared" si="81"/>
        <v>53616.9</v>
      </c>
      <c r="AF355" s="3">
        <f>SUM(ecommerce_sales_all_data[[#This Row],[revenue_month_1]:[revenue_month_12]])</f>
        <v>620106</v>
      </c>
    </row>
    <row r="356" spans="1:32" x14ac:dyDescent="0.3">
      <c r="A356">
        <v>355</v>
      </c>
      <c r="B356" t="s">
        <v>379</v>
      </c>
      <c r="C356" t="s">
        <v>19</v>
      </c>
      <c r="D356" s="2">
        <v>39.93</v>
      </c>
      <c r="E356">
        <v>2.9</v>
      </c>
      <c r="F356">
        <v>313</v>
      </c>
      <c r="G356" s="1">
        <v>229</v>
      </c>
      <c r="H356" s="1">
        <v>470</v>
      </c>
      <c r="I356" s="1">
        <v>493</v>
      </c>
      <c r="J356" s="1">
        <v>358</v>
      </c>
      <c r="K356" s="1">
        <v>81</v>
      </c>
      <c r="L356" s="1">
        <v>727</v>
      </c>
      <c r="M356" s="1">
        <v>387</v>
      </c>
      <c r="N356" s="1">
        <v>935</v>
      </c>
      <c r="O356" s="1">
        <v>768</v>
      </c>
      <c r="P356" s="1">
        <v>68</v>
      </c>
      <c r="Q356" s="1">
        <v>765</v>
      </c>
      <c r="R356" s="1">
        <v>706</v>
      </c>
      <c r="S356" s="1">
        <f>SUM(ecommerce_sales_all_data[[#This Row],[sales_month_1]:[sales_month_12]])</f>
        <v>5987</v>
      </c>
      <c r="T356" s="3">
        <f t="shared" si="70"/>
        <v>9143.9699999999993</v>
      </c>
      <c r="U356" s="3">
        <f t="shared" si="71"/>
        <v>18767.099999999999</v>
      </c>
      <c r="V356" s="3">
        <f t="shared" si="72"/>
        <v>19685.490000000002</v>
      </c>
      <c r="W356" s="3">
        <f t="shared" si="73"/>
        <v>14294.94</v>
      </c>
      <c r="X356" s="3">
        <f t="shared" si="74"/>
        <v>3234.33</v>
      </c>
      <c r="Y356" s="3">
        <f t="shared" si="75"/>
        <v>29029.11</v>
      </c>
      <c r="Z356" s="3">
        <f t="shared" si="76"/>
        <v>15452.91</v>
      </c>
      <c r="AA356" s="3">
        <f t="shared" si="77"/>
        <v>37334.550000000003</v>
      </c>
      <c r="AB356" s="3">
        <f t="shared" si="78"/>
        <v>30666.239999999998</v>
      </c>
      <c r="AC356" s="3">
        <f t="shared" si="79"/>
        <v>2715.24</v>
      </c>
      <c r="AD356" s="3">
        <f t="shared" si="80"/>
        <v>30546.45</v>
      </c>
      <c r="AE356" s="3">
        <f t="shared" si="81"/>
        <v>28190.579999999998</v>
      </c>
      <c r="AF356" s="3">
        <f>SUM(ecommerce_sales_all_data[[#This Row],[revenue_month_1]:[revenue_month_12]])</f>
        <v>239060.91</v>
      </c>
    </row>
    <row r="357" spans="1:32" x14ac:dyDescent="0.3">
      <c r="A357">
        <v>356</v>
      </c>
      <c r="B357" t="s">
        <v>380</v>
      </c>
      <c r="C357" t="s">
        <v>48</v>
      </c>
      <c r="D357" s="2">
        <v>323</v>
      </c>
      <c r="E357">
        <v>4.5</v>
      </c>
      <c r="F357">
        <v>629</v>
      </c>
      <c r="G357" s="1">
        <v>832</v>
      </c>
      <c r="H357" s="1">
        <v>975</v>
      </c>
      <c r="I357" s="1">
        <v>82</v>
      </c>
      <c r="J357" s="1">
        <v>316</v>
      </c>
      <c r="K357" s="1">
        <v>282</v>
      </c>
      <c r="L357" s="1">
        <v>688</v>
      </c>
      <c r="M357" s="1">
        <v>139</v>
      </c>
      <c r="N357" s="1">
        <v>220</v>
      </c>
      <c r="O357" s="1">
        <v>806</v>
      </c>
      <c r="P357" s="1">
        <v>727</v>
      </c>
      <c r="Q357" s="1">
        <v>480</v>
      </c>
      <c r="R357" s="1">
        <v>342</v>
      </c>
      <c r="S357" s="1">
        <f>SUM(ecommerce_sales_all_data[[#This Row],[sales_month_1]:[sales_month_12]])</f>
        <v>5889</v>
      </c>
      <c r="T357" s="3">
        <f t="shared" si="70"/>
        <v>268736</v>
      </c>
      <c r="U357" s="3">
        <f t="shared" si="71"/>
        <v>314925</v>
      </c>
      <c r="V357" s="3">
        <f t="shared" si="72"/>
        <v>26486</v>
      </c>
      <c r="W357" s="3">
        <f t="shared" si="73"/>
        <v>102068</v>
      </c>
      <c r="X357" s="3">
        <f t="shared" si="74"/>
        <v>91086</v>
      </c>
      <c r="Y357" s="3">
        <f t="shared" si="75"/>
        <v>222224</v>
      </c>
      <c r="Z357" s="3">
        <f t="shared" si="76"/>
        <v>44897</v>
      </c>
      <c r="AA357" s="3">
        <f t="shared" si="77"/>
        <v>71060</v>
      </c>
      <c r="AB357" s="3">
        <f t="shared" si="78"/>
        <v>260338</v>
      </c>
      <c r="AC357" s="3">
        <f t="shared" si="79"/>
        <v>234821</v>
      </c>
      <c r="AD357" s="3">
        <f t="shared" si="80"/>
        <v>155040</v>
      </c>
      <c r="AE357" s="3">
        <f t="shared" si="81"/>
        <v>110466</v>
      </c>
      <c r="AF357" s="3">
        <f>SUM(ecommerce_sales_all_data[[#This Row],[revenue_month_1]:[revenue_month_12]])</f>
        <v>1902147</v>
      </c>
    </row>
    <row r="358" spans="1:32" x14ac:dyDescent="0.3">
      <c r="A358">
        <v>357</v>
      </c>
      <c r="B358" t="s">
        <v>381</v>
      </c>
      <c r="C358" t="s">
        <v>29</v>
      </c>
      <c r="D358" s="2">
        <v>18.12</v>
      </c>
      <c r="E358">
        <v>4.5999999999999996</v>
      </c>
      <c r="F358">
        <v>949</v>
      </c>
      <c r="G358" s="1">
        <v>851</v>
      </c>
      <c r="H358" s="1">
        <v>962</v>
      </c>
      <c r="I358" s="1">
        <v>185</v>
      </c>
      <c r="J358" s="1">
        <v>323</v>
      </c>
      <c r="K358" s="1">
        <v>682</v>
      </c>
      <c r="L358" s="1">
        <v>379</v>
      </c>
      <c r="M358" s="1">
        <v>540</v>
      </c>
      <c r="N358" s="1">
        <v>378</v>
      </c>
      <c r="O358" s="1">
        <v>276</v>
      </c>
      <c r="P358" s="1">
        <v>901</v>
      </c>
      <c r="Q358" s="1">
        <v>143</v>
      </c>
      <c r="R358" s="1">
        <v>681</v>
      </c>
      <c r="S358" s="1">
        <f>SUM(ecommerce_sales_all_data[[#This Row],[sales_month_1]:[sales_month_12]])</f>
        <v>6301</v>
      </c>
      <c r="T358" s="3">
        <f t="shared" si="70"/>
        <v>15420.12</v>
      </c>
      <c r="U358" s="3">
        <f t="shared" si="71"/>
        <v>17431.440000000002</v>
      </c>
      <c r="V358" s="3">
        <f t="shared" si="72"/>
        <v>3352.2000000000003</v>
      </c>
      <c r="W358" s="3">
        <f t="shared" si="73"/>
        <v>5852.76</v>
      </c>
      <c r="X358" s="3">
        <f t="shared" si="74"/>
        <v>12357.84</v>
      </c>
      <c r="Y358" s="3">
        <f t="shared" si="75"/>
        <v>6867.4800000000005</v>
      </c>
      <c r="Z358" s="3">
        <f t="shared" si="76"/>
        <v>9784.8000000000011</v>
      </c>
      <c r="AA358" s="3">
        <f t="shared" si="77"/>
        <v>6849.3600000000006</v>
      </c>
      <c r="AB358" s="3">
        <f t="shared" si="78"/>
        <v>5001.12</v>
      </c>
      <c r="AC358" s="3">
        <f t="shared" si="79"/>
        <v>16326.12</v>
      </c>
      <c r="AD358" s="3">
        <f t="shared" si="80"/>
        <v>2591.1600000000003</v>
      </c>
      <c r="AE358" s="3">
        <f t="shared" si="81"/>
        <v>12339.720000000001</v>
      </c>
      <c r="AF358" s="3">
        <f>SUM(ecommerce_sales_all_data[[#This Row],[revenue_month_1]:[revenue_month_12]])</f>
        <v>114174.12</v>
      </c>
    </row>
    <row r="359" spans="1:32" x14ac:dyDescent="0.3">
      <c r="A359">
        <v>358</v>
      </c>
      <c r="B359" t="s">
        <v>382</v>
      </c>
      <c r="C359" t="s">
        <v>23</v>
      </c>
      <c r="D359" s="2">
        <v>294.95999999999998</v>
      </c>
      <c r="E359">
        <v>2.7</v>
      </c>
      <c r="F359">
        <v>302</v>
      </c>
      <c r="G359" s="1">
        <v>118</v>
      </c>
      <c r="H359" s="1">
        <v>413</v>
      </c>
      <c r="I359" s="1">
        <v>251</v>
      </c>
      <c r="J359" s="1">
        <v>920</v>
      </c>
      <c r="K359" s="1">
        <v>58</v>
      </c>
      <c r="L359" s="1">
        <v>473</v>
      </c>
      <c r="M359" s="1">
        <v>390</v>
      </c>
      <c r="N359" s="1">
        <v>221</v>
      </c>
      <c r="O359" s="1">
        <v>64</v>
      </c>
      <c r="P359" s="1">
        <v>600</v>
      </c>
      <c r="Q359" s="1">
        <v>23</v>
      </c>
      <c r="R359" s="1">
        <v>378</v>
      </c>
      <c r="S359" s="1">
        <f>SUM(ecommerce_sales_all_data[[#This Row],[sales_month_1]:[sales_month_12]])</f>
        <v>3909</v>
      </c>
      <c r="T359" s="3">
        <f t="shared" si="70"/>
        <v>34805.279999999999</v>
      </c>
      <c r="U359" s="3">
        <f t="shared" si="71"/>
        <v>121818.48</v>
      </c>
      <c r="V359" s="3">
        <f t="shared" si="72"/>
        <v>74034.959999999992</v>
      </c>
      <c r="W359" s="3">
        <f t="shared" si="73"/>
        <v>271363.19999999995</v>
      </c>
      <c r="X359" s="3">
        <f t="shared" si="74"/>
        <v>17107.68</v>
      </c>
      <c r="Y359" s="3">
        <f t="shared" si="75"/>
        <v>139516.07999999999</v>
      </c>
      <c r="Z359" s="3">
        <f t="shared" si="76"/>
        <v>115034.4</v>
      </c>
      <c r="AA359" s="3">
        <f t="shared" si="77"/>
        <v>65186.159999999996</v>
      </c>
      <c r="AB359" s="3">
        <f t="shared" si="78"/>
        <v>18877.439999999999</v>
      </c>
      <c r="AC359" s="3">
        <f t="shared" si="79"/>
        <v>176976</v>
      </c>
      <c r="AD359" s="3">
        <f t="shared" si="80"/>
        <v>6784.08</v>
      </c>
      <c r="AE359" s="3">
        <f t="shared" si="81"/>
        <v>111494.87999999999</v>
      </c>
      <c r="AF359" s="3">
        <f>SUM(ecommerce_sales_all_data[[#This Row],[revenue_month_1]:[revenue_month_12]])</f>
        <v>1152998.6399999999</v>
      </c>
    </row>
    <row r="360" spans="1:32" x14ac:dyDescent="0.3">
      <c r="A360">
        <v>359</v>
      </c>
      <c r="B360" t="s">
        <v>383</v>
      </c>
      <c r="C360" t="s">
        <v>19</v>
      </c>
      <c r="D360" s="2">
        <v>470.41</v>
      </c>
      <c r="E360">
        <v>2.1</v>
      </c>
      <c r="F360">
        <v>654</v>
      </c>
      <c r="G360" s="1">
        <v>155</v>
      </c>
      <c r="H360" s="1">
        <v>824</v>
      </c>
      <c r="I360" s="1">
        <v>354</v>
      </c>
      <c r="J360" s="1">
        <v>907</v>
      </c>
      <c r="K360" s="1">
        <v>543</v>
      </c>
      <c r="L360" s="1">
        <v>79</v>
      </c>
      <c r="M360" s="1">
        <v>269</v>
      </c>
      <c r="N360" s="1">
        <v>257</v>
      </c>
      <c r="O360" s="1">
        <v>782</v>
      </c>
      <c r="P360" s="1">
        <v>448</v>
      </c>
      <c r="Q360" s="1">
        <v>964</v>
      </c>
      <c r="R360" s="1">
        <v>593</v>
      </c>
      <c r="S360" s="1">
        <f>SUM(ecommerce_sales_all_data[[#This Row],[sales_month_1]:[sales_month_12]])</f>
        <v>6175</v>
      </c>
      <c r="T360" s="3">
        <f t="shared" si="70"/>
        <v>72913.55</v>
      </c>
      <c r="U360" s="3">
        <f t="shared" si="71"/>
        <v>387617.84</v>
      </c>
      <c r="V360" s="3">
        <f t="shared" si="72"/>
        <v>166525.14000000001</v>
      </c>
      <c r="W360" s="3">
        <f t="shared" si="73"/>
        <v>426661.87</v>
      </c>
      <c r="X360" s="3">
        <f t="shared" si="74"/>
        <v>255432.63</v>
      </c>
      <c r="Y360" s="3">
        <f t="shared" si="75"/>
        <v>37162.39</v>
      </c>
      <c r="Z360" s="3">
        <f t="shared" si="76"/>
        <v>126540.29000000001</v>
      </c>
      <c r="AA360" s="3">
        <f t="shared" si="77"/>
        <v>120895.37000000001</v>
      </c>
      <c r="AB360" s="3">
        <f t="shared" si="78"/>
        <v>367860.62</v>
      </c>
      <c r="AC360" s="3">
        <f t="shared" si="79"/>
        <v>210743.68000000002</v>
      </c>
      <c r="AD360" s="3">
        <f t="shared" si="80"/>
        <v>453475.24000000005</v>
      </c>
      <c r="AE360" s="3">
        <f t="shared" si="81"/>
        <v>278953.13</v>
      </c>
      <c r="AF360" s="3">
        <f>SUM(ecommerce_sales_all_data[[#This Row],[revenue_month_1]:[revenue_month_12]])</f>
        <v>2904781.75</v>
      </c>
    </row>
    <row r="361" spans="1:32" x14ac:dyDescent="0.3">
      <c r="A361">
        <v>360</v>
      </c>
      <c r="B361" t="s">
        <v>384</v>
      </c>
      <c r="C361" t="s">
        <v>23</v>
      </c>
      <c r="D361" s="2">
        <v>289.86</v>
      </c>
      <c r="E361">
        <v>3.4</v>
      </c>
      <c r="F361">
        <v>996</v>
      </c>
      <c r="G361" s="1">
        <v>783</v>
      </c>
      <c r="H361" s="1">
        <v>894</v>
      </c>
      <c r="I361" s="1">
        <v>749</v>
      </c>
      <c r="J361" s="1">
        <v>665</v>
      </c>
      <c r="K361" s="1">
        <v>160</v>
      </c>
      <c r="L361" s="1">
        <v>696</v>
      </c>
      <c r="M361" s="1">
        <v>758</v>
      </c>
      <c r="N361" s="1">
        <v>712</v>
      </c>
      <c r="O361" s="1">
        <v>899</v>
      </c>
      <c r="P361" s="1">
        <v>792</v>
      </c>
      <c r="Q361" s="1">
        <v>424</v>
      </c>
      <c r="R361" s="1">
        <v>665</v>
      </c>
      <c r="S361" s="1">
        <f>SUM(ecommerce_sales_all_data[[#This Row],[sales_month_1]:[sales_month_12]])</f>
        <v>8197</v>
      </c>
      <c r="T361" s="3">
        <f t="shared" si="70"/>
        <v>226960.38</v>
      </c>
      <c r="U361" s="3">
        <f t="shared" si="71"/>
        <v>259134.84000000003</v>
      </c>
      <c r="V361" s="3">
        <f t="shared" si="72"/>
        <v>217105.14</v>
      </c>
      <c r="W361" s="3">
        <f t="shared" si="73"/>
        <v>192756.90000000002</v>
      </c>
      <c r="X361" s="3">
        <f t="shared" si="74"/>
        <v>46377.600000000006</v>
      </c>
      <c r="Y361" s="3">
        <f t="shared" si="75"/>
        <v>201742.56</v>
      </c>
      <c r="Z361" s="3">
        <f t="shared" si="76"/>
        <v>219713.88</v>
      </c>
      <c r="AA361" s="3">
        <f t="shared" si="77"/>
        <v>206380.32</v>
      </c>
      <c r="AB361" s="3">
        <f t="shared" si="78"/>
        <v>260584.14</v>
      </c>
      <c r="AC361" s="3">
        <f t="shared" si="79"/>
        <v>229569.12000000002</v>
      </c>
      <c r="AD361" s="3">
        <f t="shared" si="80"/>
        <v>122900.64</v>
      </c>
      <c r="AE361" s="3">
        <f t="shared" si="81"/>
        <v>192756.90000000002</v>
      </c>
      <c r="AF361" s="3">
        <f>SUM(ecommerce_sales_all_data[[#This Row],[revenue_month_1]:[revenue_month_12]])</f>
        <v>2375982.4200000004</v>
      </c>
    </row>
    <row r="362" spans="1:32" x14ac:dyDescent="0.3">
      <c r="A362">
        <v>361</v>
      </c>
      <c r="B362" t="s">
        <v>385</v>
      </c>
      <c r="C362" t="s">
        <v>29</v>
      </c>
      <c r="D362" s="2">
        <v>197.14</v>
      </c>
      <c r="E362">
        <v>4.5999999999999996</v>
      </c>
      <c r="F362">
        <v>460</v>
      </c>
      <c r="G362" s="1">
        <v>686</v>
      </c>
      <c r="H362" s="1">
        <v>725</v>
      </c>
      <c r="I362" s="1">
        <v>871</v>
      </c>
      <c r="J362" s="1">
        <v>869</v>
      </c>
      <c r="K362" s="1">
        <v>283</v>
      </c>
      <c r="L362" s="1">
        <v>366</v>
      </c>
      <c r="M362" s="1">
        <v>11</v>
      </c>
      <c r="N362" s="1">
        <v>366</v>
      </c>
      <c r="O362" s="1">
        <v>187</v>
      </c>
      <c r="P362" s="1">
        <v>256</v>
      </c>
      <c r="Q362" s="1">
        <v>745</v>
      </c>
      <c r="R362" s="1">
        <v>652</v>
      </c>
      <c r="S362" s="1">
        <f>SUM(ecommerce_sales_all_data[[#This Row],[sales_month_1]:[sales_month_12]])</f>
        <v>6017</v>
      </c>
      <c r="T362" s="3">
        <f t="shared" si="70"/>
        <v>135238.03999999998</v>
      </c>
      <c r="U362" s="3">
        <f t="shared" si="71"/>
        <v>142926.5</v>
      </c>
      <c r="V362" s="3">
        <f t="shared" si="72"/>
        <v>171708.94</v>
      </c>
      <c r="W362" s="3">
        <f t="shared" si="73"/>
        <v>171314.65999999997</v>
      </c>
      <c r="X362" s="3">
        <f t="shared" si="74"/>
        <v>55790.619999999995</v>
      </c>
      <c r="Y362" s="3">
        <f t="shared" si="75"/>
        <v>72153.239999999991</v>
      </c>
      <c r="Z362" s="3">
        <f t="shared" si="76"/>
        <v>2168.54</v>
      </c>
      <c r="AA362" s="3">
        <f t="shared" si="77"/>
        <v>72153.239999999991</v>
      </c>
      <c r="AB362" s="3">
        <f t="shared" si="78"/>
        <v>36865.18</v>
      </c>
      <c r="AC362" s="3">
        <f t="shared" si="79"/>
        <v>50467.839999999997</v>
      </c>
      <c r="AD362" s="3">
        <f t="shared" si="80"/>
        <v>146869.29999999999</v>
      </c>
      <c r="AE362" s="3">
        <f t="shared" si="81"/>
        <v>128535.27999999998</v>
      </c>
      <c r="AF362" s="3">
        <f>SUM(ecommerce_sales_all_data[[#This Row],[revenue_month_1]:[revenue_month_12]])</f>
        <v>1186191.3799999999</v>
      </c>
    </row>
    <row r="363" spans="1:32" x14ac:dyDescent="0.3">
      <c r="A363">
        <v>362</v>
      </c>
      <c r="B363" t="s">
        <v>386</v>
      </c>
      <c r="C363" t="s">
        <v>48</v>
      </c>
      <c r="D363" s="2">
        <v>323.43</v>
      </c>
      <c r="E363">
        <v>1.8</v>
      </c>
      <c r="F363">
        <v>401</v>
      </c>
      <c r="G363" s="1">
        <v>464</v>
      </c>
      <c r="H363" s="1">
        <v>456</v>
      </c>
      <c r="I363" s="1">
        <v>695</v>
      </c>
      <c r="J363" s="1">
        <v>877</v>
      </c>
      <c r="K363" s="1">
        <v>105</v>
      </c>
      <c r="L363" s="1">
        <v>460</v>
      </c>
      <c r="M363" s="1">
        <v>866</v>
      </c>
      <c r="N363" s="1">
        <v>769</v>
      </c>
      <c r="O363" s="1">
        <v>316</v>
      </c>
      <c r="P363" s="1">
        <v>671</v>
      </c>
      <c r="Q363" s="1">
        <v>844</v>
      </c>
      <c r="R363" s="1">
        <v>825</v>
      </c>
      <c r="S363" s="1">
        <f>SUM(ecommerce_sales_all_data[[#This Row],[sales_month_1]:[sales_month_12]])</f>
        <v>7348</v>
      </c>
      <c r="T363" s="3">
        <f t="shared" si="70"/>
        <v>150071.51999999999</v>
      </c>
      <c r="U363" s="3">
        <f t="shared" si="71"/>
        <v>147484.08000000002</v>
      </c>
      <c r="V363" s="3">
        <f t="shared" si="72"/>
        <v>224783.85</v>
      </c>
      <c r="W363" s="3">
        <f t="shared" si="73"/>
        <v>283648.11</v>
      </c>
      <c r="X363" s="3">
        <f t="shared" si="74"/>
        <v>33960.15</v>
      </c>
      <c r="Y363" s="3">
        <f t="shared" si="75"/>
        <v>148777.80000000002</v>
      </c>
      <c r="Z363" s="3">
        <f t="shared" si="76"/>
        <v>280090.38</v>
      </c>
      <c r="AA363" s="3">
        <f t="shared" si="77"/>
        <v>248717.67</v>
      </c>
      <c r="AB363" s="3">
        <f t="shared" si="78"/>
        <v>102203.88</v>
      </c>
      <c r="AC363" s="3">
        <f t="shared" si="79"/>
        <v>217021.53</v>
      </c>
      <c r="AD363" s="3">
        <f t="shared" si="80"/>
        <v>272974.92</v>
      </c>
      <c r="AE363" s="3">
        <f t="shared" si="81"/>
        <v>266829.75</v>
      </c>
      <c r="AF363" s="3">
        <f>SUM(ecommerce_sales_all_data[[#This Row],[revenue_month_1]:[revenue_month_12]])</f>
        <v>2376563.64</v>
      </c>
    </row>
    <row r="364" spans="1:32" x14ac:dyDescent="0.3">
      <c r="A364">
        <v>363</v>
      </c>
      <c r="B364" t="s">
        <v>387</v>
      </c>
      <c r="C364" t="s">
        <v>23</v>
      </c>
      <c r="D364" s="2">
        <v>231.84</v>
      </c>
      <c r="E364">
        <v>3.5</v>
      </c>
      <c r="F364">
        <v>551</v>
      </c>
      <c r="G364" s="1">
        <v>103</v>
      </c>
      <c r="H364" s="1">
        <v>284</v>
      </c>
      <c r="I364" s="1">
        <v>795</v>
      </c>
      <c r="J364" s="1">
        <v>651</v>
      </c>
      <c r="K364" s="1">
        <v>104</v>
      </c>
      <c r="L364" s="1">
        <v>910</v>
      </c>
      <c r="M364" s="1">
        <v>388</v>
      </c>
      <c r="N364" s="1">
        <v>348</v>
      </c>
      <c r="O364" s="1">
        <v>915</v>
      </c>
      <c r="P364" s="1">
        <v>489</v>
      </c>
      <c r="Q364" s="1">
        <v>174</v>
      </c>
      <c r="R364" s="1">
        <v>145</v>
      </c>
      <c r="S364" s="1">
        <f>SUM(ecommerce_sales_all_data[[#This Row],[sales_month_1]:[sales_month_12]])</f>
        <v>5306</v>
      </c>
      <c r="T364" s="3">
        <f t="shared" si="70"/>
        <v>23879.52</v>
      </c>
      <c r="U364" s="3">
        <f t="shared" si="71"/>
        <v>65842.559999999998</v>
      </c>
      <c r="V364" s="3">
        <f t="shared" si="72"/>
        <v>184312.8</v>
      </c>
      <c r="W364" s="3">
        <f t="shared" si="73"/>
        <v>150927.84</v>
      </c>
      <c r="X364" s="3">
        <f t="shared" si="74"/>
        <v>24111.360000000001</v>
      </c>
      <c r="Y364" s="3">
        <f t="shared" si="75"/>
        <v>210974.4</v>
      </c>
      <c r="Z364" s="3">
        <f t="shared" si="76"/>
        <v>89953.919999999998</v>
      </c>
      <c r="AA364" s="3">
        <f t="shared" si="77"/>
        <v>80680.320000000007</v>
      </c>
      <c r="AB364" s="3">
        <f t="shared" si="78"/>
        <v>212133.6</v>
      </c>
      <c r="AC364" s="3">
        <f t="shared" si="79"/>
        <v>113369.76</v>
      </c>
      <c r="AD364" s="3">
        <f t="shared" si="80"/>
        <v>40340.160000000003</v>
      </c>
      <c r="AE364" s="3">
        <f t="shared" si="81"/>
        <v>33616.800000000003</v>
      </c>
      <c r="AF364" s="3">
        <f>SUM(ecommerce_sales_all_data[[#This Row],[revenue_month_1]:[revenue_month_12]])</f>
        <v>1230143.0399999998</v>
      </c>
    </row>
    <row r="365" spans="1:32" x14ac:dyDescent="0.3">
      <c r="A365">
        <v>364</v>
      </c>
      <c r="B365" t="s">
        <v>388</v>
      </c>
      <c r="C365" t="s">
        <v>35</v>
      </c>
      <c r="D365" s="2">
        <v>275.08</v>
      </c>
      <c r="E365">
        <v>3.5</v>
      </c>
      <c r="F365">
        <v>393</v>
      </c>
      <c r="G365" s="1">
        <v>603</v>
      </c>
      <c r="H365" s="1">
        <v>238</v>
      </c>
      <c r="I365" s="1">
        <v>896</v>
      </c>
      <c r="J365" s="1">
        <v>938</v>
      </c>
      <c r="K365" s="1">
        <v>438</v>
      </c>
      <c r="L365" s="1">
        <v>538</v>
      </c>
      <c r="M365" s="1">
        <v>336</v>
      </c>
      <c r="N365" s="1">
        <v>224</v>
      </c>
      <c r="O365" s="1">
        <v>137</v>
      </c>
      <c r="P365" s="1">
        <v>745</v>
      </c>
      <c r="Q365" s="1">
        <v>843</v>
      </c>
      <c r="R365" s="1">
        <v>322</v>
      </c>
      <c r="S365" s="1">
        <f>SUM(ecommerce_sales_all_data[[#This Row],[sales_month_1]:[sales_month_12]])</f>
        <v>6258</v>
      </c>
      <c r="T365" s="3">
        <f t="shared" si="70"/>
        <v>165873.24</v>
      </c>
      <c r="U365" s="3">
        <f t="shared" si="71"/>
        <v>65469.039999999994</v>
      </c>
      <c r="V365" s="3">
        <f t="shared" si="72"/>
        <v>246471.67999999999</v>
      </c>
      <c r="W365" s="3">
        <f t="shared" si="73"/>
        <v>258025.03999999998</v>
      </c>
      <c r="X365" s="3">
        <f t="shared" si="74"/>
        <v>120485.04</v>
      </c>
      <c r="Y365" s="3">
        <f t="shared" si="75"/>
        <v>147993.03999999998</v>
      </c>
      <c r="Z365" s="3">
        <f t="shared" si="76"/>
        <v>92426.87999999999</v>
      </c>
      <c r="AA365" s="3">
        <f t="shared" si="77"/>
        <v>61617.919999999998</v>
      </c>
      <c r="AB365" s="3">
        <f t="shared" si="78"/>
        <v>37685.96</v>
      </c>
      <c r="AC365" s="3">
        <f t="shared" si="79"/>
        <v>204934.59999999998</v>
      </c>
      <c r="AD365" s="3">
        <f t="shared" si="80"/>
        <v>231892.43999999997</v>
      </c>
      <c r="AE365" s="3">
        <f t="shared" si="81"/>
        <v>88575.76</v>
      </c>
      <c r="AF365" s="3">
        <f>SUM(ecommerce_sales_all_data[[#This Row],[revenue_month_1]:[revenue_month_12]])</f>
        <v>1721450.64</v>
      </c>
    </row>
    <row r="366" spans="1:32" x14ac:dyDescent="0.3">
      <c r="A366">
        <v>365</v>
      </c>
      <c r="B366" t="s">
        <v>389</v>
      </c>
      <c r="C366" t="s">
        <v>29</v>
      </c>
      <c r="D366" s="2">
        <v>471.03</v>
      </c>
      <c r="E366">
        <v>3.9</v>
      </c>
      <c r="F366">
        <v>867</v>
      </c>
      <c r="G366" s="1">
        <v>697</v>
      </c>
      <c r="H366" s="1">
        <v>676</v>
      </c>
      <c r="I366" s="1">
        <v>937</v>
      </c>
      <c r="J366" s="1">
        <v>562</v>
      </c>
      <c r="K366" s="1">
        <v>227</v>
      </c>
      <c r="L366" s="1">
        <v>451</v>
      </c>
      <c r="M366" s="1">
        <v>505</v>
      </c>
      <c r="N366" s="1">
        <v>713</v>
      </c>
      <c r="O366" s="1">
        <v>342</v>
      </c>
      <c r="P366" s="1">
        <v>642</v>
      </c>
      <c r="Q366" s="1">
        <v>324</v>
      </c>
      <c r="R366" s="1">
        <v>121</v>
      </c>
      <c r="S366" s="1">
        <f>SUM(ecommerce_sales_all_data[[#This Row],[sales_month_1]:[sales_month_12]])</f>
        <v>6197</v>
      </c>
      <c r="T366" s="3">
        <f t="shared" si="70"/>
        <v>328307.90999999997</v>
      </c>
      <c r="U366" s="3">
        <f t="shared" si="71"/>
        <v>318416.27999999997</v>
      </c>
      <c r="V366" s="3">
        <f t="shared" si="72"/>
        <v>441355.11</v>
      </c>
      <c r="W366" s="3">
        <f t="shared" si="73"/>
        <v>264718.86</v>
      </c>
      <c r="X366" s="3">
        <f t="shared" si="74"/>
        <v>106923.81</v>
      </c>
      <c r="Y366" s="3">
        <f t="shared" si="75"/>
        <v>212434.53</v>
      </c>
      <c r="Z366" s="3">
        <f t="shared" si="76"/>
        <v>237870.15</v>
      </c>
      <c r="AA366" s="3">
        <f t="shared" si="77"/>
        <v>335844.38999999996</v>
      </c>
      <c r="AB366" s="3">
        <f t="shared" si="78"/>
        <v>161092.25999999998</v>
      </c>
      <c r="AC366" s="3">
        <f t="shared" si="79"/>
        <v>302401.26</v>
      </c>
      <c r="AD366" s="3">
        <f t="shared" si="80"/>
        <v>152613.72</v>
      </c>
      <c r="AE366" s="3">
        <f t="shared" si="81"/>
        <v>56994.63</v>
      </c>
      <c r="AF366" s="3">
        <f>SUM(ecommerce_sales_all_data[[#This Row],[revenue_month_1]:[revenue_month_12]])</f>
        <v>2918972.9099999997</v>
      </c>
    </row>
    <row r="367" spans="1:32" x14ac:dyDescent="0.3">
      <c r="A367">
        <v>366</v>
      </c>
      <c r="B367" t="s">
        <v>390</v>
      </c>
      <c r="C367" t="s">
        <v>29</v>
      </c>
      <c r="D367" s="2">
        <v>196.12</v>
      </c>
      <c r="E367">
        <v>1.5</v>
      </c>
      <c r="F367">
        <v>764</v>
      </c>
      <c r="G367" s="1">
        <v>971</v>
      </c>
      <c r="H367" s="1">
        <v>598</v>
      </c>
      <c r="I367" s="1">
        <v>209</v>
      </c>
      <c r="J367" s="1">
        <v>628</v>
      </c>
      <c r="K367" s="1">
        <v>699</v>
      </c>
      <c r="L367" s="1">
        <v>463</v>
      </c>
      <c r="M367" s="1">
        <v>105</v>
      </c>
      <c r="N367" s="1">
        <v>737</v>
      </c>
      <c r="O367" s="1">
        <v>104</v>
      </c>
      <c r="P367" s="1">
        <v>48</v>
      </c>
      <c r="Q367" s="1">
        <v>868</v>
      </c>
      <c r="R367" s="1">
        <v>251</v>
      </c>
      <c r="S367" s="1">
        <f>SUM(ecommerce_sales_all_data[[#This Row],[sales_month_1]:[sales_month_12]])</f>
        <v>5681</v>
      </c>
      <c r="T367" s="3">
        <f t="shared" si="70"/>
        <v>190432.52000000002</v>
      </c>
      <c r="U367" s="3">
        <f t="shared" si="71"/>
        <v>117279.76000000001</v>
      </c>
      <c r="V367" s="3">
        <f t="shared" si="72"/>
        <v>40989.08</v>
      </c>
      <c r="W367" s="3">
        <f t="shared" si="73"/>
        <v>123163.36</v>
      </c>
      <c r="X367" s="3">
        <f t="shared" si="74"/>
        <v>137087.88</v>
      </c>
      <c r="Y367" s="3">
        <f t="shared" si="75"/>
        <v>90803.56</v>
      </c>
      <c r="Z367" s="3">
        <f t="shared" si="76"/>
        <v>20592.600000000002</v>
      </c>
      <c r="AA367" s="3">
        <f t="shared" si="77"/>
        <v>144540.44</v>
      </c>
      <c r="AB367" s="3">
        <f t="shared" si="78"/>
        <v>20396.48</v>
      </c>
      <c r="AC367" s="3">
        <f t="shared" si="79"/>
        <v>9413.76</v>
      </c>
      <c r="AD367" s="3">
        <f t="shared" si="80"/>
        <v>170232.16</v>
      </c>
      <c r="AE367" s="3">
        <f t="shared" si="81"/>
        <v>49226.12</v>
      </c>
      <c r="AF367" s="3">
        <f>SUM(ecommerce_sales_all_data[[#This Row],[revenue_month_1]:[revenue_month_12]])</f>
        <v>1114157.7200000002</v>
      </c>
    </row>
    <row r="368" spans="1:32" x14ac:dyDescent="0.3">
      <c r="A368">
        <v>367</v>
      </c>
      <c r="B368" t="s">
        <v>391</v>
      </c>
      <c r="C368" t="s">
        <v>26</v>
      </c>
      <c r="D368" s="2">
        <v>480.79</v>
      </c>
      <c r="E368">
        <v>3.9</v>
      </c>
      <c r="F368">
        <v>845</v>
      </c>
      <c r="G368" s="1">
        <v>794</v>
      </c>
      <c r="H368" s="1">
        <v>652</v>
      </c>
      <c r="I368" s="1">
        <v>815</v>
      </c>
      <c r="J368" s="1">
        <v>420</v>
      </c>
      <c r="K368" s="1">
        <v>581</v>
      </c>
      <c r="L368" s="1">
        <v>959</v>
      </c>
      <c r="M368" s="1">
        <v>31</v>
      </c>
      <c r="N368" s="1">
        <v>235</v>
      </c>
      <c r="O368" s="1">
        <v>545</v>
      </c>
      <c r="P368" s="1">
        <v>658</v>
      </c>
      <c r="Q368" s="1">
        <v>670</v>
      </c>
      <c r="R368" s="1">
        <v>854</v>
      </c>
      <c r="S368" s="1">
        <f>SUM(ecommerce_sales_all_data[[#This Row],[sales_month_1]:[sales_month_12]])</f>
        <v>7214</v>
      </c>
      <c r="T368" s="3">
        <f t="shared" si="70"/>
        <v>381747.26</v>
      </c>
      <c r="U368" s="3">
        <f t="shared" si="71"/>
        <v>313475.08</v>
      </c>
      <c r="V368" s="3">
        <f t="shared" si="72"/>
        <v>391843.85000000003</v>
      </c>
      <c r="W368" s="3">
        <f t="shared" si="73"/>
        <v>201931.80000000002</v>
      </c>
      <c r="X368" s="3">
        <f t="shared" si="74"/>
        <v>279338.99</v>
      </c>
      <c r="Y368" s="3">
        <f t="shared" si="75"/>
        <v>461077.61000000004</v>
      </c>
      <c r="Z368" s="3">
        <f t="shared" si="76"/>
        <v>14904.49</v>
      </c>
      <c r="AA368" s="3">
        <f t="shared" si="77"/>
        <v>112985.65000000001</v>
      </c>
      <c r="AB368" s="3">
        <f t="shared" si="78"/>
        <v>262030.55000000002</v>
      </c>
      <c r="AC368" s="3">
        <f t="shared" si="79"/>
        <v>316359.82</v>
      </c>
      <c r="AD368" s="3">
        <f t="shared" si="80"/>
        <v>322129.3</v>
      </c>
      <c r="AE368" s="3">
        <f t="shared" si="81"/>
        <v>410594.66000000003</v>
      </c>
      <c r="AF368" s="3">
        <f>SUM(ecommerce_sales_all_data[[#This Row],[revenue_month_1]:[revenue_month_12]])</f>
        <v>3468419.06</v>
      </c>
    </row>
    <row r="369" spans="1:32" x14ac:dyDescent="0.3">
      <c r="A369">
        <v>368</v>
      </c>
      <c r="B369" t="s">
        <v>392</v>
      </c>
      <c r="C369" t="s">
        <v>48</v>
      </c>
      <c r="D369" s="2">
        <v>453.15</v>
      </c>
      <c r="E369">
        <v>4.5999999999999996</v>
      </c>
      <c r="F369">
        <v>207</v>
      </c>
      <c r="G369" s="1">
        <v>501</v>
      </c>
      <c r="H369" s="1">
        <v>671</v>
      </c>
      <c r="I369" s="1">
        <v>807</v>
      </c>
      <c r="J369" s="1">
        <v>45</v>
      </c>
      <c r="K369" s="1">
        <v>317</v>
      </c>
      <c r="L369" s="1">
        <v>477</v>
      </c>
      <c r="M369" s="1">
        <v>73</v>
      </c>
      <c r="N369" s="1">
        <v>182</v>
      </c>
      <c r="O369" s="1">
        <v>379</v>
      </c>
      <c r="P369" s="1">
        <v>315</v>
      </c>
      <c r="Q369" s="1">
        <v>859</v>
      </c>
      <c r="R369" s="1">
        <v>898</v>
      </c>
      <c r="S369" s="1">
        <f>SUM(ecommerce_sales_all_data[[#This Row],[sales_month_1]:[sales_month_12]])</f>
        <v>5524</v>
      </c>
      <c r="T369" s="3">
        <f t="shared" si="70"/>
        <v>227028.15</v>
      </c>
      <c r="U369" s="3">
        <f t="shared" si="71"/>
        <v>304063.64999999997</v>
      </c>
      <c r="V369" s="3">
        <f t="shared" si="72"/>
        <v>365692.05</v>
      </c>
      <c r="W369" s="3">
        <f t="shared" si="73"/>
        <v>20391.75</v>
      </c>
      <c r="X369" s="3">
        <f t="shared" si="74"/>
        <v>143648.54999999999</v>
      </c>
      <c r="Y369" s="3">
        <f t="shared" si="75"/>
        <v>216152.55</v>
      </c>
      <c r="Z369" s="3">
        <f t="shared" si="76"/>
        <v>33079.949999999997</v>
      </c>
      <c r="AA369" s="3">
        <f t="shared" si="77"/>
        <v>82473.3</v>
      </c>
      <c r="AB369" s="3">
        <f t="shared" si="78"/>
        <v>171743.85</v>
      </c>
      <c r="AC369" s="3">
        <f t="shared" si="79"/>
        <v>142742.25</v>
      </c>
      <c r="AD369" s="3">
        <f t="shared" si="80"/>
        <v>389255.85</v>
      </c>
      <c r="AE369" s="3">
        <f t="shared" si="81"/>
        <v>406928.69999999995</v>
      </c>
      <c r="AF369" s="3">
        <f>SUM(ecommerce_sales_all_data[[#This Row],[revenue_month_1]:[revenue_month_12]])</f>
        <v>2503200.5999999996</v>
      </c>
    </row>
    <row r="370" spans="1:32" x14ac:dyDescent="0.3">
      <c r="A370">
        <v>369</v>
      </c>
      <c r="B370" t="s">
        <v>393</v>
      </c>
      <c r="C370" t="s">
        <v>48</v>
      </c>
      <c r="D370" s="2">
        <v>101.92</v>
      </c>
      <c r="E370">
        <v>1.7</v>
      </c>
      <c r="F370">
        <v>210</v>
      </c>
      <c r="G370" s="1">
        <v>692</v>
      </c>
      <c r="H370" s="1">
        <v>557</v>
      </c>
      <c r="I370" s="1">
        <v>608</v>
      </c>
      <c r="J370" s="1">
        <v>820</v>
      </c>
      <c r="K370" s="1">
        <v>463</v>
      </c>
      <c r="L370" s="1">
        <v>925</v>
      </c>
      <c r="M370" s="1">
        <v>170</v>
      </c>
      <c r="N370" s="1">
        <v>711</v>
      </c>
      <c r="O370" s="1">
        <v>109</v>
      </c>
      <c r="P370" s="1">
        <v>412</v>
      </c>
      <c r="Q370" s="1">
        <v>347</v>
      </c>
      <c r="R370" s="1">
        <v>310</v>
      </c>
      <c r="S370" s="1">
        <f>SUM(ecommerce_sales_all_data[[#This Row],[sales_month_1]:[sales_month_12]])</f>
        <v>6124</v>
      </c>
      <c r="T370" s="3">
        <f t="shared" si="70"/>
        <v>70528.639999999999</v>
      </c>
      <c r="U370" s="3">
        <f t="shared" si="71"/>
        <v>56769.440000000002</v>
      </c>
      <c r="V370" s="3">
        <f t="shared" si="72"/>
        <v>61967.360000000001</v>
      </c>
      <c r="W370" s="3">
        <f t="shared" si="73"/>
        <v>83574.399999999994</v>
      </c>
      <c r="X370" s="3">
        <f t="shared" si="74"/>
        <v>47188.959999999999</v>
      </c>
      <c r="Y370" s="3">
        <f t="shared" si="75"/>
        <v>94276</v>
      </c>
      <c r="Z370" s="3">
        <f t="shared" si="76"/>
        <v>17326.400000000001</v>
      </c>
      <c r="AA370" s="3">
        <f t="shared" si="77"/>
        <v>72465.119999999995</v>
      </c>
      <c r="AB370" s="3">
        <f t="shared" si="78"/>
        <v>11109.28</v>
      </c>
      <c r="AC370" s="3">
        <f t="shared" si="79"/>
        <v>41991.040000000001</v>
      </c>
      <c r="AD370" s="3">
        <f t="shared" si="80"/>
        <v>35366.239999999998</v>
      </c>
      <c r="AE370" s="3">
        <f t="shared" si="81"/>
        <v>31595.200000000001</v>
      </c>
      <c r="AF370" s="3">
        <f>SUM(ecommerce_sales_all_data[[#This Row],[revenue_month_1]:[revenue_month_12]])</f>
        <v>624158.07999999996</v>
      </c>
    </row>
    <row r="371" spans="1:32" x14ac:dyDescent="0.3">
      <c r="A371">
        <v>370</v>
      </c>
      <c r="B371" t="s">
        <v>394</v>
      </c>
      <c r="C371" t="s">
        <v>35</v>
      </c>
      <c r="D371" s="2">
        <v>39.33</v>
      </c>
      <c r="E371">
        <v>2</v>
      </c>
      <c r="F371">
        <v>115</v>
      </c>
      <c r="G371" s="1">
        <v>681</v>
      </c>
      <c r="H371" s="1">
        <v>371</v>
      </c>
      <c r="I371" s="1">
        <v>446</v>
      </c>
      <c r="J371" s="1">
        <v>599</v>
      </c>
      <c r="K371" s="1">
        <v>801</v>
      </c>
      <c r="L371" s="1">
        <v>419</v>
      </c>
      <c r="M371" s="1">
        <v>848</v>
      </c>
      <c r="N371" s="1">
        <v>868</v>
      </c>
      <c r="O371" s="1">
        <v>943</v>
      </c>
      <c r="P371" s="1">
        <v>433</v>
      </c>
      <c r="Q371" s="1">
        <v>797</v>
      </c>
      <c r="R371" s="1">
        <v>600</v>
      </c>
      <c r="S371" s="1">
        <f>SUM(ecommerce_sales_all_data[[#This Row],[sales_month_1]:[sales_month_12]])</f>
        <v>7806</v>
      </c>
      <c r="T371" s="3">
        <f t="shared" si="70"/>
        <v>26783.73</v>
      </c>
      <c r="U371" s="3">
        <f t="shared" si="71"/>
        <v>14591.429999999998</v>
      </c>
      <c r="V371" s="3">
        <f t="shared" si="72"/>
        <v>17541.18</v>
      </c>
      <c r="W371" s="3">
        <f t="shared" si="73"/>
        <v>23558.67</v>
      </c>
      <c r="X371" s="3">
        <f t="shared" si="74"/>
        <v>31503.329999999998</v>
      </c>
      <c r="Y371" s="3">
        <f t="shared" si="75"/>
        <v>16479.27</v>
      </c>
      <c r="Z371" s="3">
        <f t="shared" si="76"/>
        <v>33351.839999999997</v>
      </c>
      <c r="AA371" s="3">
        <f t="shared" si="77"/>
        <v>34138.439999999995</v>
      </c>
      <c r="AB371" s="3">
        <f t="shared" si="78"/>
        <v>37088.189999999995</v>
      </c>
      <c r="AC371" s="3">
        <f t="shared" si="79"/>
        <v>17029.89</v>
      </c>
      <c r="AD371" s="3">
        <f t="shared" si="80"/>
        <v>31346.01</v>
      </c>
      <c r="AE371" s="3">
        <f t="shared" si="81"/>
        <v>23598</v>
      </c>
      <c r="AF371" s="3">
        <f>SUM(ecommerce_sales_all_data[[#This Row],[revenue_month_1]:[revenue_month_12]])</f>
        <v>307009.98000000004</v>
      </c>
    </row>
    <row r="372" spans="1:32" x14ac:dyDescent="0.3">
      <c r="A372">
        <v>371</v>
      </c>
      <c r="B372" t="s">
        <v>395</v>
      </c>
      <c r="C372" t="s">
        <v>23</v>
      </c>
      <c r="D372" s="2">
        <v>54.89</v>
      </c>
      <c r="E372">
        <v>4.9000000000000004</v>
      </c>
      <c r="F372">
        <v>737</v>
      </c>
      <c r="G372" s="1">
        <v>698</v>
      </c>
      <c r="H372" s="1">
        <v>494</v>
      </c>
      <c r="I372" s="1">
        <v>459</v>
      </c>
      <c r="J372" s="1">
        <v>719</v>
      </c>
      <c r="K372" s="1">
        <v>598</v>
      </c>
      <c r="L372" s="1">
        <v>706</v>
      </c>
      <c r="M372" s="1">
        <v>68</v>
      </c>
      <c r="N372" s="1">
        <v>757</v>
      </c>
      <c r="O372" s="1">
        <v>544</v>
      </c>
      <c r="P372" s="1">
        <v>1</v>
      </c>
      <c r="Q372" s="1">
        <v>17</v>
      </c>
      <c r="R372" s="1">
        <v>474</v>
      </c>
      <c r="S372" s="1">
        <f>SUM(ecommerce_sales_all_data[[#This Row],[sales_month_1]:[sales_month_12]])</f>
        <v>5535</v>
      </c>
      <c r="T372" s="3">
        <f t="shared" si="70"/>
        <v>38313.22</v>
      </c>
      <c r="U372" s="3">
        <f t="shared" si="71"/>
        <v>27115.66</v>
      </c>
      <c r="V372" s="3">
        <f t="shared" si="72"/>
        <v>25194.510000000002</v>
      </c>
      <c r="W372" s="3">
        <f t="shared" si="73"/>
        <v>39465.910000000003</v>
      </c>
      <c r="X372" s="3">
        <f t="shared" si="74"/>
        <v>32824.22</v>
      </c>
      <c r="Y372" s="3">
        <f t="shared" si="75"/>
        <v>38752.340000000004</v>
      </c>
      <c r="Z372" s="3">
        <f t="shared" si="76"/>
        <v>3732.52</v>
      </c>
      <c r="AA372" s="3">
        <f t="shared" si="77"/>
        <v>41551.730000000003</v>
      </c>
      <c r="AB372" s="3">
        <f t="shared" si="78"/>
        <v>29860.16</v>
      </c>
      <c r="AC372" s="3">
        <f t="shared" si="79"/>
        <v>54.89</v>
      </c>
      <c r="AD372" s="3">
        <f t="shared" si="80"/>
        <v>933.13</v>
      </c>
      <c r="AE372" s="3">
        <f t="shared" si="81"/>
        <v>26017.86</v>
      </c>
      <c r="AF372" s="3">
        <f>SUM(ecommerce_sales_all_data[[#This Row],[revenue_month_1]:[revenue_month_12]])</f>
        <v>303816.15000000002</v>
      </c>
    </row>
    <row r="373" spans="1:32" x14ac:dyDescent="0.3">
      <c r="A373">
        <v>372</v>
      </c>
      <c r="B373" t="s">
        <v>396</v>
      </c>
      <c r="C373" t="s">
        <v>21</v>
      </c>
      <c r="D373" s="2">
        <v>14.02</v>
      </c>
      <c r="E373">
        <v>1.7</v>
      </c>
      <c r="F373">
        <v>646</v>
      </c>
      <c r="G373" s="1">
        <v>174</v>
      </c>
      <c r="H373" s="1">
        <v>623</v>
      </c>
      <c r="I373" s="1">
        <v>967</v>
      </c>
      <c r="J373" s="1">
        <v>888</v>
      </c>
      <c r="K373" s="1">
        <v>881</v>
      </c>
      <c r="L373" s="1">
        <v>213</v>
      </c>
      <c r="M373" s="1">
        <v>812</v>
      </c>
      <c r="N373" s="1">
        <v>443</v>
      </c>
      <c r="O373" s="1">
        <v>353</v>
      </c>
      <c r="P373" s="1">
        <v>840</v>
      </c>
      <c r="Q373" s="1">
        <v>43</v>
      </c>
      <c r="R373" s="1">
        <v>569</v>
      </c>
      <c r="S373" s="1">
        <f>SUM(ecommerce_sales_all_data[[#This Row],[sales_month_1]:[sales_month_12]])</f>
        <v>6806</v>
      </c>
      <c r="T373" s="3">
        <f t="shared" si="70"/>
        <v>2439.48</v>
      </c>
      <c r="U373" s="3">
        <f t="shared" si="71"/>
        <v>8734.4599999999991</v>
      </c>
      <c r="V373" s="3">
        <f t="shared" si="72"/>
        <v>13557.34</v>
      </c>
      <c r="W373" s="3">
        <f t="shared" si="73"/>
        <v>12449.76</v>
      </c>
      <c r="X373" s="3">
        <f t="shared" si="74"/>
        <v>12351.619999999999</v>
      </c>
      <c r="Y373" s="3">
        <f t="shared" si="75"/>
        <v>2986.2599999999998</v>
      </c>
      <c r="Z373" s="3">
        <f t="shared" si="76"/>
        <v>11384.24</v>
      </c>
      <c r="AA373" s="3">
        <f t="shared" si="77"/>
        <v>6210.86</v>
      </c>
      <c r="AB373" s="3">
        <f t="shared" si="78"/>
        <v>4949.0599999999995</v>
      </c>
      <c r="AC373" s="3">
        <f t="shared" si="79"/>
        <v>11776.8</v>
      </c>
      <c r="AD373" s="3">
        <f t="shared" si="80"/>
        <v>602.86</v>
      </c>
      <c r="AE373" s="3">
        <f t="shared" si="81"/>
        <v>7977.38</v>
      </c>
      <c r="AF373" s="3">
        <f>SUM(ecommerce_sales_all_data[[#This Row],[revenue_month_1]:[revenue_month_12]])</f>
        <v>95420.12000000001</v>
      </c>
    </row>
    <row r="374" spans="1:32" x14ac:dyDescent="0.3">
      <c r="A374">
        <v>373</v>
      </c>
      <c r="B374" t="s">
        <v>397</v>
      </c>
      <c r="C374" t="s">
        <v>35</v>
      </c>
      <c r="D374" s="2">
        <v>51.75</v>
      </c>
      <c r="E374">
        <v>4.4000000000000004</v>
      </c>
      <c r="F374">
        <v>251</v>
      </c>
      <c r="G374" s="1">
        <v>733</v>
      </c>
      <c r="H374" s="1">
        <v>918</v>
      </c>
      <c r="I374" s="1">
        <v>471</v>
      </c>
      <c r="J374" s="1">
        <v>268</v>
      </c>
      <c r="K374" s="1">
        <v>873</v>
      </c>
      <c r="L374" s="1">
        <v>368</v>
      </c>
      <c r="M374" s="1">
        <v>361</v>
      </c>
      <c r="N374" s="1">
        <v>864</v>
      </c>
      <c r="O374" s="1">
        <v>742</v>
      </c>
      <c r="P374" s="1">
        <v>951</v>
      </c>
      <c r="Q374" s="1">
        <v>154</v>
      </c>
      <c r="R374" s="1">
        <v>491</v>
      </c>
      <c r="S374" s="1">
        <f>SUM(ecommerce_sales_all_data[[#This Row],[sales_month_1]:[sales_month_12]])</f>
        <v>7194</v>
      </c>
      <c r="T374" s="3">
        <f t="shared" si="70"/>
        <v>37932.75</v>
      </c>
      <c r="U374" s="3">
        <f t="shared" si="71"/>
        <v>47506.5</v>
      </c>
      <c r="V374" s="3">
        <f t="shared" si="72"/>
        <v>24374.25</v>
      </c>
      <c r="W374" s="3">
        <f t="shared" si="73"/>
        <v>13869</v>
      </c>
      <c r="X374" s="3">
        <f t="shared" si="74"/>
        <v>45177.75</v>
      </c>
      <c r="Y374" s="3">
        <f t="shared" si="75"/>
        <v>19044</v>
      </c>
      <c r="Z374" s="3">
        <f t="shared" si="76"/>
        <v>18681.75</v>
      </c>
      <c r="AA374" s="3">
        <f t="shared" si="77"/>
        <v>44712</v>
      </c>
      <c r="AB374" s="3">
        <f t="shared" si="78"/>
        <v>38398.5</v>
      </c>
      <c r="AC374" s="3">
        <f t="shared" si="79"/>
        <v>49214.25</v>
      </c>
      <c r="AD374" s="3">
        <f t="shared" si="80"/>
        <v>7969.5</v>
      </c>
      <c r="AE374" s="3">
        <f t="shared" si="81"/>
        <v>25409.25</v>
      </c>
      <c r="AF374" s="3">
        <f>SUM(ecommerce_sales_all_data[[#This Row],[revenue_month_1]:[revenue_month_12]])</f>
        <v>372289.5</v>
      </c>
    </row>
    <row r="375" spans="1:32" x14ac:dyDescent="0.3">
      <c r="A375">
        <v>374</v>
      </c>
      <c r="B375" t="s">
        <v>398</v>
      </c>
      <c r="C375" t="s">
        <v>26</v>
      </c>
      <c r="D375" s="2">
        <v>343.09</v>
      </c>
      <c r="E375">
        <v>3</v>
      </c>
      <c r="F375">
        <v>219</v>
      </c>
      <c r="G375" s="1">
        <v>744</v>
      </c>
      <c r="H375" s="1">
        <v>44</v>
      </c>
      <c r="I375" s="1">
        <v>719</v>
      </c>
      <c r="J375" s="1">
        <v>600</v>
      </c>
      <c r="K375" s="1">
        <v>471</v>
      </c>
      <c r="L375" s="1">
        <v>853</v>
      </c>
      <c r="M375" s="1">
        <v>648</v>
      </c>
      <c r="N375" s="1">
        <v>622</v>
      </c>
      <c r="O375" s="1">
        <v>316</v>
      </c>
      <c r="P375" s="1">
        <v>144</v>
      </c>
      <c r="Q375" s="1">
        <v>866</v>
      </c>
      <c r="R375" s="1">
        <v>574</v>
      </c>
      <c r="S375" s="1">
        <f>SUM(ecommerce_sales_all_data[[#This Row],[sales_month_1]:[sales_month_12]])</f>
        <v>6601</v>
      </c>
      <c r="T375" s="3">
        <f t="shared" si="70"/>
        <v>255258.96</v>
      </c>
      <c r="U375" s="3">
        <f t="shared" si="71"/>
        <v>15095.96</v>
      </c>
      <c r="V375" s="3">
        <f t="shared" si="72"/>
        <v>246681.71</v>
      </c>
      <c r="W375" s="3">
        <f t="shared" si="73"/>
        <v>205853.99999999997</v>
      </c>
      <c r="X375" s="3">
        <f t="shared" si="74"/>
        <v>161595.38999999998</v>
      </c>
      <c r="Y375" s="3">
        <f t="shared" si="75"/>
        <v>292655.76999999996</v>
      </c>
      <c r="Z375" s="3">
        <f t="shared" si="76"/>
        <v>222322.31999999998</v>
      </c>
      <c r="AA375" s="3">
        <f t="shared" si="77"/>
        <v>213401.97999999998</v>
      </c>
      <c r="AB375" s="3">
        <f t="shared" si="78"/>
        <v>108416.43999999999</v>
      </c>
      <c r="AC375" s="3">
        <f t="shared" si="79"/>
        <v>49404.959999999999</v>
      </c>
      <c r="AD375" s="3">
        <f t="shared" si="80"/>
        <v>297115.94</v>
      </c>
      <c r="AE375" s="3">
        <f t="shared" si="81"/>
        <v>196933.65999999997</v>
      </c>
      <c r="AF375" s="3">
        <f>SUM(ecommerce_sales_all_data[[#This Row],[revenue_month_1]:[revenue_month_12]])</f>
        <v>2264737.09</v>
      </c>
    </row>
    <row r="376" spans="1:32" x14ac:dyDescent="0.3">
      <c r="A376">
        <v>375</v>
      </c>
      <c r="B376" t="s">
        <v>399</v>
      </c>
      <c r="C376" t="s">
        <v>48</v>
      </c>
      <c r="D376" s="2">
        <v>40.24</v>
      </c>
      <c r="E376">
        <v>2</v>
      </c>
      <c r="F376">
        <v>407</v>
      </c>
      <c r="G376" s="1">
        <v>673</v>
      </c>
      <c r="H376" s="1">
        <v>400</v>
      </c>
      <c r="I376" s="1">
        <v>369</v>
      </c>
      <c r="J376" s="1">
        <v>380</v>
      </c>
      <c r="K376" s="1">
        <v>55</v>
      </c>
      <c r="L376" s="1">
        <v>113</v>
      </c>
      <c r="M376" s="1">
        <v>432</v>
      </c>
      <c r="N376" s="1">
        <v>5</v>
      </c>
      <c r="O376" s="1">
        <v>265</v>
      </c>
      <c r="P376" s="1">
        <v>955</v>
      </c>
      <c r="Q376" s="1">
        <v>921</v>
      </c>
      <c r="R376" s="1">
        <v>346</v>
      </c>
      <c r="S376" s="1">
        <f>SUM(ecommerce_sales_all_data[[#This Row],[sales_month_1]:[sales_month_12]])</f>
        <v>4914</v>
      </c>
      <c r="T376" s="3">
        <f t="shared" si="70"/>
        <v>27081.52</v>
      </c>
      <c r="U376" s="3">
        <f t="shared" si="71"/>
        <v>16096</v>
      </c>
      <c r="V376" s="3">
        <f t="shared" si="72"/>
        <v>14848.560000000001</v>
      </c>
      <c r="W376" s="3">
        <f t="shared" si="73"/>
        <v>15291.2</v>
      </c>
      <c r="X376" s="3">
        <f t="shared" si="74"/>
        <v>2213.2000000000003</v>
      </c>
      <c r="Y376" s="3">
        <f t="shared" si="75"/>
        <v>4547.12</v>
      </c>
      <c r="Z376" s="3">
        <f t="shared" si="76"/>
        <v>17383.68</v>
      </c>
      <c r="AA376" s="3">
        <f t="shared" si="77"/>
        <v>201.20000000000002</v>
      </c>
      <c r="AB376" s="3">
        <f t="shared" si="78"/>
        <v>10663.6</v>
      </c>
      <c r="AC376" s="3">
        <f t="shared" si="79"/>
        <v>38429.200000000004</v>
      </c>
      <c r="AD376" s="3">
        <f t="shared" si="80"/>
        <v>37061.040000000001</v>
      </c>
      <c r="AE376" s="3">
        <f t="shared" si="81"/>
        <v>13923.04</v>
      </c>
      <c r="AF376" s="3">
        <f>SUM(ecommerce_sales_all_data[[#This Row],[revenue_month_1]:[revenue_month_12]])</f>
        <v>197739.36000000002</v>
      </c>
    </row>
    <row r="377" spans="1:32" x14ac:dyDescent="0.3">
      <c r="A377">
        <v>376</v>
      </c>
      <c r="B377" t="s">
        <v>400</v>
      </c>
      <c r="C377" t="s">
        <v>29</v>
      </c>
      <c r="D377" s="2">
        <v>162.88999999999999</v>
      </c>
      <c r="E377">
        <v>4.5</v>
      </c>
      <c r="F377">
        <v>443</v>
      </c>
      <c r="G377" s="1">
        <v>420</v>
      </c>
      <c r="H377" s="1">
        <v>246</v>
      </c>
      <c r="I377" s="1">
        <v>899</v>
      </c>
      <c r="J377" s="1">
        <v>117</v>
      </c>
      <c r="K377" s="1">
        <v>624</v>
      </c>
      <c r="L377" s="1">
        <v>753</v>
      </c>
      <c r="M377" s="1">
        <v>928</v>
      </c>
      <c r="N377" s="1">
        <v>235</v>
      </c>
      <c r="O377" s="1">
        <v>693</v>
      </c>
      <c r="P377" s="1">
        <v>365</v>
      </c>
      <c r="Q377" s="1">
        <v>376</v>
      </c>
      <c r="R377" s="1">
        <v>819</v>
      </c>
      <c r="S377" s="1">
        <f>SUM(ecommerce_sales_all_data[[#This Row],[sales_month_1]:[sales_month_12]])</f>
        <v>6475</v>
      </c>
      <c r="T377" s="3">
        <f t="shared" si="70"/>
        <v>68413.799999999988</v>
      </c>
      <c r="U377" s="3">
        <f t="shared" si="71"/>
        <v>40070.939999999995</v>
      </c>
      <c r="V377" s="3">
        <f t="shared" si="72"/>
        <v>146438.10999999999</v>
      </c>
      <c r="W377" s="3">
        <f t="shared" si="73"/>
        <v>19058.129999999997</v>
      </c>
      <c r="X377" s="3">
        <f t="shared" si="74"/>
        <v>101643.35999999999</v>
      </c>
      <c r="Y377" s="3">
        <f t="shared" si="75"/>
        <v>122656.16999999998</v>
      </c>
      <c r="Z377" s="3">
        <f t="shared" si="76"/>
        <v>151161.91999999998</v>
      </c>
      <c r="AA377" s="3">
        <f t="shared" si="77"/>
        <v>38279.149999999994</v>
      </c>
      <c r="AB377" s="3">
        <f t="shared" si="78"/>
        <v>112882.76999999999</v>
      </c>
      <c r="AC377" s="3">
        <f t="shared" si="79"/>
        <v>59454.85</v>
      </c>
      <c r="AD377" s="3">
        <f t="shared" si="80"/>
        <v>61246.639999999992</v>
      </c>
      <c r="AE377" s="3">
        <f t="shared" si="81"/>
        <v>133406.90999999997</v>
      </c>
      <c r="AF377" s="3">
        <f>SUM(ecommerce_sales_all_data[[#This Row],[revenue_month_1]:[revenue_month_12]])</f>
        <v>1054712.75</v>
      </c>
    </row>
    <row r="378" spans="1:32" x14ac:dyDescent="0.3">
      <c r="A378">
        <v>377</v>
      </c>
      <c r="B378" t="s">
        <v>401</v>
      </c>
      <c r="C378" t="s">
        <v>48</v>
      </c>
      <c r="D378" s="2">
        <v>423.21</v>
      </c>
      <c r="E378">
        <v>2.8</v>
      </c>
      <c r="F378">
        <v>603</v>
      </c>
      <c r="G378" s="1">
        <v>133</v>
      </c>
      <c r="H378" s="1">
        <v>615</v>
      </c>
      <c r="I378" s="1">
        <v>933</v>
      </c>
      <c r="J378" s="1">
        <v>565</v>
      </c>
      <c r="K378" s="1">
        <v>12</v>
      </c>
      <c r="L378" s="1">
        <v>502</v>
      </c>
      <c r="M378" s="1">
        <v>995</v>
      </c>
      <c r="N378" s="1">
        <v>126</v>
      </c>
      <c r="O378" s="1">
        <v>851</v>
      </c>
      <c r="P378" s="1">
        <v>419</v>
      </c>
      <c r="Q378" s="1">
        <v>742</v>
      </c>
      <c r="R378" s="1">
        <v>486</v>
      </c>
      <c r="S378" s="1">
        <f>SUM(ecommerce_sales_all_data[[#This Row],[sales_month_1]:[sales_month_12]])</f>
        <v>6379</v>
      </c>
      <c r="T378" s="3">
        <f t="shared" si="70"/>
        <v>56286.93</v>
      </c>
      <c r="U378" s="3">
        <f t="shared" si="71"/>
        <v>260274.15</v>
      </c>
      <c r="V378" s="3">
        <f t="shared" si="72"/>
        <v>394854.93</v>
      </c>
      <c r="W378" s="3">
        <f t="shared" si="73"/>
        <v>239113.65</v>
      </c>
      <c r="X378" s="3">
        <f t="shared" si="74"/>
        <v>5078.5199999999995</v>
      </c>
      <c r="Y378" s="3">
        <f t="shared" si="75"/>
        <v>212451.41999999998</v>
      </c>
      <c r="Z378" s="3">
        <f t="shared" si="76"/>
        <v>421093.94999999995</v>
      </c>
      <c r="AA378" s="3">
        <f t="shared" si="77"/>
        <v>53324.46</v>
      </c>
      <c r="AB378" s="3">
        <f t="shared" si="78"/>
        <v>360151.70999999996</v>
      </c>
      <c r="AC378" s="3">
        <f t="shared" si="79"/>
        <v>177324.99</v>
      </c>
      <c r="AD378" s="3">
        <f t="shared" si="80"/>
        <v>314021.82</v>
      </c>
      <c r="AE378" s="3">
        <f t="shared" si="81"/>
        <v>205680.06</v>
      </c>
      <c r="AF378" s="3">
        <f>SUM(ecommerce_sales_all_data[[#This Row],[revenue_month_1]:[revenue_month_12]])</f>
        <v>2699656.59</v>
      </c>
    </row>
    <row r="379" spans="1:32" x14ac:dyDescent="0.3">
      <c r="A379">
        <v>378</v>
      </c>
      <c r="B379" t="s">
        <v>402</v>
      </c>
      <c r="C379" t="s">
        <v>35</v>
      </c>
      <c r="D379" s="2">
        <v>16.52</v>
      </c>
      <c r="E379">
        <v>3.1</v>
      </c>
      <c r="F379">
        <v>354</v>
      </c>
      <c r="G379" s="1">
        <v>390</v>
      </c>
      <c r="H379" s="1">
        <v>596</v>
      </c>
      <c r="I379" s="1">
        <v>491</v>
      </c>
      <c r="J379" s="1">
        <v>952</v>
      </c>
      <c r="K379" s="1">
        <v>439</v>
      </c>
      <c r="L379" s="1">
        <v>635</v>
      </c>
      <c r="M379" s="1">
        <v>99</v>
      </c>
      <c r="N379" s="1">
        <v>103</v>
      </c>
      <c r="O379" s="1">
        <v>64</v>
      </c>
      <c r="P379" s="1">
        <v>572</v>
      </c>
      <c r="Q379" s="1">
        <v>882</v>
      </c>
      <c r="R379" s="1">
        <v>472</v>
      </c>
      <c r="S379" s="1">
        <f>SUM(ecommerce_sales_all_data[[#This Row],[sales_month_1]:[sales_month_12]])</f>
        <v>5695</v>
      </c>
      <c r="T379" s="3">
        <f t="shared" si="70"/>
        <v>6442.8</v>
      </c>
      <c r="U379" s="3">
        <f t="shared" si="71"/>
        <v>9845.92</v>
      </c>
      <c r="V379" s="3">
        <f t="shared" si="72"/>
        <v>8111.32</v>
      </c>
      <c r="W379" s="3">
        <f t="shared" si="73"/>
        <v>15727.039999999999</v>
      </c>
      <c r="X379" s="3">
        <f t="shared" si="74"/>
        <v>7252.28</v>
      </c>
      <c r="Y379" s="3">
        <f t="shared" si="75"/>
        <v>10490.199999999999</v>
      </c>
      <c r="Z379" s="3">
        <f t="shared" si="76"/>
        <v>1635.48</v>
      </c>
      <c r="AA379" s="3">
        <f t="shared" si="77"/>
        <v>1701.56</v>
      </c>
      <c r="AB379" s="3">
        <f t="shared" si="78"/>
        <v>1057.28</v>
      </c>
      <c r="AC379" s="3">
        <f t="shared" si="79"/>
        <v>9449.44</v>
      </c>
      <c r="AD379" s="3">
        <f t="shared" si="80"/>
        <v>14570.64</v>
      </c>
      <c r="AE379" s="3">
        <f t="shared" si="81"/>
        <v>7797.44</v>
      </c>
      <c r="AF379" s="3">
        <f>SUM(ecommerce_sales_all_data[[#This Row],[revenue_month_1]:[revenue_month_12]])</f>
        <v>94081.4</v>
      </c>
    </row>
    <row r="380" spans="1:32" x14ac:dyDescent="0.3">
      <c r="A380">
        <v>379</v>
      </c>
      <c r="B380" t="s">
        <v>403</v>
      </c>
      <c r="C380" t="s">
        <v>21</v>
      </c>
      <c r="D380" s="2">
        <v>408.16</v>
      </c>
      <c r="E380">
        <v>2.4</v>
      </c>
      <c r="F380">
        <v>888</v>
      </c>
      <c r="G380" s="1">
        <v>991</v>
      </c>
      <c r="H380" s="1">
        <v>449</v>
      </c>
      <c r="I380" s="1">
        <v>922</v>
      </c>
      <c r="J380" s="1">
        <v>115</v>
      </c>
      <c r="K380" s="1">
        <v>17</v>
      </c>
      <c r="L380" s="1">
        <v>816</v>
      </c>
      <c r="M380" s="1">
        <v>657</v>
      </c>
      <c r="N380" s="1">
        <v>748</v>
      </c>
      <c r="O380" s="1">
        <v>332</v>
      </c>
      <c r="P380" s="1">
        <v>784</v>
      </c>
      <c r="Q380" s="1">
        <v>827</v>
      </c>
      <c r="R380" s="1">
        <v>381</v>
      </c>
      <c r="S380" s="1">
        <f>SUM(ecommerce_sales_all_data[[#This Row],[sales_month_1]:[sales_month_12]])</f>
        <v>7039</v>
      </c>
      <c r="T380" s="3">
        <f t="shared" si="70"/>
        <v>404486.56</v>
      </c>
      <c r="U380" s="3">
        <f t="shared" si="71"/>
        <v>183263.84000000003</v>
      </c>
      <c r="V380" s="3">
        <f t="shared" si="72"/>
        <v>376323.52</v>
      </c>
      <c r="W380" s="3">
        <f t="shared" si="73"/>
        <v>46938.400000000001</v>
      </c>
      <c r="X380" s="3">
        <f t="shared" si="74"/>
        <v>6938.72</v>
      </c>
      <c r="Y380" s="3">
        <f t="shared" si="75"/>
        <v>333058.56</v>
      </c>
      <c r="Z380" s="3">
        <f t="shared" si="76"/>
        <v>268161.12</v>
      </c>
      <c r="AA380" s="3">
        <f t="shared" si="77"/>
        <v>305303.67999999999</v>
      </c>
      <c r="AB380" s="3">
        <f t="shared" si="78"/>
        <v>135509.12</v>
      </c>
      <c r="AC380" s="3">
        <f t="shared" si="79"/>
        <v>319997.44</v>
      </c>
      <c r="AD380" s="3">
        <f t="shared" si="80"/>
        <v>337548.32</v>
      </c>
      <c r="AE380" s="3">
        <f t="shared" si="81"/>
        <v>155508.96000000002</v>
      </c>
      <c r="AF380" s="3">
        <f>SUM(ecommerce_sales_all_data[[#This Row],[revenue_month_1]:[revenue_month_12]])</f>
        <v>2873038.2399999998</v>
      </c>
    </row>
    <row r="381" spans="1:32" x14ac:dyDescent="0.3">
      <c r="A381">
        <v>380</v>
      </c>
      <c r="B381" t="s">
        <v>404</v>
      </c>
      <c r="C381" t="s">
        <v>19</v>
      </c>
      <c r="D381" s="2">
        <v>144.52000000000001</v>
      </c>
      <c r="E381">
        <v>3.4</v>
      </c>
      <c r="F381">
        <v>558</v>
      </c>
      <c r="G381" s="1">
        <v>735</v>
      </c>
      <c r="H381" s="1">
        <v>484</v>
      </c>
      <c r="I381" s="1">
        <v>136</v>
      </c>
      <c r="J381" s="1">
        <v>629</v>
      </c>
      <c r="K381" s="1">
        <v>693</v>
      </c>
      <c r="L381" s="1">
        <v>587</v>
      </c>
      <c r="M381" s="1">
        <v>8</v>
      </c>
      <c r="N381" s="1">
        <v>914</v>
      </c>
      <c r="O381" s="1">
        <v>512</v>
      </c>
      <c r="P381" s="1">
        <v>560</v>
      </c>
      <c r="Q381" s="1">
        <v>401</v>
      </c>
      <c r="R381" s="1">
        <v>279</v>
      </c>
      <c r="S381" s="1">
        <f>SUM(ecommerce_sales_all_data[[#This Row],[sales_month_1]:[sales_month_12]])</f>
        <v>5938</v>
      </c>
      <c r="T381" s="3">
        <f t="shared" si="70"/>
        <v>106222.20000000001</v>
      </c>
      <c r="U381" s="3">
        <f t="shared" si="71"/>
        <v>69947.680000000008</v>
      </c>
      <c r="V381" s="3">
        <f t="shared" si="72"/>
        <v>19654.72</v>
      </c>
      <c r="W381" s="3">
        <f t="shared" si="73"/>
        <v>90903.08</v>
      </c>
      <c r="X381" s="3">
        <f t="shared" si="74"/>
        <v>100152.36</v>
      </c>
      <c r="Y381" s="3">
        <f t="shared" si="75"/>
        <v>84833.24</v>
      </c>
      <c r="Z381" s="3">
        <f t="shared" si="76"/>
        <v>1156.1600000000001</v>
      </c>
      <c r="AA381" s="3">
        <f t="shared" si="77"/>
        <v>132091.28</v>
      </c>
      <c r="AB381" s="3">
        <f t="shared" si="78"/>
        <v>73994.240000000005</v>
      </c>
      <c r="AC381" s="3">
        <f t="shared" si="79"/>
        <v>80931.200000000012</v>
      </c>
      <c r="AD381" s="3">
        <f t="shared" si="80"/>
        <v>57952.520000000004</v>
      </c>
      <c r="AE381" s="3">
        <f t="shared" si="81"/>
        <v>40321.08</v>
      </c>
      <c r="AF381" s="3">
        <f>SUM(ecommerce_sales_all_data[[#This Row],[revenue_month_1]:[revenue_month_12]])</f>
        <v>858159.75999999989</v>
      </c>
    </row>
    <row r="382" spans="1:32" x14ac:dyDescent="0.3">
      <c r="A382">
        <v>381</v>
      </c>
      <c r="B382" t="s">
        <v>405</v>
      </c>
      <c r="C382" t="s">
        <v>19</v>
      </c>
      <c r="D382" s="2">
        <v>63.49</v>
      </c>
      <c r="E382">
        <v>1.7</v>
      </c>
      <c r="F382">
        <v>550</v>
      </c>
      <c r="G382" s="1">
        <v>500</v>
      </c>
      <c r="H382" s="1">
        <v>645</v>
      </c>
      <c r="I382" s="1">
        <v>366</v>
      </c>
      <c r="J382" s="1">
        <v>259</v>
      </c>
      <c r="K382" s="1">
        <v>972</v>
      </c>
      <c r="L382" s="1">
        <v>310</v>
      </c>
      <c r="M382" s="1">
        <v>573</v>
      </c>
      <c r="N382" s="1">
        <v>479</v>
      </c>
      <c r="O382" s="1">
        <v>132</v>
      </c>
      <c r="P382" s="1">
        <v>843</v>
      </c>
      <c r="Q382" s="1">
        <v>224</v>
      </c>
      <c r="R382" s="1">
        <v>71</v>
      </c>
      <c r="S382" s="1">
        <f>SUM(ecommerce_sales_all_data[[#This Row],[sales_month_1]:[sales_month_12]])</f>
        <v>5374</v>
      </c>
      <c r="T382" s="3">
        <f t="shared" si="70"/>
        <v>31745</v>
      </c>
      <c r="U382" s="3">
        <f t="shared" si="71"/>
        <v>40951.050000000003</v>
      </c>
      <c r="V382" s="3">
        <f t="shared" si="72"/>
        <v>23237.34</v>
      </c>
      <c r="W382" s="3">
        <f t="shared" si="73"/>
        <v>16443.91</v>
      </c>
      <c r="X382" s="3">
        <f t="shared" si="74"/>
        <v>61712.28</v>
      </c>
      <c r="Y382" s="3">
        <f t="shared" si="75"/>
        <v>19681.900000000001</v>
      </c>
      <c r="Z382" s="3">
        <f t="shared" si="76"/>
        <v>36379.770000000004</v>
      </c>
      <c r="AA382" s="3">
        <f t="shared" si="77"/>
        <v>30411.710000000003</v>
      </c>
      <c r="AB382" s="3">
        <f t="shared" si="78"/>
        <v>8380.68</v>
      </c>
      <c r="AC382" s="3">
        <f t="shared" si="79"/>
        <v>53522.07</v>
      </c>
      <c r="AD382" s="3">
        <f t="shared" si="80"/>
        <v>14221.76</v>
      </c>
      <c r="AE382" s="3">
        <f t="shared" si="81"/>
        <v>4507.79</v>
      </c>
      <c r="AF382" s="3">
        <f>SUM(ecommerce_sales_all_data[[#This Row],[revenue_month_1]:[revenue_month_12]])</f>
        <v>341195.26</v>
      </c>
    </row>
    <row r="383" spans="1:32" x14ac:dyDescent="0.3">
      <c r="A383">
        <v>382</v>
      </c>
      <c r="B383" t="s">
        <v>406</v>
      </c>
      <c r="C383" t="s">
        <v>48</v>
      </c>
      <c r="D383" s="2">
        <v>349.88</v>
      </c>
      <c r="E383">
        <v>2.6</v>
      </c>
      <c r="F383">
        <v>142</v>
      </c>
      <c r="G383" s="1">
        <v>664</v>
      </c>
      <c r="H383" s="1">
        <v>619</v>
      </c>
      <c r="I383" s="1">
        <v>911</v>
      </c>
      <c r="J383" s="1">
        <v>74</v>
      </c>
      <c r="K383" s="1">
        <v>112</v>
      </c>
      <c r="L383" s="1">
        <v>468</v>
      </c>
      <c r="M383" s="1">
        <v>696</v>
      </c>
      <c r="N383" s="1">
        <v>154</v>
      </c>
      <c r="O383" s="1">
        <v>591</v>
      </c>
      <c r="P383" s="1">
        <v>443</v>
      </c>
      <c r="Q383" s="1">
        <v>216</v>
      </c>
      <c r="R383" s="1">
        <v>520</v>
      </c>
      <c r="S383" s="1">
        <f>SUM(ecommerce_sales_all_data[[#This Row],[sales_month_1]:[sales_month_12]])</f>
        <v>5468</v>
      </c>
      <c r="T383" s="3">
        <f t="shared" si="70"/>
        <v>232320.32</v>
      </c>
      <c r="U383" s="3">
        <f t="shared" si="71"/>
        <v>216575.72</v>
      </c>
      <c r="V383" s="3">
        <f t="shared" si="72"/>
        <v>318740.68</v>
      </c>
      <c r="W383" s="3">
        <f t="shared" si="73"/>
        <v>25891.119999999999</v>
      </c>
      <c r="X383" s="3">
        <f t="shared" si="74"/>
        <v>39186.559999999998</v>
      </c>
      <c r="Y383" s="3">
        <f t="shared" si="75"/>
        <v>163743.84</v>
      </c>
      <c r="Z383" s="3">
        <f t="shared" si="76"/>
        <v>243516.48</v>
      </c>
      <c r="AA383" s="3">
        <f t="shared" si="77"/>
        <v>53881.52</v>
      </c>
      <c r="AB383" s="3">
        <f t="shared" si="78"/>
        <v>206779.08</v>
      </c>
      <c r="AC383" s="3">
        <f t="shared" si="79"/>
        <v>154996.84</v>
      </c>
      <c r="AD383" s="3">
        <f t="shared" si="80"/>
        <v>75574.080000000002</v>
      </c>
      <c r="AE383" s="3">
        <f t="shared" si="81"/>
        <v>181937.6</v>
      </c>
      <c r="AF383" s="3">
        <f>SUM(ecommerce_sales_all_data[[#This Row],[revenue_month_1]:[revenue_month_12]])</f>
        <v>1913143.8400000003</v>
      </c>
    </row>
    <row r="384" spans="1:32" x14ac:dyDescent="0.3">
      <c r="A384">
        <v>383</v>
      </c>
      <c r="B384" t="s">
        <v>407</v>
      </c>
      <c r="C384" t="s">
        <v>48</v>
      </c>
      <c r="D384" s="2">
        <v>316.33</v>
      </c>
      <c r="E384">
        <v>4.9000000000000004</v>
      </c>
      <c r="F384">
        <v>612</v>
      </c>
      <c r="G384" s="1">
        <v>32</v>
      </c>
      <c r="H384" s="1">
        <v>17</v>
      </c>
      <c r="I384" s="1">
        <v>183</v>
      </c>
      <c r="J384" s="1">
        <v>479</v>
      </c>
      <c r="K384" s="1">
        <v>228</v>
      </c>
      <c r="L384" s="1">
        <v>823</v>
      </c>
      <c r="M384" s="1">
        <v>28</v>
      </c>
      <c r="N384" s="1">
        <v>256</v>
      </c>
      <c r="O384" s="1">
        <v>782</v>
      </c>
      <c r="P384" s="1">
        <v>915</v>
      </c>
      <c r="Q384" s="1">
        <v>567</v>
      </c>
      <c r="R384" s="1">
        <v>365</v>
      </c>
      <c r="S384" s="1">
        <f>SUM(ecommerce_sales_all_data[[#This Row],[sales_month_1]:[sales_month_12]])</f>
        <v>4675</v>
      </c>
      <c r="T384" s="3">
        <f t="shared" si="70"/>
        <v>10122.56</v>
      </c>
      <c r="U384" s="3">
        <f t="shared" si="71"/>
        <v>5377.61</v>
      </c>
      <c r="V384" s="3">
        <f t="shared" si="72"/>
        <v>57888.39</v>
      </c>
      <c r="W384" s="3">
        <f t="shared" si="73"/>
        <v>151522.06999999998</v>
      </c>
      <c r="X384" s="3">
        <f t="shared" si="74"/>
        <v>72123.239999999991</v>
      </c>
      <c r="Y384" s="3">
        <f t="shared" si="75"/>
        <v>260339.59</v>
      </c>
      <c r="Z384" s="3">
        <f t="shared" si="76"/>
        <v>8857.24</v>
      </c>
      <c r="AA384" s="3">
        <f t="shared" si="77"/>
        <v>80980.479999999996</v>
      </c>
      <c r="AB384" s="3">
        <f t="shared" si="78"/>
        <v>247370.06</v>
      </c>
      <c r="AC384" s="3">
        <f t="shared" si="79"/>
        <v>289441.95</v>
      </c>
      <c r="AD384" s="3">
        <f t="shared" si="80"/>
        <v>179359.11</v>
      </c>
      <c r="AE384" s="3">
        <f t="shared" si="81"/>
        <v>115460.45</v>
      </c>
      <c r="AF384" s="3">
        <f>SUM(ecommerce_sales_all_data[[#This Row],[revenue_month_1]:[revenue_month_12]])</f>
        <v>1478842.7499999998</v>
      </c>
    </row>
    <row r="385" spans="1:32" x14ac:dyDescent="0.3">
      <c r="A385">
        <v>384</v>
      </c>
      <c r="B385" t="s">
        <v>408</v>
      </c>
      <c r="C385" t="s">
        <v>26</v>
      </c>
      <c r="D385" s="2">
        <v>439.35</v>
      </c>
      <c r="E385">
        <v>2</v>
      </c>
      <c r="F385">
        <v>501</v>
      </c>
      <c r="G385" s="1">
        <v>54</v>
      </c>
      <c r="H385" s="1">
        <v>605</v>
      </c>
      <c r="I385" s="1">
        <v>587</v>
      </c>
      <c r="J385" s="1">
        <v>304</v>
      </c>
      <c r="K385" s="1">
        <v>170</v>
      </c>
      <c r="L385" s="1">
        <v>707</v>
      </c>
      <c r="M385" s="1">
        <v>892</v>
      </c>
      <c r="N385" s="1">
        <v>234</v>
      </c>
      <c r="O385" s="1">
        <v>752</v>
      </c>
      <c r="P385" s="1">
        <v>433</v>
      </c>
      <c r="Q385" s="1">
        <v>30</v>
      </c>
      <c r="R385" s="1">
        <v>932</v>
      </c>
      <c r="S385" s="1">
        <f>SUM(ecommerce_sales_all_data[[#This Row],[sales_month_1]:[sales_month_12]])</f>
        <v>5700</v>
      </c>
      <c r="T385" s="3">
        <f t="shared" si="70"/>
        <v>23724.9</v>
      </c>
      <c r="U385" s="3">
        <f t="shared" si="71"/>
        <v>265806.75</v>
      </c>
      <c r="V385" s="3">
        <f t="shared" si="72"/>
        <v>257898.45</v>
      </c>
      <c r="W385" s="3">
        <f t="shared" si="73"/>
        <v>133562.4</v>
      </c>
      <c r="X385" s="3">
        <f t="shared" si="74"/>
        <v>74689.5</v>
      </c>
      <c r="Y385" s="3">
        <f t="shared" si="75"/>
        <v>310620.45</v>
      </c>
      <c r="Z385" s="3">
        <f t="shared" si="76"/>
        <v>391900.2</v>
      </c>
      <c r="AA385" s="3">
        <f t="shared" si="77"/>
        <v>102807.90000000001</v>
      </c>
      <c r="AB385" s="3">
        <f t="shared" si="78"/>
        <v>330391.2</v>
      </c>
      <c r="AC385" s="3">
        <f t="shared" si="79"/>
        <v>190238.55000000002</v>
      </c>
      <c r="AD385" s="3">
        <f t="shared" si="80"/>
        <v>13180.5</v>
      </c>
      <c r="AE385" s="3">
        <f t="shared" si="81"/>
        <v>409474.2</v>
      </c>
      <c r="AF385" s="3">
        <f>SUM(ecommerce_sales_all_data[[#This Row],[revenue_month_1]:[revenue_month_12]])</f>
        <v>2504295</v>
      </c>
    </row>
    <row r="386" spans="1:32" x14ac:dyDescent="0.3">
      <c r="A386">
        <v>385</v>
      </c>
      <c r="B386" t="s">
        <v>409</v>
      </c>
      <c r="C386" t="s">
        <v>48</v>
      </c>
      <c r="D386" s="2">
        <v>368.86</v>
      </c>
      <c r="E386">
        <v>3.6</v>
      </c>
      <c r="F386">
        <v>840</v>
      </c>
      <c r="G386" s="1">
        <v>953</v>
      </c>
      <c r="H386" s="1">
        <v>661</v>
      </c>
      <c r="I386" s="1">
        <v>286</v>
      </c>
      <c r="J386" s="1">
        <v>6</v>
      </c>
      <c r="K386" s="1">
        <v>294</v>
      </c>
      <c r="L386" s="1">
        <v>862</v>
      </c>
      <c r="M386" s="1">
        <v>113</v>
      </c>
      <c r="N386" s="1">
        <v>499</v>
      </c>
      <c r="O386" s="1">
        <v>539</v>
      </c>
      <c r="P386" s="1">
        <v>642</v>
      </c>
      <c r="Q386" s="1">
        <v>868</v>
      </c>
      <c r="R386" s="1">
        <v>93</v>
      </c>
      <c r="S386" s="1">
        <f>SUM(ecommerce_sales_all_data[[#This Row],[sales_month_1]:[sales_month_12]])</f>
        <v>5816</v>
      </c>
      <c r="T386" s="3">
        <f t="shared" ref="T386:T449" si="82">G386*$D386</f>
        <v>351523.58</v>
      </c>
      <c r="U386" s="3">
        <f t="shared" ref="U386:U449" si="83">H386*$D386</f>
        <v>243816.46000000002</v>
      </c>
      <c r="V386" s="3">
        <f t="shared" si="72"/>
        <v>105493.96</v>
      </c>
      <c r="W386" s="3">
        <f t="shared" si="73"/>
        <v>2213.16</v>
      </c>
      <c r="X386" s="3">
        <f t="shared" si="74"/>
        <v>108444.84000000001</v>
      </c>
      <c r="Y386" s="3">
        <f t="shared" si="75"/>
        <v>317957.32</v>
      </c>
      <c r="Z386" s="3">
        <f t="shared" si="76"/>
        <v>41681.18</v>
      </c>
      <c r="AA386" s="3">
        <f t="shared" si="77"/>
        <v>184061.14</v>
      </c>
      <c r="AB386" s="3">
        <f t="shared" si="78"/>
        <v>198815.54</v>
      </c>
      <c r="AC386" s="3">
        <f t="shared" si="79"/>
        <v>236808.12</v>
      </c>
      <c r="AD386" s="3">
        <f t="shared" si="80"/>
        <v>320170.48000000004</v>
      </c>
      <c r="AE386" s="3">
        <f t="shared" si="81"/>
        <v>34303.980000000003</v>
      </c>
      <c r="AF386" s="3">
        <f>SUM(ecommerce_sales_all_data[[#This Row],[revenue_month_1]:[revenue_month_12]])</f>
        <v>2145289.7600000002</v>
      </c>
    </row>
    <row r="387" spans="1:32" x14ac:dyDescent="0.3">
      <c r="A387">
        <v>386</v>
      </c>
      <c r="B387" t="s">
        <v>410</v>
      </c>
      <c r="C387" t="s">
        <v>21</v>
      </c>
      <c r="D387" s="2">
        <v>402.72</v>
      </c>
      <c r="E387">
        <v>2.2999999999999998</v>
      </c>
      <c r="F387">
        <v>702</v>
      </c>
      <c r="G387" s="1">
        <v>518</v>
      </c>
      <c r="H387" s="1">
        <v>757</v>
      </c>
      <c r="I387" s="1">
        <v>471</v>
      </c>
      <c r="J387" s="1">
        <v>365</v>
      </c>
      <c r="K387" s="1">
        <v>188</v>
      </c>
      <c r="L387" s="1">
        <v>43</v>
      </c>
      <c r="M387" s="1">
        <v>461</v>
      </c>
      <c r="N387" s="1">
        <v>288</v>
      </c>
      <c r="O387" s="1">
        <v>734</v>
      </c>
      <c r="P387" s="1">
        <v>554</v>
      </c>
      <c r="Q387" s="1">
        <v>58</v>
      </c>
      <c r="R387" s="1">
        <v>372</v>
      </c>
      <c r="S387" s="1">
        <f>SUM(ecommerce_sales_all_data[[#This Row],[sales_month_1]:[sales_month_12]])</f>
        <v>4809</v>
      </c>
      <c r="T387" s="3">
        <f t="shared" si="82"/>
        <v>208608.96000000002</v>
      </c>
      <c r="U387" s="3">
        <f t="shared" si="83"/>
        <v>304859.04000000004</v>
      </c>
      <c r="V387" s="3">
        <f t="shared" ref="V387:V450" si="84">I387*$D387</f>
        <v>189681.12000000002</v>
      </c>
      <c r="W387" s="3">
        <f t="shared" ref="W387:W450" si="85">J387*$D387</f>
        <v>146992.80000000002</v>
      </c>
      <c r="X387" s="3">
        <f t="shared" ref="X387:X450" si="86">K387*$D387</f>
        <v>75711.360000000001</v>
      </c>
      <c r="Y387" s="3">
        <f t="shared" ref="Y387:Y450" si="87">L387*$D387</f>
        <v>17316.960000000003</v>
      </c>
      <c r="Z387" s="3">
        <f t="shared" ref="Z387:Z450" si="88">M387*$D387</f>
        <v>185653.92</v>
      </c>
      <c r="AA387" s="3">
        <f t="shared" ref="AA387:AA450" si="89">N387*$D387</f>
        <v>115983.36000000002</v>
      </c>
      <c r="AB387" s="3">
        <f t="shared" ref="AB387:AB450" si="90">O387*$D387</f>
        <v>295596.48000000004</v>
      </c>
      <c r="AC387" s="3">
        <f t="shared" ref="AC387:AC450" si="91">P387*$D387</f>
        <v>223106.88</v>
      </c>
      <c r="AD387" s="3">
        <f t="shared" ref="AD387:AD450" si="92">Q387*$D387</f>
        <v>23357.760000000002</v>
      </c>
      <c r="AE387" s="3">
        <f t="shared" ref="AE387:AE450" si="93">R387*$D387</f>
        <v>149811.84</v>
      </c>
      <c r="AF387" s="3">
        <f>SUM(ecommerce_sales_all_data[[#This Row],[revenue_month_1]:[revenue_month_12]])</f>
        <v>1936680.4800000004</v>
      </c>
    </row>
    <row r="388" spans="1:32" x14ac:dyDescent="0.3">
      <c r="A388">
        <v>387</v>
      </c>
      <c r="B388" t="s">
        <v>411</v>
      </c>
      <c r="C388" t="s">
        <v>48</v>
      </c>
      <c r="D388" s="2">
        <v>144.61000000000001</v>
      </c>
      <c r="E388">
        <v>4.0999999999999996</v>
      </c>
      <c r="F388">
        <v>547</v>
      </c>
      <c r="G388" s="1">
        <v>755</v>
      </c>
      <c r="H388" s="1">
        <v>288</v>
      </c>
      <c r="I388" s="1">
        <v>374</v>
      </c>
      <c r="J388" s="1">
        <v>633</v>
      </c>
      <c r="K388" s="1">
        <v>425</v>
      </c>
      <c r="L388" s="1">
        <v>414</v>
      </c>
      <c r="M388" s="1">
        <v>920</v>
      </c>
      <c r="N388" s="1">
        <v>509</v>
      </c>
      <c r="O388" s="1">
        <v>534</v>
      </c>
      <c r="P388" s="1">
        <v>56</v>
      </c>
      <c r="Q388" s="1">
        <v>891</v>
      </c>
      <c r="R388" s="1">
        <v>338</v>
      </c>
      <c r="S388" s="1">
        <f>SUM(ecommerce_sales_all_data[[#This Row],[sales_month_1]:[sales_month_12]])</f>
        <v>6137</v>
      </c>
      <c r="T388" s="3">
        <f t="shared" si="82"/>
        <v>109180.55000000002</v>
      </c>
      <c r="U388" s="3">
        <f t="shared" si="83"/>
        <v>41647.680000000008</v>
      </c>
      <c r="V388" s="3">
        <f t="shared" si="84"/>
        <v>54084.140000000007</v>
      </c>
      <c r="W388" s="3">
        <f t="shared" si="85"/>
        <v>91538.13</v>
      </c>
      <c r="X388" s="3">
        <f t="shared" si="86"/>
        <v>61459.250000000007</v>
      </c>
      <c r="Y388" s="3">
        <f t="shared" si="87"/>
        <v>59868.540000000008</v>
      </c>
      <c r="Z388" s="3">
        <f t="shared" si="88"/>
        <v>133041.20000000001</v>
      </c>
      <c r="AA388" s="3">
        <f t="shared" si="89"/>
        <v>73606.490000000005</v>
      </c>
      <c r="AB388" s="3">
        <f t="shared" si="90"/>
        <v>77221.740000000005</v>
      </c>
      <c r="AC388" s="3">
        <f t="shared" si="91"/>
        <v>8098.1600000000008</v>
      </c>
      <c r="AD388" s="3">
        <f t="shared" si="92"/>
        <v>128847.51000000001</v>
      </c>
      <c r="AE388" s="3">
        <f t="shared" si="93"/>
        <v>48878.180000000008</v>
      </c>
      <c r="AF388" s="3">
        <f>SUM(ecommerce_sales_all_data[[#This Row],[revenue_month_1]:[revenue_month_12]])</f>
        <v>887471.57000000007</v>
      </c>
    </row>
    <row r="389" spans="1:32" x14ac:dyDescent="0.3">
      <c r="A389">
        <v>388</v>
      </c>
      <c r="B389" t="s">
        <v>412</v>
      </c>
      <c r="C389" t="s">
        <v>23</v>
      </c>
      <c r="D389" s="2">
        <v>92.83</v>
      </c>
      <c r="E389">
        <v>1.5</v>
      </c>
      <c r="F389">
        <v>659</v>
      </c>
      <c r="G389" s="1">
        <v>824</v>
      </c>
      <c r="H389" s="1">
        <v>413</v>
      </c>
      <c r="I389" s="1">
        <v>653</v>
      </c>
      <c r="J389" s="1">
        <v>522</v>
      </c>
      <c r="K389" s="1">
        <v>976</v>
      </c>
      <c r="L389" s="1">
        <v>697</v>
      </c>
      <c r="M389" s="1">
        <v>142</v>
      </c>
      <c r="N389" s="1">
        <v>551</v>
      </c>
      <c r="O389" s="1">
        <v>495</v>
      </c>
      <c r="P389" s="1">
        <v>561</v>
      </c>
      <c r="Q389" s="1">
        <v>897</v>
      </c>
      <c r="R389" s="1">
        <v>436</v>
      </c>
      <c r="S389" s="1">
        <f>SUM(ecommerce_sales_all_data[[#This Row],[sales_month_1]:[sales_month_12]])</f>
        <v>7167</v>
      </c>
      <c r="T389" s="3">
        <f t="shared" si="82"/>
        <v>76491.92</v>
      </c>
      <c r="U389" s="3">
        <f t="shared" si="83"/>
        <v>38338.79</v>
      </c>
      <c r="V389" s="3">
        <f t="shared" si="84"/>
        <v>60617.99</v>
      </c>
      <c r="W389" s="3">
        <f t="shared" si="85"/>
        <v>48457.26</v>
      </c>
      <c r="X389" s="3">
        <f t="shared" si="86"/>
        <v>90602.08</v>
      </c>
      <c r="Y389" s="3">
        <f t="shared" si="87"/>
        <v>64702.51</v>
      </c>
      <c r="Z389" s="3">
        <f t="shared" si="88"/>
        <v>13181.86</v>
      </c>
      <c r="AA389" s="3">
        <f t="shared" si="89"/>
        <v>51149.33</v>
      </c>
      <c r="AB389" s="3">
        <f t="shared" si="90"/>
        <v>45950.85</v>
      </c>
      <c r="AC389" s="3">
        <f t="shared" si="91"/>
        <v>52077.63</v>
      </c>
      <c r="AD389" s="3">
        <f t="shared" si="92"/>
        <v>83268.509999999995</v>
      </c>
      <c r="AE389" s="3">
        <f t="shared" si="93"/>
        <v>40473.879999999997</v>
      </c>
      <c r="AF389" s="3">
        <f>SUM(ecommerce_sales_all_data[[#This Row],[revenue_month_1]:[revenue_month_12]])</f>
        <v>665312.61</v>
      </c>
    </row>
    <row r="390" spans="1:32" x14ac:dyDescent="0.3">
      <c r="A390">
        <v>389</v>
      </c>
      <c r="B390" t="s">
        <v>413</v>
      </c>
      <c r="C390" t="s">
        <v>35</v>
      </c>
      <c r="D390" s="2">
        <v>376.55</v>
      </c>
      <c r="E390">
        <v>4.9000000000000004</v>
      </c>
      <c r="F390">
        <v>542</v>
      </c>
      <c r="G390" s="1">
        <v>637</v>
      </c>
      <c r="H390" s="1">
        <v>720</v>
      </c>
      <c r="I390" s="1">
        <v>748</v>
      </c>
      <c r="J390" s="1">
        <v>347</v>
      </c>
      <c r="K390" s="1">
        <v>78</v>
      </c>
      <c r="L390" s="1">
        <v>854</v>
      </c>
      <c r="M390" s="1">
        <v>389</v>
      </c>
      <c r="N390" s="1">
        <v>799</v>
      </c>
      <c r="O390" s="1">
        <v>620</v>
      </c>
      <c r="P390" s="1">
        <v>963</v>
      </c>
      <c r="Q390" s="1">
        <v>352</v>
      </c>
      <c r="R390" s="1">
        <v>335</v>
      </c>
      <c r="S390" s="1">
        <f>SUM(ecommerce_sales_all_data[[#This Row],[sales_month_1]:[sales_month_12]])</f>
        <v>6842</v>
      </c>
      <c r="T390" s="3">
        <f t="shared" si="82"/>
        <v>239862.35</v>
      </c>
      <c r="U390" s="3">
        <f t="shared" si="83"/>
        <v>271116</v>
      </c>
      <c r="V390" s="3">
        <f t="shared" si="84"/>
        <v>281659.40000000002</v>
      </c>
      <c r="W390" s="3">
        <f t="shared" si="85"/>
        <v>130662.85</v>
      </c>
      <c r="X390" s="3">
        <f t="shared" si="86"/>
        <v>29370.9</v>
      </c>
      <c r="Y390" s="3">
        <f t="shared" si="87"/>
        <v>321573.7</v>
      </c>
      <c r="Z390" s="3">
        <f t="shared" si="88"/>
        <v>146477.95000000001</v>
      </c>
      <c r="AA390" s="3">
        <f t="shared" si="89"/>
        <v>300863.45</v>
      </c>
      <c r="AB390" s="3">
        <f t="shared" si="90"/>
        <v>233461</v>
      </c>
      <c r="AC390" s="3">
        <f t="shared" si="91"/>
        <v>362617.65</v>
      </c>
      <c r="AD390" s="3">
        <f t="shared" si="92"/>
        <v>132545.60000000001</v>
      </c>
      <c r="AE390" s="3">
        <f t="shared" si="93"/>
        <v>126144.25</v>
      </c>
      <c r="AF390" s="3">
        <f>SUM(ecommerce_sales_all_data[[#This Row],[revenue_month_1]:[revenue_month_12]])</f>
        <v>2576355.1</v>
      </c>
    </row>
    <row r="391" spans="1:32" x14ac:dyDescent="0.3">
      <c r="A391">
        <v>390</v>
      </c>
      <c r="B391" t="s">
        <v>414</v>
      </c>
      <c r="C391" t="s">
        <v>21</v>
      </c>
      <c r="D391" s="2">
        <v>404.38</v>
      </c>
      <c r="E391">
        <v>2.8</v>
      </c>
      <c r="F391">
        <v>846</v>
      </c>
      <c r="G391" s="1">
        <v>11</v>
      </c>
      <c r="H391" s="1">
        <v>637</v>
      </c>
      <c r="I391" s="1">
        <v>536</v>
      </c>
      <c r="J391" s="1">
        <v>437</v>
      </c>
      <c r="K391" s="1">
        <v>657</v>
      </c>
      <c r="L391" s="1">
        <v>245</v>
      </c>
      <c r="M391" s="1">
        <v>631</v>
      </c>
      <c r="N391" s="1">
        <v>708</v>
      </c>
      <c r="O391" s="1">
        <v>618</v>
      </c>
      <c r="P391" s="1">
        <v>976</v>
      </c>
      <c r="Q391" s="1">
        <v>934</v>
      </c>
      <c r="R391" s="1">
        <v>663</v>
      </c>
      <c r="S391" s="1">
        <f>SUM(ecommerce_sales_all_data[[#This Row],[sales_month_1]:[sales_month_12]])</f>
        <v>7053</v>
      </c>
      <c r="T391" s="3">
        <f t="shared" si="82"/>
        <v>4448.18</v>
      </c>
      <c r="U391" s="3">
        <f t="shared" si="83"/>
        <v>257590.06</v>
      </c>
      <c r="V391" s="3">
        <f t="shared" si="84"/>
        <v>216747.68</v>
      </c>
      <c r="W391" s="3">
        <f t="shared" si="85"/>
        <v>176714.06</v>
      </c>
      <c r="X391" s="3">
        <f t="shared" si="86"/>
        <v>265677.65999999997</v>
      </c>
      <c r="Y391" s="3">
        <f t="shared" si="87"/>
        <v>99073.1</v>
      </c>
      <c r="Z391" s="3">
        <f t="shared" si="88"/>
        <v>255163.78</v>
      </c>
      <c r="AA391" s="3">
        <f t="shared" si="89"/>
        <v>286301.03999999998</v>
      </c>
      <c r="AB391" s="3">
        <f t="shared" si="90"/>
        <v>249906.84</v>
      </c>
      <c r="AC391" s="3">
        <f t="shared" si="91"/>
        <v>394674.88</v>
      </c>
      <c r="AD391" s="3">
        <f t="shared" si="92"/>
        <v>377690.92</v>
      </c>
      <c r="AE391" s="3">
        <f t="shared" si="93"/>
        <v>268103.94</v>
      </c>
      <c r="AF391" s="3">
        <f>SUM(ecommerce_sales_all_data[[#This Row],[revenue_month_1]:[revenue_month_12]])</f>
        <v>2852092.1399999997</v>
      </c>
    </row>
    <row r="392" spans="1:32" x14ac:dyDescent="0.3">
      <c r="A392">
        <v>391</v>
      </c>
      <c r="B392" t="s">
        <v>415</v>
      </c>
      <c r="C392" t="s">
        <v>26</v>
      </c>
      <c r="D392" s="2">
        <v>495.3</v>
      </c>
      <c r="E392">
        <v>1.9</v>
      </c>
      <c r="F392">
        <v>507</v>
      </c>
      <c r="G392" s="1">
        <v>527</v>
      </c>
      <c r="H392" s="1">
        <v>234</v>
      </c>
      <c r="I392" s="1">
        <v>510</v>
      </c>
      <c r="J392" s="1">
        <v>1000</v>
      </c>
      <c r="K392" s="1">
        <v>918</v>
      </c>
      <c r="L392" s="1">
        <v>948</v>
      </c>
      <c r="M392" s="1">
        <v>681</v>
      </c>
      <c r="N392" s="1">
        <v>784</v>
      </c>
      <c r="O392" s="1">
        <v>656</v>
      </c>
      <c r="P392" s="1">
        <v>177</v>
      </c>
      <c r="Q392" s="1">
        <v>444</v>
      </c>
      <c r="R392" s="1">
        <v>491</v>
      </c>
      <c r="S392" s="1">
        <f>SUM(ecommerce_sales_all_data[[#This Row],[sales_month_1]:[sales_month_12]])</f>
        <v>7370</v>
      </c>
      <c r="T392" s="3">
        <f t="shared" si="82"/>
        <v>261023.1</v>
      </c>
      <c r="U392" s="3">
        <f t="shared" si="83"/>
        <v>115900.2</v>
      </c>
      <c r="V392" s="3">
        <f t="shared" si="84"/>
        <v>252603</v>
      </c>
      <c r="W392" s="3">
        <f t="shared" si="85"/>
        <v>495300</v>
      </c>
      <c r="X392" s="3">
        <f t="shared" si="86"/>
        <v>454685.4</v>
      </c>
      <c r="Y392" s="3">
        <f t="shared" si="87"/>
        <v>469544.4</v>
      </c>
      <c r="Z392" s="3">
        <f t="shared" si="88"/>
        <v>337299.3</v>
      </c>
      <c r="AA392" s="3">
        <f t="shared" si="89"/>
        <v>388315.2</v>
      </c>
      <c r="AB392" s="3">
        <f t="shared" si="90"/>
        <v>324916.8</v>
      </c>
      <c r="AC392" s="3">
        <f t="shared" si="91"/>
        <v>87668.1</v>
      </c>
      <c r="AD392" s="3">
        <f t="shared" si="92"/>
        <v>219913.2</v>
      </c>
      <c r="AE392" s="3">
        <f t="shared" si="93"/>
        <v>243192.30000000002</v>
      </c>
      <c r="AF392" s="3">
        <f>SUM(ecommerce_sales_all_data[[#This Row],[revenue_month_1]:[revenue_month_12]])</f>
        <v>3650361</v>
      </c>
    </row>
    <row r="393" spans="1:32" x14ac:dyDescent="0.3">
      <c r="A393">
        <v>392</v>
      </c>
      <c r="B393" t="s">
        <v>416</v>
      </c>
      <c r="C393" t="s">
        <v>23</v>
      </c>
      <c r="D393" s="2">
        <v>209.25</v>
      </c>
      <c r="E393">
        <v>1.3</v>
      </c>
      <c r="F393">
        <v>596</v>
      </c>
      <c r="G393" s="1">
        <v>719</v>
      </c>
      <c r="H393" s="1">
        <v>415</v>
      </c>
      <c r="I393" s="1">
        <v>801</v>
      </c>
      <c r="J393" s="1">
        <v>214</v>
      </c>
      <c r="K393" s="1">
        <v>181</v>
      </c>
      <c r="L393" s="1">
        <v>83</v>
      </c>
      <c r="M393" s="1">
        <v>156</v>
      </c>
      <c r="N393" s="1">
        <v>893</v>
      </c>
      <c r="O393" s="1">
        <v>368</v>
      </c>
      <c r="P393" s="1">
        <v>292</v>
      </c>
      <c r="Q393" s="1">
        <v>234</v>
      </c>
      <c r="R393" s="1">
        <v>916</v>
      </c>
      <c r="S393" s="1">
        <f>SUM(ecommerce_sales_all_data[[#This Row],[sales_month_1]:[sales_month_12]])</f>
        <v>5272</v>
      </c>
      <c r="T393" s="3">
        <f t="shared" si="82"/>
        <v>150450.75</v>
      </c>
      <c r="U393" s="3">
        <f t="shared" si="83"/>
        <v>86838.75</v>
      </c>
      <c r="V393" s="3">
        <f t="shared" si="84"/>
        <v>167609.25</v>
      </c>
      <c r="W393" s="3">
        <f t="shared" si="85"/>
        <v>44779.5</v>
      </c>
      <c r="X393" s="3">
        <f t="shared" si="86"/>
        <v>37874.25</v>
      </c>
      <c r="Y393" s="3">
        <f t="shared" si="87"/>
        <v>17367.75</v>
      </c>
      <c r="Z393" s="3">
        <f t="shared" si="88"/>
        <v>32643</v>
      </c>
      <c r="AA393" s="3">
        <f t="shared" si="89"/>
        <v>186860.25</v>
      </c>
      <c r="AB393" s="3">
        <f t="shared" si="90"/>
        <v>77004</v>
      </c>
      <c r="AC393" s="3">
        <f t="shared" si="91"/>
        <v>61101</v>
      </c>
      <c r="AD393" s="3">
        <f t="shared" si="92"/>
        <v>48964.5</v>
      </c>
      <c r="AE393" s="3">
        <f t="shared" si="93"/>
        <v>191673</v>
      </c>
      <c r="AF393" s="3">
        <f>SUM(ecommerce_sales_all_data[[#This Row],[revenue_month_1]:[revenue_month_12]])</f>
        <v>1103166</v>
      </c>
    </row>
    <row r="394" spans="1:32" x14ac:dyDescent="0.3">
      <c r="A394">
        <v>393</v>
      </c>
      <c r="B394" t="s">
        <v>417</v>
      </c>
      <c r="C394" t="s">
        <v>23</v>
      </c>
      <c r="D394" s="2">
        <v>189.15</v>
      </c>
      <c r="E394">
        <v>1.7</v>
      </c>
      <c r="F394">
        <v>881</v>
      </c>
      <c r="G394" s="1">
        <v>554</v>
      </c>
      <c r="H394" s="1">
        <v>937</v>
      </c>
      <c r="I394" s="1">
        <v>578</v>
      </c>
      <c r="J394" s="1">
        <v>428</v>
      </c>
      <c r="K394" s="1">
        <v>498</v>
      </c>
      <c r="L394" s="1">
        <v>206</v>
      </c>
      <c r="M394" s="1">
        <v>334</v>
      </c>
      <c r="N394" s="1">
        <v>775</v>
      </c>
      <c r="O394" s="1">
        <v>865</v>
      </c>
      <c r="P394" s="1">
        <v>45</v>
      </c>
      <c r="Q394" s="1">
        <v>106</v>
      </c>
      <c r="R394" s="1">
        <v>867</v>
      </c>
      <c r="S394" s="1">
        <f>SUM(ecommerce_sales_all_data[[#This Row],[sales_month_1]:[sales_month_12]])</f>
        <v>6193</v>
      </c>
      <c r="T394" s="3">
        <f t="shared" si="82"/>
        <v>104789.1</v>
      </c>
      <c r="U394" s="3">
        <f t="shared" si="83"/>
        <v>177233.55000000002</v>
      </c>
      <c r="V394" s="3">
        <f t="shared" si="84"/>
        <v>109328.7</v>
      </c>
      <c r="W394" s="3">
        <f t="shared" si="85"/>
        <v>80956.2</v>
      </c>
      <c r="X394" s="3">
        <f t="shared" si="86"/>
        <v>94196.7</v>
      </c>
      <c r="Y394" s="3">
        <f t="shared" si="87"/>
        <v>38964.9</v>
      </c>
      <c r="Z394" s="3">
        <f t="shared" si="88"/>
        <v>63176.1</v>
      </c>
      <c r="AA394" s="3">
        <f t="shared" si="89"/>
        <v>146591.25</v>
      </c>
      <c r="AB394" s="3">
        <f t="shared" si="90"/>
        <v>163614.75</v>
      </c>
      <c r="AC394" s="3">
        <f t="shared" si="91"/>
        <v>8511.75</v>
      </c>
      <c r="AD394" s="3">
        <f t="shared" si="92"/>
        <v>20049.900000000001</v>
      </c>
      <c r="AE394" s="3">
        <f t="shared" si="93"/>
        <v>163993.05000000002</v>
      </c>
      <c r="AF394" s="3">
        <f>SUM(ecommerce_sales_all_data[[#This Row],[revenue_month_1]:[revenue_month_12]])</f>
        <v>1171405.95</v>
      </c>
    </row>
    <row r="395" spans="1:32" x14ac:dyDescent="0.3">
      <c r="A395">
        <v>394</v>
      </c>
      <c r="B395" t="s">
        <v>418</v>
      </c>
      <c r="C395" t="s">
        <v>35</v>
      </c>
      <c r="D395" s="2">
        <v>389.32</v>
      </c>
      <c r="E395">
        <v>3.1</v>
      </c>
      <c r="F395">
        <v>281</v>
      </c>
      <c r="G395" s="1">
        <v>372</v>
      </c>
      <c r="H395" s="1">
        <v>498</v>
      </c>
      <c r="I395" s="1">
        <v>249</v>
      </c>
      <c r="J395" s="1">
        <v>790</v>
      </c>
      <c r="K395" s="1">
        <v>797</v>
      </c>
      <c r="L395" s="1">
        <v>150</v>
      </c>
      <c r="M395" s="1">
        <v>860</v>
      </c>
      <c r="N395" s="1">
        <v>568</v>
      </c>
      <c r="O395" s="1">
        <v>908</v>
      </c>
      <c r="P395" s="1">
        <v>169</v>
      </c>
      <c r="Q395" s="1">
        <v>190</v>
      </c>
      <c r="R395" s="1">
        <v>39</v>
      </c>
      <c r="S395" s="1">
        <f>SUM(ecommerce_sales_all_data[[#This Row],[sales_month_1]:[sales_month_12]])</f>
        <v>5590</v>
      </c>
      <c r="T395" s="3">
        <f t="shared" si="82"/>
        <v>144827.04</v>
      </c>
      <c r="U395" s="3">
        <f t="shared" si="83"/>
        <v>193881.36</v>
      </c>
      <c r="V395" s="3">
        <f t="shared" si="84"/>
        <v>96940.68</v>
      </c>
      <c r="W395" s="3">
        <f t="shared" si="85"/>
        <v>307562.8</v>
      </c>
      <c r="X395" s="3">
        <f t="shared" si="86"/>
        <v>310288.03999999998</v>
      </c>
      <c r="Y395" s="3">
        <f t="shared" si="87"/>
        <v>58398</v>
      </c>
      <c r="Z395" s="3">
        <f t="shared" si="88"/>
        <v>334815.2</v>
      </c>
      <c r="AA395" s="3">
        <f t="shared" si="89"/>
        <v>221133.76</v>
      </c>
      <c r="AB395" s="3">
        <f t="shared" si="90"/>
        <v>353502.56</v>
      </c>
      <c r="AC395" s="3">
        <f t="shared" si="91"/>
        <v>65795.08</v>
      </c>
      <c r="AD395" s="3">
        <f t="shared" si="92"/>
        <v>73970.8</v>
      </c>
      <c r="AE395" s="3">
        <f t="shared" si="93"/>
        <v>15183.48</v>
      </c>
      <c r="AF395" s="3">
        <f>SUM(ecommerce_sales_all_data[[#This Row],[revenue_month_1]:[revenue_month_12]])</f>
        <v>2176298.7999999998</v>
      </c>
    </row>
    <row r="396" spans="1:32" x14ac:dyDescent="0.3">
      <c r="A396">
        <v>395</v>
      </c>
      <c r="B396" t="s">
        <v>419</v>
      </c>
      <c r="C396" t="s">
        <v>19</v>
      </c>
      <c r="D396" s="2">
        <v>173.7</v>
      </c>
      <c r="E396">
        <v>2.2999999999999998</v>
      </c>
      <c r="F396">
        <v>424</v>
      </c>
      <c r="G396" s="1">
        <v>483</v>
      </c>
      <c r="H396" s="1">
        <v>973</v>
      </c>
      <c r="I396" s="1">
        <v>919</v>
      </c>
      <c r="J396" s="1">
        <v>497</v>
      </c>
      <c r="K396" s="1">
        <v>761</v>
      </c>
      <c r="L396" s="1">
        <v>667</v>
      </c>
      <c r="M396" s="1">
        <v>259</v>
      </c>
      <c r="N396" s="1">
        <v>297</v>
      </c>
      <c r="O396" s="1">
        <v>909</v>
      </c>
      <c r="P396" s="1">
        <v>270</v>
      </c>
      <c r="Q396" s="1">
        <v>991</v>
      </c>
      <c r="R396" s="1">
        <v>358</v>
      </c>
      <c r="S396" s="1">
        <f>SUM(ecommerce_sales_all_data[[#This Row],[sales_month_1]:[sales_month_12]])</f>
        <v>7384</v>
      </c>
      <c r="T396" s="3">
        <f t="shared" si="82"/>
        <v>83897.099999999991</v>
      </c>
      <c r="U396" s="3">
        <f t="shared" si="83"/>
        <v>169010.09999999998</v>
      </c>
      <c r="V396" s="3">
        <f t="shared" si="84"/>
        <v>159630.29999999999</v>
      </c>
      <c r="W396" s="3">
        <f t="shared" si="85"/>
        <v>86328.9</v>
      </c>
      <c r="X396" s="3">
        <f t="shared" si="86"/>
        <v>132185.69999999998</v>
      </c>
      <c r="Y396" s="3">
        <f t="shared" si="87"/>
        <v>115857.9</v>
      </c>
      <c r="Z396" s="3">
        <f t="shared" si="88"/>
        <v>44988.299999999996</v>
      </c>
      <c r="AA396" s="3">
        <f t="shared" si="89"/>
        <v>51588.899999999994</v>
      </c>
      <c r="AB396" s="3">
        <f t="shared" si="90"/>
        <v>157893.29999999999</v>
      </c>
      <c r="AC396" s="3">
        <f t="shared" si="91"/>
        <v>46899</v>
      </c>
      <c r="AD396" s="3">
        <f t="shared" si="92"/>
        <v>172136.69999999998</v>
      </c>
      <c r="AE396" s="3">
        <f t="shared" si="93"/>
        <v>62184.6</v>
      </c>
      <c r="AF396" s="3">
        <f>SUM(ecommerce_sales_all_data[[#This Row],[revenue_month_1]:[revenue_month_12]])</f>
        <v>1282600.8</v>
      </c>
    </row>
    <row r="397" spans="1:32" x14ac:dyDescent="0.3">
      <c r="A397">
        <v>396</v>
      </c>
      <c r="B397" t="s">
        <v>420</v>
      </c>
      <c r="C397" t="s">
        <v>21</v>
      </c>
      <c r="D397" s="2">
        <v>465.72</v>
      </c>
      <c r="E397">
        <v>4.3</v>
      </c>
      <c r="F397">
        <v>856</v>
      </c>
      <c r="G397" s="1">
        <v>972</v>
      </c>
      <c r="H397" s="1">
        <v>633</v>
      </c>
      <c r="I397" s="1">
        <v>509</v>
      </c>
      <c r="J397" s="1">
        <v>539</v>
      </c>
      <c r="K397" s="1">
        <v>865</v>
      </c>
      <c r="L397" s="1">
        <v>527</v>
      </c>
      <c r="M397" s="1">
        <v>81</v>
      </c>
      <c r="N397" s="1">
        <v>609</v>
      </c>
      <c r="O397" s="1">
        <v>650</v>
      </c>
      <c r="P397" s="1">
        <v>416</v>
      </c>
      <c r="Q397" s="1">
        <v>529</v>
      </c>
      <c r="R397" s="1">
        <v>573</v>
      </c>
      <c r="S397" s="1">
        <f>SUM(ecommerce_sales_all_data[[#This Row],[sales_month_1]:[sales_month_12]])</f>
        <v>6903</v>
      </c>
      <c r="T397" s="3">
        <f t="shared" si="82"/>
        <v>452679.84</v>
      </c>
      <c r="U397" s="3">
        <f t="shared" si="83"/>
        <v>294800.76</v>
      </c>
      <c r="V397" s="3">
        <f t="shared" si="84"/>
        <v>237051.48</v>
      </c>
      <c r="W397" s="3">
        <f t="shared" si="85"/>
        <v>251023.08000000002</v>
      </c>
      <c r="X397" s="3">
        <f t="shared" si="86"/>
        <v>402847.80000000005</v>
      </c>
      <c r="Y397" s="3">
        <f t="shared" si="87"/>
        <v>245434.44</v>
      </c>
      <c r="Z397" s="3">
        <f t="shared" si="88"/>
        <v>37723.32</v>
      </c>
      <c r="AA397" s="3">
        <f t="shared" si="89"/>
        <v>283623.48000000004</v>
      </c>
      <c r="AB397" s="3">
        <f t="shared" si="90"/>
        <v>302718</v>
      </c>
      <c r="AC397" s="3">
        <f t="shared" si="91"/>
        <v>193739.52000000002</v>
      </c>
      <c r="AD397" s="3">
        <f t="shared" si="92"/>
        <v>246365.88</v>
      </c>
      <c r="AE397" s="3">
        <f t="shared" si="93"/>
        <v>266857.56</v>
      </c>
      <c r="AF397" s="3">
        <f>SUM(ecommerce_sales_all_data[[#This Row],[revenue_month_1]:[revenue_month_12]])</f>
        <v>3214865.16</v>
      </c>
    </row>
    <row r="398" spans="1:32" x14ac:dyDescent="0.3">
      <c r="A398">
        <v>397</v>
      </c>
      <c r="B398" t="s">
        <v>421</v>
      </c>
      <c r="C398" t="s">
        <v>35</v>
      </c>
      <c r="D398" s="2">
        <v>429.91</v>
      </c>
      <c r="E398">
        <v>2.7</v>
      </c>
      <c r="F398">
        <v>270</v>
      </c>
      <c r="G398" s="1">
        <v>646</v>
      </c>
      <c r="H398" s="1">
        <v>649</v>
      </c>
      <c r="I398" s="1">
        <v>629</v>
      </c>
      <c r="J398" s="1">
        <v>746</v>
      </c>
      <c r="K398" s="1">
        <v>825</v>
      </c>
      <c r="L398" s="1">
        <v>164</v>
      </c>
      <c r="M398" s="1">
        <v>753</v>
      </c>
      <c r="N398" s="1">
        <v>136</v>
      </c>
      <c r="O398" s="1">
        <v>795</v>
      </c>
      <c r="P398" s="1">
        <v>847</v>
      </c>
      <c r="Q398" s="1">
        <v>912</v>
      </c>
      <c r="R398" s="1">
        <v>253</v>
      </c>
      <c r="S398" s="1">
        <f>SUM(ecommerce_sales_all_data[[#This Row],[sales_month_1]:[sales_month_12]])</f>
        <v>7355</v>
      </c>
      <c r="T398" s="3">
        <f t="shared" si="82"/>
        <v>277721.86000000004</v>
      </c>
      <c r="U398" s="3">
        <f t="shared" si="83"/>
        <v>279011.59000000003</v>
      </c>
      <c r="V398" s="3">
        <f t="shared" si="84"/>
        <v>270413.39</v>
      </c>
      <c r="W398" s="3">
        <f t="shared" si="85"/>
        <v>320712.86000000004</v>
      </c>
      <c r="X398" s="3">
        <f t="shared" si="86"/>
        <v>354675.75</v>
      </c>
      <c r="Y398" s="3">
        <f t="shared" si="87"/>
        <v>70505.240000000005</v>
      </c>
      <c r="Z398" s="3">
        <f t="shared" si="88"/>
        <v>323722.23000000004</v>
      </c>
      <c r="AA398" s="3">
        <f t="shared" si="89"/>
        <v>58467.76</v>
      </c>
      <c r="AB398" s="3">
        <f t="shared" si="90"/>
        <v>341778.45</v>
      </c>
      <c r="AC398" s="3">
        <f t="shared" si="91"/>
        <v>364133.77</v>
      </c>
      <c r="AD398" s="3">
        <f t="shared" si="92"/>
        <v>392077.92000000004</v>
      </c>
      <c r="AE398" s="3">
        <f t="shared" si="93"/>
        <v>108767.23000000001</v>
      </c>
      <c r="AF398" s="3">
        <f>SUM(ecommerce_sales_all_data[[#This Row],[revenue_month_1]:[revenue_month_12]])</f>
        <v>3161988.0500000003</v>
      </c>
    </row>
    <row r="399" spans="1:32" x14ac:dyDescent="0.3">
      <c r="A399">
        <v>398</v>
      </c>
      <c r="B399" t="s">
        <v>422</v>
      </c>
      <c r="C399" t="s">
        <v>23</v>
      </c>
      <c r="D399" s="2">
        <v>217.35</v>
      </c>
      <c r="E399">
        <v>2</v>
      </c>
      <c r="F399">
        <v>154</v>
      </c>
      <c r="G399" s="1">
        <v>227</v>
      </c>
      <c r="H399" s="1">
        <v>114</v>
      </c>
      <c r="I399" s="1">
        <v>72</v>
      </c>
      <c r="J399" s="1">
        <v>366</v>
      </c>
      <c r="K399" s="1">
        <v>707</v>
      </c>
      <c r="L399" s="1">
        <v>916</v>
      </c>
      <c r="M399" s="1">
        <v>440</v>
      </c>
      <c r="N399" s="1">
        <v>375</v>
      </c>
      <c r="O399" s="1">
        <v>809</v>
      </c>
      <c r="P399" s="1">
        <v>138</v>
      </c>
      <c r="Q399" s="1">
        <v>737</v>
      </c>
      <c r="R399" s="1">
        <v>965</v>
      </c>
      <c r="S399" s="1">
        <f>SUM(ecommerce_sales_all_data[[#This Row],[sales_month_1]:[sales_month_12]])</f>
        <v>5866</v>
      </c>
      <c r="T399" s="3">
        <f t="shared" si="82"/>
        <v>49338.45</v>
      </c>
      <c r="U399" s="3">
        <f t="shared" si="83"/>
        <v>24777.899999999998</v>
      </c>
      <c r="V399" s="3">
        <f t="shared" si="84"/>
        <v>15649.199999999999</v>
      </c>
      <c r="W399" s="3">
        <f t="shared" si="85"/>
        <v>79550.099999999991</v>
      </c>
      <c r="X399" s="3">
        <f t="shared" si="86"/>
        <v>153666.44999999998</v>
      </c>
      <c r="Y399" s="3">
        <f t="shared" si="87"/>
        <v>199092.6</v>
      </c>
      <c r="Z399" s="3">
        <f t="shared" si="88"/>
        <v>95634</v>
      </c>
      <c r="AA399" s="3">
        <f t="shared" si="89"/>
        <v>81506.25</v>
      </c>
      <c r="AB399" s="3">
        <f t="shared" si="90"/>
        <v>175836.15</v>
      </c>
      <c r="AC399" s="3">
        <f t="shared" si="91"/>
        <v>29994.3</v>
      </c>
      <c r="AD399" s="3">
        <f t="shared" si="92"/>
        <v>160186.94999999998</v>
      </c>
      <c r="AE399" s="3">
        <f t="shared" si="93"/>
        <v>209742.75</v>
      </c>
      <c r="AF399" s="3">
        <f>SUM(ecommerce_sales_all_data[[#This Row],[revenue_month_1]:[revenue_month_12]])</f>
        <v>1274975.1000000001</v>
      </c>
    </row>
    <row r="400" spans="1:32" x14ac:dyDescent="0.3">
      <c r="A400">
        <v>399</v>
      </c>
      <c r="B400" t="s">
        <v>423</v>
      </c>
      <c r="C400" t="s">
        <v>26</v>
      </c>
      <c r="D400" s="2">
        <v>376.68</v>
      </c>
      <c r="E400">
        <v>3.5</v>
      </c>
      <c r="F400">
        <v>614</v>
      </c>
      <c r="G400" s="1">
        <v>622</v>
      </c>
      <c r="H400" s="1">
        <v>931</v>
      </c>
      <c r="I400" s="1">
        <v>281</v>
      </c>
      <c r="J400" s="1">
        <v>312</v>
      </c>
      <c r="K400" s="1">
        <v>834</v>
      </c>
      <c r="L400" s="1">
        <v>974</v>
      </c>
      <c r="M400" s="1">
        <v>944</v>
      </c>
      <c r="N400" s="1">
        <v>86</v>
      </c>
      <c r="O400" s="1">
        <v>991</v>
      </c>
      <c r="P400" s="1">
        <v>246</v>
      </c>
      <c r="Q400" s="1">
        <v>678</v>
      </c>
      <c r="R400" s="1">
        <v>580</v>
      </c>
      <c r="S400" s="1">
        <f>SUM(ecommerce_sales_all_data[[#This Row],[sales_month_1]:[sales_month_12]])</f>
        <v>7479</v>
      </c>
      <c r="T400" s="3">
        <f t="shared" si="82"/>
        <v>234294.96</v>
      </c>
      <c r="U400" s="3">
        <f t="shared" si="83"/>
        <v>350689.08</v>
      </c>
      <c r="V400" s="3">
        <f t="shared" si="84"/>
        <v>105847.08</v>
      </c>
      <c r="W400" s="3">
        <f t="shared" si="85"/>
        <v>117524.16</v>
      </c>
      <c r="X400" s="3">
        <f t="shared" si="86"/>
        <v>314151.12</v>
      </c>
      <c r="Y400" s="3">
        <f t="shared" si="87"/>
        <v>366886.32</v>
      </c>
      <c r="Z400" s="3">
        <f t="shared" si="88"/>
        <v>355585.92</v>
      </c>
      <c r="AA400" s="3">
        <f t="shared" si="89"/>
        <v>32394.48</v>
      </c>
      <c r="AB400" s="3">
        <f t="shared" si="90"/>
        <v>373289.88</v>
      </c>
      <c r="AC400" s="3">
        <f t="shared" si="91"/>
        <v>92663.28</v>
      </c>
      <c r="AD400" s="3">
        <f t="shared" si="92"/>
        <v>255389.04</v>
      </c>
      <c r="AE400" s="3">
        <f t="shared" si="93"/>
        <v>218474.4</v>
      </c>
      <c r="AF400" s="3">
        <f>SUM(ecommerce_sales_all_data[[#This Row],[revenue_month_1]:[revenue_month_12]])</f>
        <v>2817189.7199999997</v>
      </c>
    </row>
    <row r="401" spans="1:32" x14ac:dyDescent="0.3">
      <c r="A401">
        <v>400</v>
      </c>
      <c r="B401" t="s">
        <v>424</v>
      </c>
      <c r="C401" t="s">
        <v>35</v>
      </c>
      <c r="D401" s="2">
        <v>378.5</v>
      </c>
      <c r="E401">
        <v>3.8</v>
      </c>
      <c r="F401">
        <v>727</v>
      </c>
      <c r="G401" s="1">
        <v>306</v>
      </c>
      <c r="H401" s="1">
        <v>673</v>
      </c>
      <c r="I401" s="1">
        <v>915</v>
      </c>
      <c r="J401" s="1">
        <v>537</v>
      </c>
      <c r="K401" s="1">
        <v>70</v>
      </c>
      <c r="L401" s="1">
        <v>144</v>
      </c>
      <c r="M401" s="1">
        <v>171</v>
      </c>
      <c r="N401" s="1">
        <v>418</v>
      </c>
      <c r="O401" s="1">
        <v>98</v>
      </c>
      <c r="P401" s="1">
        <v>147</v>
      </c>
      <c r="Q401" s="1">
        <v>582</v>
      </c>
      <c r="R401" s="1">
        <v>397</v>
      </c>
      <c r="S401" s="1">
        <f>SUM(ecommerce_sales_all_data[[#This Row],[sales_month_1]:[sales_month_12]])</f>
        <v>4458</v>
      </c>
      <c r="T401" s="3">
        <f t="shared" si="82"/>
        <v>115821</v>
      </c>
      <c r="U401" s="3">
        <f t="shared" si="83"/>
        <v>254730.5</v>
      </c>
      <c r="V401" s="3">
        <f t="shared" si="84"/>
        <v>346327.5</v>
      </c>
      <c r="W401" s="3">
        <f t="shared" si="85"/>
        <v>203254.5</v>
      </c>
      <c r="X401" s="3">
        <f t="shared" si="86"/>
        <v>26495</v>
      </c>
      <c r="Y401" s="3">
        <f t="shared" si="87"/>
        <v>54504</v>
      </c>
      <c r="Z401" s="3">
        <f t="shared" si="88"/>
        <v>64723.5</v>
      </c>
      <c r="AA401" s="3">
        <f t="shared" si="89"/>
        <v>158213</v>
      </c>
      <c r="AB401" s="3">
        <f t="shared" si="90"/>
        <v>37093</v>
      </c>
      <c r="AC401" s="3">
        <f t="shared" si="91"/>
        <v>55639.5</v>
      </c>
      <c r="AD401" s="3">
        <f t="shared" si="92"/>
        <v>220287</v>
      </c>
      <c r="AE401" s="3">
        <f t="shared" si="93"/>
        <v>150264.5</v>
      </c>
      <c r="AF401" s="3">
        <f>SUM(ecommerce_sales_all_data[[#This Row],[revenue_month_1]:[revenue_month_12]])</f>
        <v>1687353</v>
      </c>
    </row>
    <row r="402" spans="1:32" x14ac:dyDescent="0.3">
      <c r="A402">
        <v>401</v>
      </c>
      <c r="B402" t="s">
        <v>425</v>
      </c>
      <c r="C402" t="s">
        <v>19</v>
      </c>
      <c r="D402" s="2">
        <v>56.05</v>
      </c>
      <c r="E402">
        <v>1.7</v>
      </c>
      <c r="F402">
        <v>662</v>
      </c>
      <c r="G402" s="1">
        <v>456</v>
      </c>
      <c r="H402" s="1">
        <v>712</v>
      </c>
      <c r="I402" s="1">
        <v>959</v>
      </c>
      <c r="J402" s="1">
        <v>920</v>
      </c>
      <c r="K402" s="1">
        <v>247</v>
      </c>
      <c r="L402" s="1">
        <v>36</v>
      </c>
      <c r="M402" s="1">
        <v>230</v>
      </c>
      <c r="N402" s="1">
        <v>753</v>
      </c>
      <c r="O402" s="1">
        <v>316</v>
      </c>
      <c r="P402" s="1">
        <v>229</v>
      </c>
      <c r="Q402" s="1">
        <v>873</v>
      </c>
      <c r="R402" s="1">
        <v>756</v>
      </c>
      <c r="S402" s="1">
        <f>SUM(ecommerce_sales_all_data[[#This Row],[sales_month_1]:[sales_month_12]])</f>
        <v>6487</v>
      </c>
      <c r="T402" s="3">
        <f t="shared" si="82"/>
        <v>25558.799999999999</v>
      </c>
      <c r="U402" s="3">
        <f t="shared" si="83"/>
        <v>39907.599999999999</v>
      </c>
      <c r="V402" s="3">
        <f t="shared" si="84"/>
        <v>53751.95</v>
      </c>
      <c r="W402" s="3">
        <f t="shared" si="85"/>
        <v>51566</v>
      </c>
      <c r="X402" s="3">
        <f t="shared" si="86"/>
        <v>13844.349999999999</v>
      </c>
      <c r="Y402" s="3">
        <f t="shared" si="87"/>
        <v>2017.8</v>
      </c>
      <c r="Z402" s="3">
        <f t="shared" si="88"/>
        <v>12891.5</v>
      </c>
      <c r="AA402" s="3">
        <f t="shared" si="89"/>
        <v>42205.65</v>
      </c>
      <c r="AB402" s="3">
        <f t="shared" si="90"/>
        <v>17711.8</v>
      </c>
      <c r="AC402" s="3">
        <f t="shared" si="91"/>
        <v>12835.449999999999</v>
      </c>
      <c r="AD402" s="3">
        <f t="shared" si="92"/>
        <v>48931.649999999994</v>
      </c>
      <c r="AE402" s="3">
        <f t="shared" si="93"/>
        <v>42373.799999999996</v>
      </c>
      <c r="AF402" s="3">
        <f>SUM(ecommerce_sales_all_data[[#This Row],[revenue_month_1]:[revenue_month_12]])</f>
        <v>363596.34999999992</v>
      </c>
    </row>
    <row r="403" spans="1:32" x14ac:dyDescent="0.3">
      <c r="A403">
        <v>402</v>
      </c>
      <c r="B403" t="s">
        <v>426</v>
      </c>
      <c r="C403" t="s">
        <v>23</v>
      </c>
      <c r="D403" s="2">
        <v>451.76</v>
      </c>
      <c r="E403">
        <v>1.7</v>
      </c>
      <c r="F403">
        <v>944</v>
      </c>
      <c r="G403" s="1">
        <v>159</v>
      </c>
      <c r="H403" s="1">
        <v>233</v>
      </c>
      <c r="I403" s="1">
        <v>359</v>
      </c>
      <c r="J403" s="1">
        <v>53</v>
      </c>
      <c r="K403" s="1">
        <v>145</v>
      </c>
      <c r="L403" s="1">
        <v>332</v>
      </c>
      <c r="M403" s="1">
        <v>719</v>
      </c>
      <c r="N403" s="1">
        <v>198</v>
      </c>
      <c r="O403" s="1">
        <v>122</v>
      </c>
      <c r="P403" s="1">
        <v>791</v>
      </c>
      <c r="Q403" s="1">
        <v>565</v>
      </c>
      <c r="R403" s="1">
        <v>876</v>
      </c>
      <c r="S403" s="1">
        <f>SUM(ecommerce_sales_all_data[[#This Row],[sales_month_1]:[sales_month_12]])</f>
        <v>4552</v>
      </c>
      <c r="T403" s="3">
        <f t="shared" si="82"/>
        <v>71829.84</v>
      </c>
      <c r="U403" s="3">
        <f t="shared" si="83"/>
        <v>105260.08</v>
      </c>
      <c r="V403" s="3">
        <f t="shared" si="84"/>
        <v>162181.84</v>
      </c>
      <c r="W403" s="3">
        <f t="shared" si="85"/>
        <v>23943.279999999999</v>
      </c>
      <c r="X403" s="3">
        <f t="shared" si="86"/>
        <v>65505.2</v>
      </c>
      <c r="Y403" s="3">
        <f t="shared" si="87"/>
        <v>149984.32000000001</v>
      </c>
      <c r="Z403" s="3">
        <f t="shared" si="88"/>
        <v>324815.44</v>
      </c>
      <c r="AA403" s="3">
        <f t="shared" si="89"/>
        <v>89448.48</v>
      </c>
      <c r="AB403" s="3">
        <f t="shared" si="90"/>
        <v>55114.720000000001</v>
      </c>
      <c r="AC403" s="3">
        <f t="shared" si="91"/>
        <v>357342.16</v>
      </c>
      <c r="AD403" s="3">
        <f t="shared" si="92"/>
        <v>255244.4</v>
      </c>
      <c r="AE403" s="3">
        <f t="shared" si="93"/>
        <v>395741.76</v>
      </c>
      <c r="AF403" s="3">
        <f>SUM(ecommerce_sales_all_data[[#This Row],[revenue_month_1]:[revenue_month_12]])</f>
        <v>2056411.5199999998</v>
      </c>
    </row>
    <row r="404" spans="1:32" x14ac:dyDescent="0.3">
      <c r="A404">
        <v>403</v>
      </c>
      <c r="B404" t="s">
        <v>427</v>
      </c>
      <c r="C404" t="s">
        <v>35</v>
      </c>
      <c r="D404" s="2">
        <v>255.1</v>
      </c>
      <c r="E404">
        <v>1.1000000000000001</v>
      </c>
      <c r="F404">
        <v>83</v>
      </c>
      <c r="G404" s="1">
        <v>330</v>
      </c>
      <c r="H404" s="1">
        <v>539</v>
      </c>
      <c r="I404" s="1">
        <v>9</v>
      </c>
      <c r="J404" s="1">
        <v>540</v>
      </c>
      <c r="K404" s="1">
        <v>617</v>
      </c>
      <c r="L404" s="1">
        <v>402</v>
      </c>
      <c r="M404" s="1">
        <v>74</v>
      </c>
      <c r="N404" s="1">
        <v>462</v>
      </c>
      <c r="O404" s="1">
        <v>319</v>
      </c>
      <c r="P404" s="1">
        <v>636</v>
      </c>
      <c r="Q404" s="1">
        <v>244</v>
      </c>
      <c r="R404" s="1">
        <v>169</v>
      </c>
      <c r="S404" s="1">
        <f>SUM(ecommerce_sales_all_data[[#This Row],[sales_month_1]:[sales_month_12]])</f>
        <v>4341</v>
      </c>
      <c r="T404" s="3">
        <f t="shared" si="82"/>
        <v>84183</v>
      </c>
      <c r="U404" s="3">
        <f t="shared" si="83"/>
        <v>137498.9</v>
      </c>
      <c r="V404" s="3">
        <f t="shared" si="84"/>
        <v>2295.9</v>
      </c>
      <c r="W404" s="3">
        <f t="shared" si="85"/>
        <v>137754</v>
      </c>
      <c r="X404" s="3">
        <f t="shared" si="86"/>
        <v>157396.69999999998</v>
      </c>
      <c r="Y404" s="3">
        <f t="shared" si="87"/>
        <v>102550.2</v>
      </c>
      <c r="Z404" s="3">
        <f t="shared" si="88"/>
        <v>18877.399999999998</v>
      </c>
      <c r="AA404" s="3">
        <f t="shared" si="89"/>
        <v>117856.2</v>
      </c>
      <c r="AB404" s="3">
        <f t="shared" si="90"/>
        <v>81376.899999999994</v>
      </c>
      <c r="AC404" s="3">
        <f t="shared" si="91"/>
        <v>162243.6</v>
      </c>
      <c r="AD404" s="3">
        <f t="shared" si="92"/>
        <v>62244.4</v>
      </c>
      <c r="AE404" s="3">
        <f t="shared" si="93"/>
        <v>43111.9</v>
      </c>
      <c r="AF404" s="3">
        <f>SUM(ecommerce_sales_all_data[[#This Row],[revenue_month_1]:[revenue_month_12]])</f>
        <v>1107389.0999999999</v>
      </c>
    </row>
    <row r="405" spans="1:32" x14ac:dyDescent="0.3">
      <c r="A405">
        <v>404</v>
      </c>
      <c r="B405" t="s">
        <v>428</v>
      </c>
      <c r="C405" t="s">
        <v>21</v>
      </c>
      <c r="D405" s="2">
        <v>414.1</v>
      </c>
      <c r="E405">
        <v>3.9</v>
      </c>
      <c r="F405">
        <v>622</v>
      </c>
      <c r="G405" s="1">
        <v>775</v>
      </c>
      <c r="H405" s="1">
        <v>10</v>
      </c>
      <c r="I405" s="1">
        <v>210</v>
      </c>
      <c r="J405" s="1">
        <v>466</v>
      </c>
      <c r="K405" s="1">
        <v>774</v>
      </c>
      <c r="L405" s="1">
        <v>413</v>
      </c>
      <c r="M405" s="1">
        <v>269</v>
      </c>
      <c r="N405" s="1">
        <v>436</v>
      </c>
      <c r="O405" s="1">
        <v>798</v>
      </c>
      <c r="P405" s="1">
        <v>703</v>
      </c>
      <c r="Q405" s="1">
        <v>994</v>
      </c>
      <c r="R405" s="1">
        <v>689</v>
      </c>
      <c r="S405" s="1">
        <f>SUM(ecommerce_sales_all_data[[#This Row],[sales_month_1]:[sales_month_12]])</f>
        <v>6537</v>
      </c>
      <c r="T405" s="3">
        <f t="shared" si="82"/>
        <v>320927.5</v>
      </c>
      <c r="U405" s="3">
        <f t="shared" si="83"/>
        <v>4141</v>
      </c>
      <c r="V405" s="3">
        <f t="shared" si="84"/>
        <v>86961</v>
      </c>
      <c r="W405" s="3">
        <f t="shared" si="85"/>
        <v>192970.6</v>
      </c>
      <c r="X405" s="3">
        <f t="shared" si="86"/>
        <v>320513.40000000002</v>
      </c>
      <c r="Y405" s="3">
        <f t="shared" si="87"/>
        <v>171023.30000000002</v>
      </c>
      <c r="Z405" s="3">
        <f t="shared" si="88"/>
        <v>111392.90000000001</v>
      </c>
      <c r="AA405" s="3">
        <f t="shared" si="89"/>
        <v>180547.6</v>
      </c>
      <c r="AB405" s="3">
        <f t="shared" si="90"/>
        <v>330451.80000000005</v>
      </c>
      <c r="AC405" s="3">
        <f t="shared" si="91"/>
        <v>291112.3</v>
      </c>
      <c r="AD405" s="3">
        <f t="shared" si="92"/>
        <v>411615.4</v>
      </c>
      <c r="AE405" s="3">
        <f t="shared" si="93"/>
        <v>285314.90000000002</v>
      </c>
      <c r="AF405" s="3">
        <f>SUM(ecommerce_sales_all_data[[#This Row],[revenue_month_1]:[revenue_month_12]])</f>
        <v>2706971.7</v>
      </c>
    </row>
    <row r="406" spans="1:32" x14ac:dyDescent="0.3">
      <c r="A406">
        <v>405</v>
      </c>
      <c r="B406" t="s">
        <v>429</v>
      </c>
      <c r="C406" t="s">
        <v>19</v>
      </c>
      <c r="D406" s="2">
        <v>163.41999999999999</v>
      </c>
      <c r="E406">
        <v>3.7</v>
      </c>
      <c r="F406">
        <v>947</v>
      </c>
      <c r="G406" s="1">
        <v>224</v>
      </c>
      <c r="H406" s="1">
        <v>205</v>
      </c>
      <c r="I406" s="1">
        <v>834</v>
      </c>
      <c r="J406" s="1">
        <v>864</v>
      </c>
      <c r="K406" s="1">
        <v>295</v>
      </c>
      <c r="L406" s="1">
        <v>44</v>
      </c>
      <c r="M406" s="1">
        <v>898</v>
      </c>
      <c r="N406" s="1">
        <v>309</v>
      </c>
      <c r="O406" s="1">
        <v>592</v>
      </c>
      <c r="P406" s="1">
        <v>373</v>
      </c>
      <c r="Q406" s="1">
        <v>861</v>
      </c>
      <c r="R406" s="1">
        <v>700</v>
      </c>
      <c r="S406" s="1">
        <f>SUM(ecommerce_sales_all_data[[#This Row],[sales_month_1]:[sales_month_12]])</f>
        <v>6199</v>
      </c>
      <c r="T406" s="3">
        <f t="shared" si="82"/>
        <v>36606.079999999994</v>
      </c>
      <c r="U406" s="3">
        <f t="shared" si="83"/>
        <v>33501.1</v>
      </c>
      <c r="V406" s="3">
        <f t="shared" si="84"/>
        <v>136292.28</v>
      </c>
      <c r="W406" s="3">
        <f t="shared" si="85"/>
        <v>141194.87999999998</v>
      </c>
      <c r="X406" s="3">
        <f t="shared" si="86"/>
        <v>48208.899999999994</v>
      </c>
      <c r="Y406" s="3">
        <f t="shared" si="87"/>
        <v>7190.48</v>
      </c>
      <c r="Z406" s="3">
        <f t="shared" si="88"/>
        <v>146751.15999999997</v>
      </c>
      <c r="AA406" s="3">
        <f t="shared" si="89"/>
        <v>50496.78</v>
      </c>
      <c r="AB406" s="3">
        <f t="shared" si="90"/>
        <v>96744.639999999999</v>
      </c>
      <c r="AC406" s="3">
        <f t="shared" si="91"/>
        <v>60955.659999999996</v>
      </c>
      <c r="AD406" s="3">
        <f t="shared" si="92"/>
        <v>140704.62</v>
      </c>
      <c r="AE406" s="3">
        <f t="shared" si="93"/>
        <v>114393.99999999999</v>
      </c>
      <c r="AF406" s="3">
        <f>SUM(ecommerce_sales_all_data[[#This Row],[revenue_month_1]:[revenue_month_12]])</f>
        <v>1013040.58</v>
      </c>
    </row>
    <row r="407" spans="1:32" x14ac:dyDescent="0.3">
      <c r="A407">
        <v>406</v>
      </c>
      <c r="B407" t="s">
        <v>430</v>
      </c>
      <c r="C407" t="s">
        <v>21</v>
      </c>
      <c r="D407" s="2">
        <v>448.28</v>
      </c>
      <c r="E407">
        <v>2.9</v>
      </c>
      <c r="F407">
        <v>899</v>
      </c>
      <c r="G407" s="1">
        <v>982</v>
      </c>
      <c r="H407" s="1">
        <v>678</v>
      </c>
      <c r="I407" s="1">
        <v>151</v>
      </c>
      <c r="J407" s="1">
        <v>163</v>
      </c>
      <c r="K407" s="1">
        <v>581</v>
      </c>
      <c r="L407" s="1">
        <v>401</v>
      </c>
      <c r="M407" s="1">
        <v>625</v>
      </c>
      <c r="N407" s="1">
        <v>595</v>
      </c>
      <c r="O407" s="1">
        <v>494</v>
      </c>
      <c r="P407" s="1">
        <v>79</v>
      </c>
      <c r="Q407" s="1">
        <v>75</v>
      </c>
      <c r="R407" s="1">
        <v>510</v>
      </c>
      <c r="S407" s="1">
        <f>SUM(ecommerce_sales_all_data[[#This Row],[sales_month_1]:[sales_month_12]])</f>
        <v>5334</v>
      </c>
      <c r="T407" s="3">
        <f t="shared" si="82"/>
        <v>440210.95999999996</v>
      </c>
      <c r="U407" s="3">
        <f t="shared" si="83"/>
        <v>303933.83999999997</v>
      </c>
      <c r="V407" s="3">
        <f t="shared" si="84"/>
        <v>67690.28</v>
      </c>
      <c r="W407" s="3">
        <f t="shared" si="85"/>
        <v>73069.64</v>
      </c>
      <c r="X407" s="3">
        <f t="shared" si="86"/>
        <v>260450.68</v>
      </c>
      <c r="Y407" s="3">
        <f t="shared" si="87"/>
        <v>179760.28</v>
      </c>
      <c r="Z407" s="3">
        <f t="shared" si="88"/>
        <v>280175</v>
      </c>
      <c r="AA407" s="3">
        <f t="shared" si="89"/>
        <v>266726.59999999998</v>
      </c>
      <c r="AB407" s="3">
        <f t="shared" si="90"/>
        <v>221450.31999999998</v>
      </c>
      <c r="AC407" s="3">
        <f t="shared" si="91"/>
        <v>35414.119999999995</v>
      </c>
      <c r="AD407" s="3">
        <f t="shared" si="92"/>
        <v>33621</v>
      </c>
      <c r="AE407" s="3">
        <f t="shared" si="93"/>
        <v>228622.8</v>
      </c>
      <c r="AF407" s="3">
        <f>SUM(ecommerce_sales_all_data[[#This Row],[revenue_month_1]:[revenue_month_12]])</f>
        <v>2391125.5199999996</v>
      </c>
    </row>
    <row r="408" spans="1:32" x14ac:dyDescent="0.3">
      <c r="A408">
        <v>407</v>
      </c>
      <c r="B408" t="s">
        <v>431</v>
      </c>
      <c r="C408" t="s">
        <v>21</v>
      </c>
      <c r="D408" s="2">
        <v>197.65</v>
      </c>
      <c r="E408">
        <v>4.4000000000000004</v>
      </c>
      <c r="F408">
        <v>426</v>
      </c>
      <c r="G408" s="1">
        <v>728</v>
      </c>
      <c r="H408" s="1">
        <v>246</v>
      </c>
      <c r="I408" s="1">
        <v>4</v>
      </c>
      <c r="J408" s="1">
        <v>781</v>
      </c>
      <c r="K408" s="1">
        <v>469</v>
      </c>
      <c r="L408" s="1">
        <v>205</v>
      </c>
      <c r="M408" s="1">
        <v>61</v>
      </c>
      <c r="N408" s="1">
        <v>753</v>
      </c>
      <c r="O408" s="1">
        <v>456</v>
      </c>
      <c r="P408" s="1">
        <v>605</v>
      </c>
      <c r="Q408" s="1">
        <v>546</v>
      </c>
      <c r="R408" s="1">
        <v>259</v>
      </c>
      <c r="S408" s="1">
        <f>SUM(ecommerce_sales_all_data[[#This Row],[sales_month_1]:[sales_month_12]])</f>
        <v>5113</v>
      </c>
      <c r="T408" s="3">
        <f t="shared" si="82"/>
        <v>143889.20000000001</v>
      </c>
      <c r="U408" s="3">
        <f t="shared" si="83"/>
        <v>48621.9</v>
      </c>
      <c r="V408" s="3">
        <f t="shared" si="84"/>
        <v>790.6</v>
      </c>
      <c r="W408" s="3">
        <f t="shared" si="85"/>
        <v>154364.65</v>
      </c>
      <c r="X408" s="3">
        <f t="shared" si="86"/>
        <v>92697.85</v>
      </c>
      <c r="Y408" s="3">
        <f t="shared" si="87"/>
        <v>40518.25</v>
      </c>
      <c r="Z408" s="3">
        <f t="shared" si="88"/>
        <v>12056.65</v>
      </c>
      <c r="AA408" s="3">
        <f t="shared" si="89"/>
        <v>148830.45000000001</v>
      </c>
      <c r="AB408" s="3">
        <f t="shared" si="90"/>
        <v>90128.400000000009</v>
      </c>
      <c r="AC408" s="3">
        <f t="shared" si="91"/>
        <v>119578.25</v>
      </c>
      <c r="AD408" s="3">
        <f t="shared" si="92"/>
        <v>107916.90000000001</v>
      </c>
      <c r="AE408" s="3">
        <f t="shared" si="93"/>
        <v>51191.35</v>
      </c>
      <c r="AF408" s="3">
        <f>SUM(ecommerce_sales_all_data[[#This Row],[revenue_month_1]:[revenue_month_12]])</f>
        <v>1010584.4500000001</v>
      </c>
    </row>
    <row r="409" spans="1:32" x14ac:dyDescent="0.3">
      <c r="A409">
        <v>408</v>
      </c>
      <c r="B409" t="s">
        <v>432</v>
      </c>
      <c r="C409" t="s">
        <v>21</v>
      </c>
      <c r="D409" s="2">
        <v>10.36</v>
      </c>
      <c r="E409">
        <v>4.2</v>
      </c>
      <c r="F409">
        <v>275</v>
      </c>
      <c r="G409" s="1">
        <v>503</v>
      </c>
      <c r="H409" s="1">
        <v>558</v>
      </c>
      <c r="I409" s="1">
        <v>194</v>
      </c>
      <c r="J409" s="1">
        <v>333</v>
      </c>
      <c r="K409" s="1">
        <v>505</v>
      </c>
      <c r="L409" s="1">
        <v>61</v>
      </c>
      <c r="M409" s="1">
        <v>873</v>
      </c>
      <c r="N409" s="1">
        <v>280</v>
      </c>
      <c r="O409" s="1">
        <v>521</v>
      </c>
      <c r="P409" s="1">
        <v>737</v>
      </c>
      <c r="Q409" s="1">
        <v>266</v>
      </c>
      <c r="R409" s="1">
        <v>583</v>
      </c>
      <c r="S409" s="1">
        <f>SUM(ecommerce_sales_all_data[[#This Row],[sales_month_1]:[sales_month_12]])</f>
        <v>5414</v>
      </c>
      <c r="T409" s="3">
        <f t="shared" si="82"/>
        <v>5211.08</v>
      </c>
      <c r="U409" s="3">
        <f t="shared" si="83"/>
        <v>5780.88</v>
      </c>
      <c r="V409" s="3">
        <f t="shared" si="84"/>
        <v>2009.84</v>
      </c>
      <c r="W409" s="3">
        <f t="shared" si="85"/>
        <v>3449.8799999999997</v>
      </c>
      <c r="X409" s="3">
        <f t="shared" si="86"/>
        <v>5231.7999999999993</v>
      </c>
      <c r="Y409" s="3">
        <f t="shared" si="87"/>
        <v>631.95999999999992</v>
      </c>
      <c r="Z409" s="3">
        <f t="shared" si="88"/>
        <v>9044.2799999999988</v>
      </c>
      <c r="AA409" s="3">
        <f t="shared" si="89"/>
        <v>2900.7999999999997</v>
      </c>
      <c r="AB409" s="3">
        <f t="shared" si="90"/>
        <v>5397.5599999999995</v>
      </c>
      <c r="AC409" s="3">
        <f t="shared" si="91"/>
        <v>7635.32</v>
      </c>
      <c r="AD409" s="3">
        <f t="shared" si="92"/>
        <v>2755.7599999999998</v>
      </c>
      <c r="AE409" s="3">
        <f t="shared" si="93"/>
        <v>6039.88</v>
      </c>
      <c r="AF409" s="3">
        <f>SUM(ecommerce_sales_all_data[[#This Row],[revenue_month_1]:[revenue_month_12]])</f>
        <v>56089.039999999994</v>
      </c>
    </row>
    <row r="410" spans="1:32" x14ac:dyDescent="0.3">
      <c r="A410">
        <v>409</v>
      </c>
      <c r="B410" t="s">
        <v>433</v>
      </c>
      <c r="C410" t="s">
        <v>35</v>
      </c>
      <c r="D410" s="2">
        <v>453.16</v>
      </c>
      <c r="E410">
        <v>3.3</v>
      </c>
      <c r="F410">
        <v>713</v>
      </c>
      <c r="G410" s="1">
        <v>455</v>
      </c>
      <c r="H410" s="1">
        <v>757</v>
      </c>
      <c r="I410" s="1">
        <v>953</v>
      </c>
      <c r="J410" s="1">
        <v>546</v>
      </c>
      <c r="K410" s="1">
        <v>192</v>
      </c>
      <c r="L410" s="1">
        <v>419</v>
      </c>
      <c r="M410" s="1">
        <v>319</v>
      </c>
      <c r="N410" s="1">
        <v>322</v>
      </c>
      <c r="O410" s="1">
        <v>519</v>
      </c>
      <c r="P410" s="1">
        <v>64</v>
      </c>
      <c r="Q410" s="1">
        <v>316</v>
      </c>
      <c r="R410" s="1">
        <v>983</v>
      </c>
      <c r="S410" s="1">
        <f>SUM(ecommerce_sales_all_data[[#This Row],[sales_month_1]:[sales_month_12]])</f>
        <v>5845</v>
      </c>
      <c r="T410" s="3">
        <f t="shared" si="82"/>
        <v>206187.80000000002</v>
      </c>
      <c r="U410" s="3">
        <f t="shared" si="83"/>
        <v>343042.12</v>
      </c>
      <c r="V410" s="3">
        <f t="shared" si="84"/>
        <v>431861.48000000004</v>
      </c>
      <c r="W410" s="3">
        <f t="shared" si="85"/>
        <v>247425.36000000002</v>
      </c>
      <c r="X410" s="3">
        <f t="shared" si="86"/>
        <v>87006.720000000001</v>
      </c>
      <c r="Y410" s="3">
        <f t="shared" si="87"/>
        <v>189874.04</v>
      </c>
      <c r="Z410" s="3">
        <f t="shared" si="88"/>
        <v>144558.04</v>
      </c>
      <c r="AA410" s="3">
        <f t="shared" si="89"/>
        <v>145917.52000000002</v>
      </c>
      <c r="AB410" s="3">
        <f t="shared" si="90"/>
        <v>235190.04</v>
      </c>
      <c r="AC410" s="3">
        <f t="shared" si="91"/>
        <v>29002.240000000002</v>
      </c>
      <c r="AD410" s="3">
        <f t="shared" si="92"/>
        <v>143198.56</v>
      </c>
      <c r="AE410" s="3">
        <f t="shared" si="93"/>
        <v>445456.28</v>
      </c>
      <c r="AF410" s="3">
        <f>SUM(ecommerce_sales_all_data[[#This Row],[revenue_month_1]:[revenue_month_12]])</f>
        <v>2648720.2000000002</v>
      </c>
    </row>
    <row r="411" spans="1:32" x14ac:dyDescent="0.3">
      <c r="A411">
        <v>410</v>
      </c>
      <c r="B411" t="s">
        <v>434</v>
      </c>
      <c r="C411" t="s">
        <v>19</v>
      </c>
      <c r="D411" s="2">
        <v>50.19</v>
      </c>
      <c r="E411">
        <v>4.5</v>
      </c>
      <c r="F411">
        <v>284</v>
      </c>
      <c r="G411" s="1">
        <v>44</v>
      </c>
      <c r="H411" s="1">
        <v>126</v>
      </c>
      <c r="I411" s="1">
        <v>282</v>
      </c>
      <c r="J411" s="1">
        <v>797</v>
      </c>
      <c r="K411" s="1">
        <v>67</v>
      </c>
      <c r="L411" s="1">
        <v>867</v>
      </c>
      <c r="M411" s="1">
        <v>101</v>
      </c>
      <c r="N411" s="1">
        <v>763</v>
      </c>
      <c r="O411" s="1">
        <v>916</v>
      </c>
      <c r="P411" s="1">
        <v>87</v>
      </c>
      <c r="Q411" s="1">
        <v>811</v>
      </c>
      <c r="R411" s="1">
        <v>458</v>
      </c>
      <c r="S411" s="1">
        <f>SUM(ecommerce_sales_all_data[[#This Row],[sales_month_1]:[sales_month_12]])</f>
        <v>5319</v>
      </c>
      <c r="T411" s="3">
        <f t="shared" si="82"/>
        <v>2208.3599999999997</v>
      </c>
      <c r="U411" s="3">
        <f t="shared" si="83"/>
        <v>6323.94</v>
      </c>
      <c r="V411" s="3">
        <f t="shared" si="84"/>
        <v>14153.58</v>
      </c>
      <c r="W411" s="3">
        <f t="shared" si="85"/>
        <v>40001.43</v>
      </c>
      <c r="X411" s="3">
        <f t="shared" si="86"/>
        <v>3362.73</v>
      </c>
      <c r="Y411" s="3">
        <f t="shared" si="87"/>
        <v>43514.729999999996</v>
      </c>
      <c r="Z411" s="3">
        <f t="shared" si="88"/>
        <v>5069.1899999999996</v>
      </c>
      <c r="AA411" s="3">
        <f t="shared" si="89"/>
        <v>38294.97</v>
      </c>
      <c r="AB411" s="3">
        <f t="shared" si="90"/>
        <v>45974.04</v>
      </c>
      <c r="AC411" s="3">
        <f t="shared" si="91"/>
        <v>4366.53</v>
      </c>
      <c r="AD411" s="3">
        <f t="shared" si="92"/>
        <v>40704.089999999997</v>
      </c>
      <c r="AE411" s="3">
        <f t="shared" si="93"/>
        <v>22987.02</v>
      </c>
      <c r="AF411" s="3">
        <f>SUM(ecommerce_sales_all_data[[#This Row],[revenue_month_1]:[revenue_month_12]])</f>
        <v>266960.61</v>
      </c>
    </row>
    <row r="412" spans="1:32" x14ac:dyDescent="0.3">
      <c r="A412">
        <v>411</v>
      </c>
      <c r="B412" t="s">
        <v>435</v>
      </c>
      <c r="C412" t="s">
        <v>35</v>
      </c>
      <c r="D412" s="2">
        <v>163.06</v>
      </c>
      <c r="E412">
        <v>1.8</v>
      </c>
      <c r="F412">
        <v>980</v>
      </c>
      <c r="G412" s="1">
        <v>213</v>
      </c>
      <c r="H412" s="1">
        <v>146</v>
      </c>
      <c r="I412" s="1">
        <v>463</v>
      </c>
      <c r="J412" s="1">
        <v>347</v>
      </c>
      <c r="K412" s="1">
        <v>493</v>
      </c>
      <c r="L412" s="1">
        <v>467</v>
      </c>
      <c r="M412" s="1">
        <v>428</v>
      </c>
      <c r="N412" s="1">
        <v>701</v>
      </c>
      <c r="O412" s="1">
        <v>716</v>
      </c>
      <c r="P412" s="1">
        <v>87</v>
      </c>
      <c r="Q412" s="1">
        <v>120</v>
      </c>
      <c r="R412" s="1">
        <v>528</v>
      </c>
      <c r="S412" s="1">
        <f>SUM(ecommerce_sales_all_data[[#This Row],[sales_month_1]:[sales_month_12]])</f>
        <v>4709</v>
      </c>
      <c r="T412" s="3">
        <f t="shared" si="82"/>
        <v>34731.78</v>
      </c>
      <c r="U412" s="3">
        <f t="shared" si="83"/>
        <v>23806.760000000002</v>
      </c>
      <c r="V412" s="3">
        <f t="shared" si="84"/>
        <v>75496.78</v>
      </c>
      <c r="W412" s="3">
        <f t="shared" si="85"/>
        <v>56581.82</v>
      </c>
      <c r="X412" s="3">
        <f t="shared" si="86"/>
        <v>80388.58</v>
      </c>
      <c r="Y412" s="3">
        <f t="shared" si="87"/>
        <v>76149.02</v>
      </c>
      <c r="Z412" s="3">
        <f t="shared" si="88"/>
        <v>69789.680000000008</v>
      </c>
      <c r="AA412" s="3">
        <f t="shared" si="89"/>
        <v>114305.06</v>
      </c>
      <c r="AB412" s="3">
        <f t="shared" si="90"/>
        <v>116750.96</v>
      </c>
      <c r="AC412" s="3">
        <f t="shared" si="91"/>
        <v>14186.22</v>
      </c>
      <c r="AD412" s="3">
        <f t="shared" si="92"/>
        <v>19567.2</v>
      </c>
      <c r="AE412" s="3">
        <f t="shared" si="93"/>
        <v>86095.680000000008</v>
      </c>
      <c r="AF412" s="3">
        <f>SUM(ecommerce_sales_all_data[[#This Row],[revenue_month_1]:[revenue_month_12]])</f>
        <v>767849.53999999992</v>
      </c>
    </row>
    <row r="413" spans="1:32" x14ac:dyDescent="0.3">
      <c r="A413">
        <v>412</v>
      </c>
      <c r="B413" t="s">
        <v>436</v>
      </c>
      <c r="C413" t="s">
        <v>35</v>
      </c>
      <c r="D413" s="2">
        <v>475.28</v>
      </c>
      <c r="E413">
        <v>1.4</v>
      </c>
      <c r="F413">
        <v>173</v>
      </c>
      <c r="G413" s="1">
        <v>58</v>
      </c>
      <c r="H413" s="1">
        <v>117</v>
      </c>
      <c r="I413" s="1">
        <v>112</v>
      </c>
      <c r="J413" s="1">
        <v>272</v>
      </c>
      <c r="K413" s="1">
        <v>816</v>
      </c>
      <c r="L413" s="1">
        <v>819</v>
      </c>
      <c r="M413" s="1">
        <v>873</v>
      </c>
      <c r="N413" s="1">
        <v>950</v>
      </c>
      <c r="O413" s="1">
        <v>314</v>
      </c>
      <c r="P413" s="1">
        <v>712</v>
      </c>
      <c r="Q413" s="1">
        <v>835</v>
      </c>
      <c r="R413" s="1">
        <v>881</v>
      </c>
      <c r="S413" s="1">
        <f>SUM(ecommerce_sales_all_data[[#This Row],[sales_month_1]:[sales_month_12]])</f>
        <v>6759</v>
      </c>
      <c r="T413" s="3">
        <f t="shared" si="82"/>
        <v>27566.239999999998</v>
      </c>
      <c r="U413" s="3">
        <f t="shared" si="83"/>
        <v>55607.759999999995</v>
      </c>
      <c r="V413" s="3">
        <f t="shared" si="84"/>
        <v>53231.360000000001</v>
      </c>
      <c r="W413" s="3">
        <f t="shared" si="85"/>
        <v>129276.15999999999</v>
      </c>
      <c r="X413" s="3">
        <f t="shared" si="86"/>
        <v>387828.47999999998</v>
      </c>
      <c r="Y413" s="3">
        <f t="shared" si="87"/>
        <v>389254.31999999995</v>
      </c>
      <c r="Z413" s="3">
        <f t="shared" si="88"/>
        <v>414919.44</v>
      </c>
      <c r="AA413" s="3">
        <f t="shared" si="89"/>
        <v>451516</v>
      </c>
      <c r="AB413" s="3">
        <f t="shared" si="90"/>
        <v>149237.91999999998</v>
      </c>
      <c r="AC413" s="3">
        <f t="shared" si="91"/>
        <v>338399.36</v>
      </c>
      <c r="AD413" s="3">
        <f t="shared" si="92"/>
        <v>396858.8</v>
      </c>
      <c r="AE413" s="3">
        <f t="shared" si="93"/>
        <v>418721.68</v>
      </c>
      <c r="AF413" s="3">
        <f>SUM(ecommerce_sales_all_data[[#This Row],[revenue_month_1]:[revenue_month_12]])</f>
        <v>3212417.52</v>
      </c>
    </row>
    <row r="414" spans="1:32" x14ac:dyDescent="0.3">
      <c r="A414">
        <v>413</v>
      </c>
      <c r="B414" t="s">
        <v>437</v>
      </c>
      <c r="C414" t="s">
        <v>35</v>
      </c>
      <c r="D414" s="2">
        <v>475.55</v>
      </c>
      <c r="E414">
        <v>2.1</v>
      </c>
      <c r="F414">
        <v>327</v>
      </c>
      <c r="G414" s="1">
        <v>643</v>
      </c>
      <c r="H414" s="1">
        <v>910</v>
      </c>
      <c r="I414" s="1">
        <v>270</v>
      </c>
      <c r="J414" s="1">
        <v>962</v>
      </c>
      <c r="K414" s="1">
        <v>51</v>
      </c>
      <c r="L414" s="1">
        <v>18</v>
      </c>
      <c r="M414" s="1">
        <v>721</v>
      </c>
      <c r="N414" s="1">
        <v>941</v>
      </c>
      <c r="O414" s="1">
        <v>945</v>
      </c>
      <c r="P414" s="1">
        <v>725</v>
      </c>
      <c r="Q414" s="1">
        <v>24</v>
      </c>
      <c r="R414" s="1">
        <v>340</v>
      </c>
      <c r="S414" s="1">
        <f>SUM(ecommerce_sales_all_data[[#This Row],[sales_month_1]:[sales_month_12]])</f>
        <v>6550</v>
      </c>
      <c r="T414" s="3">
        <f t="shared" si="82"/>
        <v>305778.65000000002</v>
      </c>
      <c r="U414" s="3">
        <f t="shared" si="83"/>
        <v>432750.5</v>
      </c>
      <c r="V414" s="3">
        <f t="shared" si="84"/>
        <v>128398.5</v>
      </c>
      <c r="W414" s="3">
        <f t="shared" si="85"/>
        <v>457479.10000000003</v>
      </c>
      <c r="X414" s="3">
        <f t="shared" si="86"/>
        <v>24253.05</v>
      </c>
      <c r="Y414" s="3">
        <f t="shared" si="87"/>
        <v>8559.9</v>
      </c>
      <c r="Z414" s="3">
        <f t="shared" si="88"/>
        <v>342871.55</v>
      </c>
      <c r="AA414" s="3">
        <f t="shared" si="89"/>
        <v>447492.55</v>
      </c>
      <c r="AB414" s="3">
        <f t="shared" si="90"/>
        <v>449394.75</v>
      </c>
      <c r="AC414" s="3">
        <f t="shared" si="91"/>
        <v>344773.75</v>
      </c>
      <c r="AD414" s="3">
        <f t="shared" si="92"/>
        <v>11413.2</v>
      </c>
      <c r="AE414" s="3">
        <f t="shared" si="93"/>
        <v>161687</v>
      </c>
      <c r="AF414" s="3">
        <f>SUM(ecommerce_sales_all_data[[#This Row],[revenue_month_1]:[revenue_month_12]])</f>
        <v>3114852.5</v>
      </c>
    </row>
    <row r="415" spans="1:32" x14ac:dyDescent="0.3">
      <c r="A415">
        <v>414</v>
      </c>
      <c r="B415" t="s">
        <v>438</v>
      </c>
      <c r="C415" t="s">
        <v>23</v>
      </c>
      <c r="D415" s="2">
        <v>288.85000000000002</v>
      </c>
      <c r="E415">
        <v>1.2</v>
      </c>
      <c r="F415">
        <v>718</v>
      </c>
      <c r="G415" s="1">
        <v>615</v>
      </c>
      <c r="H415" s="1">
        <v>381</v>
      </c>
      <c r="I415" s="1">
        <v>162</v>
      </c>
      <c r="J415" s="1">
        <v>719</v>
      </c>
      <c r="K415" s="1">
        <v>881</v>
      </c>
      <c r="L415" s="1">
        <v>364</v>
      </c>
      <c r="M415" s="1">
        <v>953</v>
      </c>
      <c r="N415" s="1">
        <v>151</v>
      </c>
      <c r="O415" s="1">
        <v>708</v>
      </c>
      <c r="P415" s="1">
        <v>203</v>
      </c>
      <c r="Q415" s="1">
        <v>431</v>
      </c>
      <c r="R415" s="1">
        <v>56</v>
      </c>
      <c r="S415" s="1">
        <f>SUM(ecommerce_sales_all_data[[#This Row],[sales_month_1]:[sales_month_12]])</f>
        <v>5624</v>
      </c>
      <c r="T415" s="3">
        <f t="shared" si="82"/>
        <v>177642.75</v>
      </c>
      <c r="U415" s="3">
        <f t="shared" si="83"/>
        <v>110051.85</v>
      </c>
      <c r="V415" s="3">
        <f t="shared" si="84"/>
        <v>46793.700000000004</v>
      </c>
      <c r="W415" s="3">
        <f t="shared" si="85"/>
        <v>207683.15000000002</v>
      </c>
      <c r="X415" s="3">
        <f t="shared" si="86"/>
        <v>254476.85</v>
      </c>
      <c r="Y415" s="3">
        <f t="shared" si="87"/>
        <v>105141.40000000001</v>
      </c>
      <c r="Z415" s="3">
        <f t="shared" si="88"/>
        <v>275274.05000000005</v>
      </c>
      <c r="AA415" s="3">
        <f t="shared" si="89"/>
        <v>43616.350000000006</v>
      </c>
      <c r="AB415" s="3">
        <f t="shared" si="90"/>
        <v>204505.80000000002</v>
      </c>
      <c r="AC415" s="3">
        <f t="shared" si="91"/>
        <v>58636.55</v>
      </c>
      <c r="AD415" s="3">
        <f t="shared" si="92"/>
        <v>124494.35</v>
      </c>
      <c r="AE415" s="3">
        <f t="shared" si="93"/>
        <v>16175.600000000002</v>
      </c>
      <c r="AF415" s="3">
        <f>SUM(ecommerce_sales_all_data[[#This Row],[revenue_month_1]:[revenue_month_12]])</f>
        <v>1624492.4000000004</v>
      </c>
    </row>
    <row r="416" spans="1:32" x14ac:dyDescent="0.3">
      <c r="A416">
        <v>415</v>
      </c>
      <c r="B416" t="s">
        <v>439</v>
      </c>
      <c r="C416" t="s">
        <v>48</v>
      </c>
      <c r="D416" s="2">
        <v>317.76</v>
      </c>
      <c r="E416">
        <v>3.1</v>
      </c>
      <c r="F416">
        <v>63</v>
      </c>
      <c r="G416" s="1">
        <v>194</v>
      </c>
      <c r="H416" s="1">
        <v>411</v>
      </c>
      <c r="I416" s="1">
        <v>459</v>
      </c>
      <c r="J416" s="1">
        <v>749</v>
      </c>
      <c r="K416" s="1">
        <v>362</v>
      </c>
      <c r="L416" s="1">
        <v>299</v>
      </c>
      <c r="M416" s="1">
        <v>254</v>
      </c>
      <c r="N416" s="1">
        <v>993</v>
      </c>
      <c r="O416" s="1">
        <v>709</v>
      </c>
      <c r="P416" s="1">
        <v>912</v>
      </c>
      <c r="Q416" s="1">
        <v>159</v>
      </c>
      <c r="R416" s="1">
        <v>217</v>
      </c>
      <c r="S416" s="1">
        <f>SUM(ecommerce_sales_all_data[[#This Row],[sales_month_1]:[sales_month_12]])</f>
        <v>5718</v>
      </c>
      <c r="T416" s="3">
        <f t="shared" si="82"/>
        <v>61645.439999999995</v>
      </c>
      <c r="U416" s="3">
        <f t="shared" si="83"/>
        <v>130599.36</v>
      </c>
      <c r="V416" s="3">
        <f t="shared" si="84"/>
        <v>145851.84</v>
      </c>
      <c r="W416" s="3">
        <f t="shared" si="85"/>
        <v>238002.24</v>
      </c>
      <c r="X416" s="3">
        <f t="shared" si="86"/>
        <v>115029.12</v>
      </c>
      <c r="Y416" s="3">
        <f t="shared" si="87"/>
        <v>95010.239999999991</v>
      </c>
      <c r="Z416" s="3">
        <f t="shared" si="88"/>
        <v>80711.039999999994</v>
      </c>
      <c r="AA416" s="3">
        <f t="shared" si="89"/>
        <v>315535.68</v>
      </c>
      <c r="AB416" s="3">
        <f t="shared" si="90"/>
        <v>225291.84</v>
      </c>
      <c r="AC416" s="3">
        <f t="shared" si="91"/>
        <v>289797.12</v>
      </c>
      <c r="AD416" s="3">
        <f t="shared" si="92"/>
        <v>50523.839999999997</v>
      </c>
      <c r="AE416" s="3">
        <f t="shared" si="93"/>
        <v>68953.919999999998</v>
      </c>
      <c r="AF416" s="3">
        <f>SUM(ecommerce_sales_all_data[[#This Row],[revenue_month_1]:[revenue_month_12]])</f>
        <v>1816951.68</v>
      </c>
    </row>
    <row r="417" spans="1:32" x14ac:dyDescent="0.3">
      <c r="A417">
        <v>416</v>
      </c>
      <c r="B417" t="s">
        <v>440</v>
      </c>
      <c r="C417" t="s">
        <v>29</v>
      </c>
      <c r="D417" s="2">
        <v>226.98</v>
      </c>
      <c r="E417">
        <v>4.7</v>
      </c>
      <c r="F417">
        <v>73</v>
      </c>
      <c r="G417" s="1">
        <v>924</v>
      </c>
      <c r="H417" s="1">
        <v>663</v>
      </c>
      <c r="I417" s="1">
        <v>104</v>
      </c>
      <c r="J417" s="1">
        <v>413</v>
      </c>
      <c r="K417" s="1">
        <v>796</v>
      </c>
      <c r="L417" s="1">
        <v>6</v>
      </c>
      <c r="M417" s="1">
        <v>531</v>
      </c>
      <c r="N417" s="1">
        <v>301</v>
      </c>
      <c r="O417" s="1">
        <v>541</v>
      </c>
      <c r="P417" s="1">
        <v>381</v>
      </c>
      <c r="Q417" s="1">
        <v>595</v>
      </c>
      <c r="R417" s="1">
        <v>618</v>
      </c>
      <c r="S417" s="1">
        <f>SUM(ecommerce_sales_all_data[[#This Row],[sales_month_1]:[sales_month_12]])</f>
        <v>5873</v>
      </c>
      <c r="T417" s="3">
        <f t="shared" si="82"/>
        <v>209729.52</v>
      </c>
      <c r="U417" s="3">
        <f t="shared" si="83"/>
        <v>150487.74</v>
      </c>
      <c r="V417" s="3">
        <f t="shared" si="84"/>
        <v>23605.919999999998</v>
      </c>
      <c r="W417" s="3">
        <f t="shared" si="85"/>
        <v>93742.739999999991</v>
      </c>
      <c r="X417" s="3">
        <f t="shared" si="86"/>
        <v>180676.08</v>
      </c>
      <c r="Y417" s="3">
        <f t="shared" si="87"/>
        <v>1361.8799999999999</v>
      </c>
      <c r="Z417" s="3">
        <f t="shared" si="88"/>
        <v>120526.37999999999</v>
      </c>
      <c r="AA417" s="3">
        <f t="shared" si="89"/>
        <v>68320.98</v>
      </c>
      <c r="AB417" s="3">
        <f t="shared" si="90"/>
        <v>122796.18</v>
      </c>
      <c r="AC417" s="3">
        <f t="shared" si="91"/>
        <v>86479.37999999999</v>
      </c>
      <c r="AD417" s="3">
        <f t="shared" si="92"/>
        <v>135053.1</v>
      </c>
      <c r="AE417" s="3">
        <f t="shared" si="93"/>
        <v>140273.63999999998</v>
      </c>
      <c r="AF417" s="3">
        <f>SUM(ecommerce_sales_all_data[[#This Row],[revenue_month_1]:[revenue_month_12]])</f>
        <v>1333053.5399999998</v>
      </c>
    </row>
    <row r="418" spans="1:32" x14ac:dyDescent="0.3">
      <c r="A418">
        <v>417</v>
      </c>
      <c r="B418" t="s">
        <v>441</v>
      </c>
      <c r="C418" t="s">
        <v>23</v>
      </c>
      <c r="D418" s="2">
        <v>150.13999999999999</v>
      </c>
      <c r="E418">
        <v>1.2</v>
      </c>
      <c r="F418">
        <v>763</v>
      </c>
      <c r="G418" s="1">
        <v>488</v>
      </c>
      <c r="H418" s="1">
        <v>583</v>
      </c>
      <c r="I418" s="1">
        <v>692</v>
      </c>
      <c r="J418" s="1">
        <v>499</v>
      </c>
      <c r="K418" s="1">
        <v>916</v>
      </c>
      <c r="L418" s="1">
        <v>760</v>
      </c>
      <c r="M418" s="1">
        <v>569</v>
      </c>
      <c r="N418" s="1">
        <v>277</v>
      </c>
      <c r="O418" s="1">
        <v>478</v>
      </c>
      <c r="P418" s="1">
        <v>600</v>
      </c>
      <c r="Q418" s="1">
        <v>113</v>
      </c>
      <c r="R418" s="1">
        <v>815</v>
      </c>
      <c r="S418" s="1">
        <f>SUM(ecommerce_sales_all_data[[#This Row],[sales_month_1]:[sales_month_12]])</f>
        <v>6790</v>
      </c>
      <c r="T418" s="3">
        <f t="shared" si="82"/>
        <v>73268.319999999992</v>
      </c>
      <c r="U418" s="3">
        <f t="shared" si="83"/>
        <v>87531.62</v>
      </c>
      <c r="V418" s="3">
        <f t="shared" si="84"/>
        <v>103896.87999999999</v>
      </c>
      <c r="W418" s="3">
        <f t="shared" si="85"/>
        <v>74919.859999999986</v>
      </c>
      <c r="X418" s="3">
        <f t="shared" si="86"/>
        <v>137528.24</v>
      </c>
      <c r="Y418" s="3">
        <f t="shared" si="87"/>
        <v>114106.4</v>
      </c>
      <c r="Z418" s="3">
        <f t="shared" si="88"/>
        <v>85429.659999999989</v>
      </c>
      <c r="AA418" s="3">
        <f t="shared" si="89"/>
        <v>41588.78</v>
      </c>
      <c r="AB418" s="3">
        <f t="shared" si="90"/>
        <v>71766.92</v>
      </c>
      <c r="AC418" s="3">
        <f t="shared" si="91"/>
        <v>90083.999999999985</v>
      </c>
      <c r="AD418" s="3">
        <f t="shared" si="92"/>
        <v>16965.82</v>
      </c>
      <c r="AE418" s="3">
        <f t="shared" si="93"/>
        <v>122364.09999999999</v>
      </c>
      <c r="AF418" s="3">
        <f>SUM(ecommerce_sales_all_data[[#This Row],[revenue_month_1]:[revenue_month_12]])</f>
        <v>1019450.6</v>
      </c>
    </row>
    <row r="419" spans="1:32" x14ac:dyDescent="0.3">
      <c r="A419">
        <v>418</v>
      </c>
      <c r="B419" t="s">
        <v>442</v>
      </c>
      <c r="C419" t="s">
        <v>19</v>
      </c>
      <c r="D419" s="2">
        <v>167.69</v>
      </c>
      <c r="E419">
        <v>1.5</v>
      </c>
      <c r="F419">
        <v>636</v>
      </c>
      <c r="G419" s="1">
        <v>156</v>
      </c>
      <c r="H419" s="1">
        <v>362</v>
      </c>
      <c r="I419" s="1">
        <v>555</v>
      </c>
      <c r="J419" s="1">
        <v>92</v>
      </c>
      <c r="K419" s="1">
        <v>473</v>
      </c>
      <c r="L419" s="1">
        <v>427</v>
      </c>
      <c r="M419" s="1">
        <v>111</v>
      </c>
      <c r="N419" s="1">
        <v>650</v>
      </c>
      <c r="O419" s="1">
        <v>912</v>
      </c>
      <c r="P419" s="1">
        <v>475</v>
      </c>
      <c r="Q419" s="1">
        <v>734</v>
      </c>
      <c r="R419" s="1">
        <v>939</v>
      </c>
      <c r="S419" s="1">
        <f>SUM(ecommerce_sales_all_data[[#This Row],[sales_month_1]:[sales_month_12]])</f>
        <v>5886</v>
      </c>
      <c r="T419" s="3">
        <f t="shared" si="82"/>
        <v>26159.64</v>
      </c>
      <c r="U419" s="3">
        <f t="shared" si="83"/>
        <v>60703.78</v>
      </c>
      <c r="V419" s="3">
        <f t="shared" si="84"/>
        <v>93067.95</v>
      </c>
      <c r="W419" s="3">
        <f t="shared" si="85"/>
        <v>15427.48</v>
      </c>
      <c r="X419" s="3">
        <f t="shared" si="86"/>
        <v>79317.37</v>
      </c>
      <c r="Y419" s="3">
        <f t="shared" si="87"/>
        <v>71603.63</v>
      </c>
      <c r="Z419" s="3">
        <f t="shared" si="88"/>
        <v>18613.59</v>
      </c>
      <c r="AA419" s="3">
        <f t="shared" si="89"/>
        <v>108998.5</v>
      </c>
      <c r="AB419" s="3">
        <f t="shared" si="90"/>
        <v>152933.28</v>
      </c>
      <c r="AC419" s="3">
        <f t="shared" si="91"/>
        <v>79652.75</v>
      </c>
      <c r="AD419" s="3">
        <f t="shared" si="92"/>
        <v>123084.45999999999</v>
      </c>
      <c r="AE419" s="3">
        <f t="shared" si="93"/>
        <v>157460.91</v>
      </c>
      <c r="AF419" s="3">
        <f>SUM(ecommerce_sales_all_data[[#This Row],[revenue_month_1]:[revenue_month_12]])</f>
        <v>987023.34</v>
      </c>
    </row>
    <row r="420" spans="1:32" x14ac:dyDescent="0.3">
      <c r="A420">
        <v>419</v>
      </c>
      <c r="B420" t="s">
        <v>443</v>
      </c>
      <c r="C420" t="s">
        <v>29</v>
      </c>
      <c r="D420" s="2">
        <v>337.9</v>
      </c>
      <c r="E420">
        <v>2.8</v>
      </c>
      <c r="F420">
        <v>375</v>
      </c>
      <c r="G420" s="1">
        <v>609</v>
      </c>
      <c r="H420" s="1">
        <v>508</v>
      </c>
      <c r="I420" s="1">
        <v>281</v>
      </c>
      <c r="J420" s="1">
        <v>684</v>
      </c>
      <c r="K420" s="1">
        <v>845</v>
      </c>
      <c r="L420" s="1">
        <v>116</v>
      </c>
      <c r="M420" s="1">
        <v>984</v>
      </c>
      <c r="N420" s="1">
        <v>687</v>
      </c>
      <c r="O420" s="1">
        <v>970</v>
      </c>
      <c r="P420" s="1">
        <v>572</v>
      </c>
      <c r="Q420" s="1">
        <v>899</v>
      </c>
      <c r="R420" s="1">
        <v>684</v>
      </c>
      <c r="S420" s="1">
        <f>SUM(ecommerce_sales_all_data[[#This Row],[sales_month_1]:[sales_month_12]])</f>
        <v>7839</v>
      </c>
      <c r="T420" s="3">
        <f t="shared" si="82"/>
        <v>205781.09999999998</v>
      </c>
      <c r="U420" s="3">
        <f t="shared" si="83"/>
        <v>171653.19999999998</v>
      </c>
      <c r="V420" s="3">
        <f t="shared" si="84"/>
        <v>94949.9</v>
      </c>
      <c r="W420" s="3">
        <f t="shared" si="85"/>
        <v>231123.59999999998</v>
      </c>
      <c r="X420" s="3">
        <f t="shared" si="86"/>
        <v>285525.5</v>
      </c>
      <c r="Y420" s="3">
        <f t="shared" si="87"/>
        <v>39196.399999999994</v>
      </c>
      <c r="Z420" s="3">
        <f t="shared" si="88"/>
        <v>332493.59999999998</v>
      </c>
      <c r="AA420" s="3">
        <f t="shared" si="89"/>
        <v>232137.3</v>
      </c>
      <c r="AB420" s="3">
        <f t="shared" si="90"/>
        <v>327763</v>
      </c>
      <c r="AC420" s="3">
        <f t="shared" si="91"/>
        <v>193278.8</v>
      </c>
      <c r="AD420" s="3">
        <f t="shared" si="92"/>
        <v>303772.09999999998</v>
      </c>
      <c r="AE420" s="3">
        <f t="shared" si="93"/>
        <v>231123.59999999998</v>
      </c>
      <c r="AF420" s="3">
        <f>SUM(ecommerce_sales_all_data[[#This Row],[revenue_month_1]:[revenue_month_12]])</f>
        <v>2648798.1</v>
      </c>
    </row>
    <row r="421" spans="1:32" x14ac:dyDescent="0.3">
      <c r="A421">
        <v>420</v>
      </c>
      <c r="B421" t="s">
        <v>444</v>
      </c>
      <c r="C421" t="s">
        <v>29</v>
      </c>
      <c r="D421" s="2">
        <v>377.43</v>
      </c>
      <c r="E421">
        <v>4.7</v>
      </c>
      <c r="F421">
        <v>633</v>
      </c>
      <c r="G421" s="1">
        <v>225</v>
      </c>
      <c r="H421" s="1">
        <v>136</v>
      </c>
      <c r="I421" s="1">
        <v>686</v>
      </c>
      <c r="J421" s="1">
        <v>78</v>
      </c>
      <c r="K421" s="1">
        <v>520</v>
      </c>
      <c r="L421" s="1">
        <v>579</v>
      </c>
      <c r="M421" s="1">
        <v>312</v>
      </c>
      <c r="N421" s="1">
        <v>7</v>
      </c>
      <c r="O421" s="1">
        <v>19</v>
      </c>
      <c r="P421" s="1">
        <v>782</v>
      </c>
      <c r="Q421" s="1">
        <v>501</v>
      </c>
      <c r="R421" s="1">
        <v>730</v>
      </c>
      <c r="S421" s="1">
        <f>SUM(ecommerce_sales_all_data[[#This Row],[sales_month_1]:[sales_month_12]])</f>
        <v>4575</v>
      </c>
      <c r="T421" s="3">
        <f t="shared" si="82"/>
        <v>84921.75</v>
      </c>
      <c r="U421" s="3">
        <f t="shared" si="83"/>
        <v>51330.48</v>
      </c>
      <c r="V421" s="3">
        <f t="shared" si="84"/>
        <v>258916.98</v>
      </c>
      <c r="W421" s="3">
        <f t="shared" si="85"/>
        <v>29439.54</v>
      </c>
      <c r="X421" s="3">
        <f t="shared" si="86"/>
        <v>196263.6</v>
      </c>
      <c r="Y421" s="3">
        <f t="shared" si="87"/>
        <v>218531.97</v>
      </c>
      <c r="Z421" s="3">
        <f t="shared" si="88"/>
        <v>117758.16</v>
      </c>
      <c r="AA421" s="3">
        <f t="shared" si="89"/>
        <v>2642.01</v>
      </c>
      <c r="AB421" s="3">
        <f t="shared" si="90"/>
        <v>7171.17</v>
      </c>
      <c r="AC421" s="3">
        <f t="shared" si="91"/>
        <v>295150.26</v>
      </c>
      <c r="AD421" s="3">
        <f t="shared" si="92"/>
        <v>189092.43</v>
      </c>
      <c r="AE421" s="3">
        <f t="shared" si="93"/>
        <v>275523.90000000002</v>
      </c>
      <c r="AF421" s="3">
        <f>SUM(ecommerce_sales_all_data[[#This Row],[revenue_month_1]:[revenue_month_12]])</f>
        <v>1726742.25</v>
      </c>
    </row>
    <row r="422" spans="1:32" x14ac:dyDescent="0.3">
      <c r="A422">
        <v>421</v>
      </c>
      <c r="B422" t="s">
        <v>445</v>
      </c>
      <c r="C422" t="s">
        <v>29</v>
      </c>
      <c r="D422" s="2">
        <v>396.83</v>
      </c>
      <c r="E422">
        <v>2.2999999999999998</v>
      </c>
      <c r="F422">
        <v>508</v>
      </c>
      <c r="G422" s="1">
        <v>411</v>
      </c>
      <c r="H422" s="1">
        <v>174</v>
      </c>
      <c r="I422" s="1">
        <v>161</v>
      </c>
      <c r="J422" s="1">
        <v>621</v>
      </c>
      <c r="K422" s="1">
        <v>762</v>
      </c>
      <c r="L422" s="1">
        <v>506</v>
      </c>
      <c r="M422" s="1">
        <v>997</v>
      </c>
      <c r="N422" s="1">
        <v>806</v>
      </c>
      <c r="O422" s="1">
        <v>559</v>
      </c>
      <c r="P422" s="1">
        <v>605</v>
      </c>
      <c r="Q422" s="1">
        <v>165</v>
      </c>
      <c r="R422" s="1">
        <v>463</v>
      </c>
      <c r="S422" s="1">
        <f>SUM(ecommerce_sales_all_data[[#This Row],[sales_month_1]:[sales_month_12]])</f>
        <v>6230</v>
      </c>
      <c r="T422" s="3">
        <f t="shared" si="82"/>
        <v>163097.13</v>
      </c>
      <c r="U422" s="3">
        <f t="shared" si="83"/>
        <v>69048.42</v>
      </c>
      <c r="V422" s="3">
        <f t="shared" si="84"/>
        <v>63889.63</v>
      </c>
      <c r="W422" s="3">
        <f t="shared" si="85"/>
        <v>246431.43</v>
      </c>
      <c r="X422" s="3">
        <f t="shared" si="86"/>
        <v>302384.45999999996</v>
      </c>
      <c r="Y422" s="3">
        <f t="shared" si="87"/>
        <v>200795.97999999998</v>
      </c>
      <c r="Z422" s="3">
        <f t="shared" si="88"/>
        <v>395639.51</v>
      </c>
      <c r="AA422" s="3">
        <f t="shared" si="89"/>
        <v>319844.98</v>
      </c>
      <c r="AB422" s="3">
        <f t="shared" si="90"/>
        <v>221827.97</v>
      </c>
      <c r="AC422" s="3">
        <f t="shared" si="91"/>
        <v>240082.15</v>
      </c>
      <c r="AD422" s="3">
        <f t="shared" si="92"/>
        <v>65476.95</v>
      </c>
      <c r="AE422" s="3">
        <f t="shared" si="93"/>
        <v>183732.28999999998</v>
      </c>
      <c r="AF422" s="3">
        <f>SUM(ecommerce_sales_all_data[[#This Row],[revenue_month_1]:[revenue_month_12]])</f>
        <v>2472250.9000000004</v>
      </c>
    </row>
    <row r="423" spans="1:32" x14ac:dyDescent="0.3">
      <c r="A423">
        <v>422</v>
      </c>
      <c r="B423" t="s">
        <v>446</v>
      </c>
      <c r="C423" t="s">
        <v>48</v>
      </c>
      <c r="D423" s="2">
        <v>395.86</v>
      </c>
      <c r="E423">
        <v>3</v>
      </c>
      <c r="F423">
        <v>787</v>
      </c>
      <c r="G423" s="1">
        <v>204</v>
      </c>
      <c r="H423" s="1">
        <v>288</v>
      </c>
      <c r="I423" s="1">
        <v>982</v>
      </c>
      <c r="J423" s="1">
        <v>216</v>
      </c>
      <c r="K423" s="1">
        <v>430</v>
      </c>
      <c r="L423" s="1">
        <v>545</v>
      </c>
      <c r="M423" s="1">
        <v>460</v>
      </c>
      <c r="N423" s="1">
        <v>234</v>
      </c>
      <c r="O423" s="1">
        <v>968</v>
      </c>
      <c r="P423" s="1">
        <v>818</v>
      </c>
      <c r="Q423" s="1">
        <v>702</v>
      </c>
      <c r="R423" s="1">
        <v>246</v>
      </c>
      <c r="S423" s="1">
        <f>SUM(ecommerce_sales_all_data[[#This Row],[sales_month_1]:[sales_month_12]])</f>
        <v>6093</v>
      </c>
      <c r="T423" s="3">
        <f t="shared" si="82"/>
        <v>80755.44</v>
      </c>
      <c r="U423" s="3">
        <f t="shared" si="83"/>
        <v>114007.68000000001</v>
      </c>
      <c r="V423" s="3">
        <f t="shared" si="84"/>
        <v>388734.52</v>
      </c>
      <c r="W423" s="3">
        <f t="shared" si="85"/>
        <v>85505.760000000009</v>
      </c>
      <c r="X423" s="3">
        <f t="shared" si="86"/>
        <v>170219.80000000002</v>
      </c>
      <c r="Y423" s="3">
        <f t="shared" si="87"/>
        <v>215743.7</v>
      </c>
      <c r="Z423" s="3">
        <f t="shared" si="88"/>
        <v>182095.6</v>
      </c>
      <c r="AA423" s="3">
        <f t="shared" si="89"/>
        <v>92631.24</v>
      </c>
      <c r="AB423" s="3">
        <f t="shared" si="90"/>
        <v>383192.48000000004</v>
      </c>
      <c r="AC423" s="3">
        <f t="shared" si="91"/>
        <v>323813.48000000004</v>
      </c>
      <c r="AD423" s="3">
        <f t="shared" si="92"/>
        <v>277893.72000000003</v>
      </c>
      <c r="AE423" s="3">
        <f t="shared" si="93"/>
        <v>97381.56</v>
      </c>
      <c r="AF423" s="3">
        <f>SUM(ecommerce_sales_all_data[[#This Row],[revenue_month_1]:[revenue_month_12]])</f>
        <v>2411974.9800000004</v>
      </c>
    </row>
    <row r="424" spans="1:32" x14ac:dyDescent="0.3">
      <c r="A424">
        <v>423</v>
      </c>
      <c r="B424" t="s">
        <v>447</v>
      </c>
      <c r="C424" t="s">
        <v>35</v>
      </c>
      <c r="D424" s="2">
        <v>50.15</v>
      </c>
      <c r="E424">
        <v>1.2</v>
      </c>
      <c r="F424">
        <v>943</v>
      </c>
      <c r="G424" s="1">
        <v>78</v>
      </c>
      <c r="H424" s="1">
        <v>957</v>
      </c>
      <c r="I424" s="1">
        <v>350</v>
      </c>
      <c r="J424" s="1">
        <v>946</v>
      </c>
      <c r="K424" s="1">
        <v>843</v>
      </c>
      <c r="L424" s="1">
        <v>705</v>
      </c>
      <c r="M424" s="1">
        <v>707</v>
      </c>
      <c r="N424" s="1">
        <v>674</v>
      </c>
      <c r="O424" s="1">
        <v>129</v>
      </c>
      <c r="P424" s="1">
        <v>538</v>
      </c>
      <c r="Q424" s="1">
        <v>174</v>
      </c>
      <c r="R424" s="1">
        <v>729</v>
      </c>
      <c r="S424" s="1">
        <f>SUM(ecommerce_sales_all_data[[#This Row],[sales_month_1]:[sales_month_12]])</f>
        <v>6830</v>
      </c>
      <c r="T424" s="3">
        <f t="shared" si="82"/>
        <v>3911.7</v>
      </c>
      <c r="U424" s="3">
        <f t="shared" si="83"/>
        <v>47993.549999999996</v>
      </c>
      <c r="V424" s="3">
        <f t="shared" si="84"/>
        <v>17552.5</v>
      </c>
      <c r="W424" s="3">
        <f t="shared" si="85"/>
        <v>47441.9</v>
      </c>
      <c r="X424" s="3">
        <f t="shared" si="86"/>
        <v>42276.45</v>
      </c>
      <c r="Y424" s="3">
        <f t="shared" si="87"/>
        <v>35355.75</v>
      </c>
      <c r="Z424" s="3">
        <f t="shared" si="88"/>
        <v>35456.049999999996</v>
      </c>
      <c r="AA424" s="3">
        <f t="shared" si="89"/>
        <v>33801.1</v>
      </c>
      <c r="AB424" s="3">
        <f t="shared" si="90"/>
        <v>6469.3499999999995</v>
      </c>
      <c r="AC424" s="3">
        <f t="shared" si="91"/>
        <v>26980.7</v>
      </c>
      <c r="AD424" s="3">
        <f t="shared" si="92"/>
        <v>8726.1</v>
      </c>
      <c r="AE424" s="3">
        <f t="shared" si="93"/>
        <v>36559.35</v>
      </c>
      <c r="AF424" s="3">
        <f>SUM(ecommerce_sales_all_data[[#This Row],[revenue_month_1]:[revenue_month_12]])</f>
        <v>342524.49999999988</v>
      </c>
    </row>
    <row r="425" spans="1:32" x14ac:dyDescent="0.3">
      <c r="A425">
        <v>424</v>
      </c>
      <c r="B425" t="s">
        <v>448</v>
      </c>
      <c r="C425" t="s">
        <v>26</v>
      </c>
      <c r="D425" s="2">
        <v>249.74</v>
      </c>
      <c r="E425">
        <v>1.6</v>
      </c>
      <c r="F425">
        <v>398</v>
      </c>
      <c r="G425" s="1">
        <v>123</v>
      </c>
      <c r="H425" s="1">
        <v>480</v>
      </c>
      <c r="I425" s="1">
        <v>433</v>
      </c>
      <c r="J425" s="1">
        <v>357</v>
      </c>
      <c r="K425" s="1">
        <v>297</v>
      </c>
      <c r="L425" s="1">
        <v>324</v>
      </c>
      <c r="M425" s="1">
        <v>886</v>
      </c>
      <c r="N425" s="1">
        <v>560</v>
      </c>
      <c r="O425" s="1">
        <v>292</v>
      </c>
      <c r="P425" s="1">
        <v>213</v>
      </c>
      <c r="Q425" s="1">
        <v>0</v>
      </c>
      <c r="R425" s="1">
        <v>372</v>
      </c>
      <c r="S425" s="1">
        <f>SUM(ecommerce_sales_all_data[[#This Row],[sales_month_1]:[sales_month_12]])</f>
        <v>4337</v>
      </c>
      <c r="T425" s="3">
        <f t="shared" si="82"/>
        <v>30718.02</v>
      </c>
      <c r="U425" s="3">
        <f t="shared" si="83"/>
        <v>119875.20000000001</v>
      </c>
      <c r="V425" s="3">
        <f t="shared" si="84"/>
        <v>108137.42</v>
      </c>
      <c r="W425" s="3">
        <f t="shared" si="85"/>
        <v>89157.180000000008</v>
      </c>
      <c r="X425" s="3">
        <f t="shared" si="86"/>
        <v>74172.78</v>
      </c>
      <c r="Y425" s="3">
        <f t="shared" si="87"/>
        <v>80915.760000000009</v>
      </c>
      <c r="Z425" s="3">
        <f t="shared" si="88"/>
        <v>221269.64</v>
      </c>
      <c r="AA425" s="3">
        <f t="shared" si="89"/>
        <v>139854.39999999999</v>
      </c>
      <c r="AB425" s="3">
        <f t="shared" si="90"/>
        <v>72924.08</v>
      </c>
      <c r="AC425" s="3">
        <f t="shared" si="91"/>
        <v>53194.62</v>
      </c>
      <c r="AD425" s="3">
        <f t="shared" si="92"/>
        <v>0</v>
      </c>
      <c r="AE425" s="3">
        <f t="shared" si="93"/>
        <v>92903.28</v>
      </c>
      <c r="AF425" s="3">
        <f>SUM(ecommerce_sales_all_data[[#This Row],[revenue_month_1]:[revenue_month_12]])</f>
        <v>1083122.3799999999</v>
      </c>
    </row>
    <row r="426" spans="1:32" x14ac:dyDescent="0.3">
      <c r="A426">
        <v>425</v>
      </c>
      <c r="B426" t="s">
        <v>449</v>
      </c>
      <c r="C426" t="s">
        <v>19</v>
      </c>
      <c r="D426" s="2">
        <v>33.49</v>
      </c>
      <c r="E426">
        <v>4.9000000000000004</v>
      </c>
      <c r="F426">
        <v>120</v>
      </c>
      <c r="G426" s="1">
        <v>470</v>
      </c>
      <c r="H426" s="1">
        <v>18</v>
      </c>
      <c r="I426" s="1">
        <v>851</v>
      </c>
      <c r="J426" s="1">
        <v>617</v>
      </c>
      <c r="K426" s="1">
        <v>434</v>
      </c>
      <c r="L426" s="1">
        <v>54</v>
      </c>
      <c r="M426" s="1">
        <v>461</v>
      </c>
      <c r="N426" s="1">
        <v>301</v>
      </c>
      <c r="O426" s="1">
        <v>896</v>
      </c>
      <c r="P426" s="1">
        <v>73</v>
      </c>
      <c r="Q426" s="1">
        <v>898</v>
      </c>
      <c r="R426" s="1">
        <v>416</v>
      </c>
      <c r="S426" s="1">
        <f>SUM(ecommerce_sales_all_data[[#This Row],[sales_month_1]:[sales_month_12]])</f>
        <v>5489</v>
      </c>
      <c r="T426" s="3">
        <f t="shared" si="82"/>
        <v>15740.300000000001</v>
      </c>
      <c r="U426" s="3">
        <f t="shared" si="83"/>
        <v>602.82000000000005</v>
      </c>
      <c r="V426" s="3">
        <f t="shared" si="84"/>
        <v>28499.99</v>
      </c>
      <c r="W426" s="3">
        <f t="shared" si="85"/>
        <v>20663.330000000002</v>
      </c>
      <c r="X426" s="3">
        <f t="shared" si="86"/>
        <v>14534.660000000002</v>
      </c>
      <c r="Y426" s="3">
        <f t="shared" si="87"/>
        <v>1808.46</v>
      </c>
      <c r="Z426" s="3">
        <f t="shared" si="88"/>
        <v>15438.890000000001</v>
      </c>
      <c r="AA426" s="3">
        <f t="shared" si="89"/>
        <v>10080.49</v>
      </c>
      <c r="AB426" s="3">
        <f t="shared" si="90"/>
        <v>30007.040000000001</v>
      </c>
      <c r="AC426" s="3">
        <f t="shared" si="91"/>
        <v>2444.77</v>
      </c>
      <c r="AD426" s="3">
        <f t="shared" si="92"/>
        <v>30074.02</v>
      </c>
      <c r="AE426" s="3">
        <f t="shared" si="93"/>
        <v>13931.84</v>
      </c>
      <c r="AF426" s="3">
        <f>SUM(ecommerce_sales_all_data[[#This Row],[revenue_month_1]:[revenue_month_12]])</f>
        <v>183826.61</v>
      </c>
    </row>
    <row r="427" spans="1:32" x14ac:dyDescent="0.3">
      <c r="A427">
        <v>426</v>
      </c>
      <c r="B427" t="s">
        <v>450</v>
      </c>
      <c r="C427" t="s">
        <v>48</v>
      </c>
      <c r="D427" s="2">
        <v>277.02</v>
      </c>
      <c r="E427">
        <v>4.9000000000000004</v>
      </c>
      <c r="F427">
        <v>934</v>
      </c>
      <c r="G427" s="1">
        <v>939</v>
      </c>
      <c r="H427" s="1">
        <v>194</v>
      </c>
      <c r="I427" s="1">
        <v>139</v>
      </c>
      <c r="J427" s="1">
        <v>506</v>
      </c>
      <c r="K427" s="1">
        <v>695</v>
      </c>
      <c r="L427" s="1">
        <v>777</v>
      </c>
      <c r="M427" s="1">
        <v>864</v>
      </c>
      <c r="N427" s="1">
        <v>37</v>
      </c>
      <c r="O427" s="1">
        <v>131</v>
      </c>
      <c r="P427" s="1">
        <v>60</v>
      </c>
      <c r="Q427" s="1">
        <v>740</v>
      </c>
      <c r="R427" s="1">
        <v>30</v>
      </c>
      <c r="S427" s="1">
        <f>SUM(ecommerce_sales_all_data[[#This Row],[sales_month_1]:[sales_month_12]])</f>
        <v>5112</v>
      </c>
      <c r="T427" s="3">
        <f t="shared" si="82"/>
        <v>260121.77999999997</v>
      </c>
      <c r="U427" s="3">
        <f t="shared" si="83"/>
        <v>53741.88</v>
      </c>
      <c r="V427" s="3">
        <f t="shared" si="84"/>
        <v>38505.78</v>
      </c>
      <c r="W427" s="3">
        <f t="shared" si="85"/>
        <v>140172.12</v>
      </c>
      <c r="X427" s="3">
        <f t="shared" si="86"/>
        <v>192528.9</v>
      </c>
      <c r="Y427" s="3">
        <f t="shared" si="87"/>
        <v>215244.53999999998</v>
      </c>
      <c r="Z427" s="3">
        <f t="shared" si="88"/>
        <v>239345.27999999997</v>
      </c>
      <c r="AA427" s="3">
        <f t="shared" si="89"/>
        <v>10249.74</v>
      </c>
      <c r="AB427" s="3">
        <f t="shared" si="90"/>
        <v>36289.619999999995</v>
      </c>
      <c r="AC427" s="3">
        <f t="shared" si="91"/>
        <v>16621.199999999997</v>
      </c>
      <c r="AD427" s="3">
        <f t="shared" si="92"/>
        <v>204994.8</v>
      </c>
      <c r="AE427" s="3">
        <f t="shared" si="93"/>
        <v>8310.5999999999985</v>
      </c>
      <c r="AF427" s="3">
        <f>SUM(ecommerce_sales_all_data[[#This Row],[revenue_month_1]:[revenue_month_12]])</f>
        <v>1416126.2400000002</v>
      </c>
    </row>
    <row r="428" spans="1:32" x14ac:dyDescent="0.3">
      <c r="A428">
        <v>427</v>
      </c>
      <c r="B428" t="s">
        <v>451</v>
      </c>
      <c r="C428" t="s">
        <v>48</v>
      </c>
      <c r="D428" s="2">
        <v>223.56</v>
      </c>
      <c r="E428">
        <v>1</v>
      </c>
      <c r="F428">
        <v>437</v>
      </c>
      <c r="G428" s="1">
        <v>217</v>
      </c>
      <c r="H428" s="1">
        <v>329</v>
      </c>
      <c r="I428" s="1">
        <v>470</v>
      </c>
      <c r="J428" s="1">
        <v>558</v>
      </c>
      <c r="K428" s="1">
        <v>690</v>
      </c>
      <c r="L428" s="1">
        <v>991</v>
      </c>
      <c r="M428" s="1">
        <v>91</v>
      </c>
      <c r="N428" s="1">
        <v>135</v>
      </c>
      <c r="O428" s="1">
        <v>355</v>
      </c>
      <c r="P428" s="1">
        <v>697</v>
      </c>
      <c r="Q428" s="1">
        <v>85</v>
      </c>
      <c r="R428" s="1">
        <v>367</v>
      </c>
      <c r="S428" s="1">
        <f>SUM(ecommerce_sales_all_data[[#This Row],[sales_month_1]:[sales_month_12]])</f>
        <v>4985</v>
      </c>
      <c r="T428" s="3">
        <f t="shared" si="82"/>
        <v>48512.520000000004</v>
      </c>
      <c r="U428" s="3">
        <f t="shared" si="83"/>
        <v>73551.240000000005</v>
      </c>
      <c r="V428" s="3">
        <f t="shared" si="84"/>
        <v>105073.2</v>
      </c>
      <c r="W428" s="3">
        <f t="shared" si="85"/>
        <v>124746.48</v>
      </c>
      <c r="X428" s="3">
        <f t="shared" si="86"/>
        <v>154256.4</v>
      </c>
      <c r="Y428" s="3">
        <f t="shared" si="87"/>
        <v>221547.96</v>
      </c>
      <c r="Z428" s="3">
        <f t="shared" si="88"/>
        <v>20343.96</v>
      </c>
      <c r="AA428" s="3">
        <f t="shared" si="89"/>
        <v>30180.6</v>
      </c>
      <c r="AB428" s="3">
        <f t="shared" si="90"/>
        <v>79363.8</v>
      </c>
      <c r="AC428" s="3">
        <f t="shared" si="91"/>
        <v>155821.32</v>
      </c>
      <c r="AD428" s="3">
        <f t="shared" si="92"/>
        <v>19002.599999999999</v>
      </c>
      <c r="AE428" s="3">
        <f t="shared" si="93"/>
        <v>82046.52</v>
      </c>
      <c r="AF428" s="3">
        <f>SUM(ecommerce_sales_all_data[[#This Row],[revenue_month_1]:[revenue_month_12]])</f>
        <v>1114446.5999999999</v>
      </c>
    </row>
    <row r="429" spans="1:32" x14ac:dyDescent="0.3">
      <c r="A429">
        <v>428</v>
      </c>
      <c r="B429" t="s">
        <v>452</v>
      </c>
      <c r="C429" t="s">
        <v>26</v>
      </c>
      <c r="D429" s="2">
        <v>444.41</v>
      </c>
      <c r="E429">
        <v>4.8</v>
      </c>
      <c r="F429">
        <v>829</v>
      </c>
      <c r="G429" s="1">
        <v>515</v>
      </c>
      <c r="H429" s="1">
        <v>935</v>
      </c>
      <c r="I429" s="1">
        <v>131</v>
      </c>
      <c r="J429" s="1">
        <v>180</v>
      </c>
      <c r="K429" s="1">
        <v>197</v>
      </c>
      <c r="L429" s="1">
        <v>41</v>
      </c>
      <c r="M429" s="1">
        <v>51</v>
      </c>
      <c r="N429" s="1">
        <v>821</v>
      </c>
      <c r="O429" s="1">
        <v>53</v>
      </c>
      <c r="P429" s="1">
        <v>542</v>
      </c>
      <c r="Q429" s="1">
        <v>573</v>
      </c>
      <c r="R429" s="1">
        <v>558</v>
      </c>
      <c r="S429" s="1">
        <f>SUM(ecommerce_sales_all_data[[#This Row],[sales_month_1]:[sales_month_12]])</f>
        <v>4597</v>
      </c>
      <c r="T429" s="3">
        <f t="shared" si="82"/>
        <v>228871.15000000002</v>
      </c>
      <c r="U429" s="3">
        <f t="shared" si="83"/>
        <v>415523.35000000003</v>
      </c>
      <c r="V429" s="3">
        <f t="shared" si="84"/>
        <v>58217.710000000006</v>
      </c>
      <c r="W429" s="3">
        <f t="shared" si="85"/>
        <v>79993.8</v>
      </c>
      <c r="X429" s="3">
        <f t="shared" si="86"/>
        <v>87548.77</v>
      </c>
      <c r="Y429" s="3">
        <f t="shared" si="87"/>
        <v>18220.810000000001</v>
      </c>
      <c r="Z429" s="3">
        <f t="shared" si="88"/>
        <v>22664.91</v>
      </c>
      <c r="AA429" s="3">
        <f t="shared" si="89"/>
        <v>364860.61000000004</v>
      </c>
      <c r="AB429" s="3">
        <f t="shared" si="90"/>
        <v>23553.73</v>
      </c>
      <c r="AC429" s="3">
        <f t="shared" si="91"/>
        <v>240870.22</v>
      </c>
      <c r="AD429" s="3">
        <f t="shared" si="92"/>
        <v>254646.93000000002</v>
      </c>
      <c r="AE429" s="3">
        <f t="shared" si="93"/>
        <v>247980.78000000003</v>
      </c>
      <c r="AF429" s="3">
        <f>SUM(ecommerce_sales_all_data[[#This Row],[revenue_month_1]:[revenue_month_12]])</f>
        <v>2042952.77</v>
      </c>
    </row>
    <row r="430" spans="1:32" x14ac:dyDescent="0.3">
      <c r="A430">
        <v>429</v>
      </c>
      <c r="B430" t="s">
        <v>453</v>
      </c>
      <c r="C430" t="s">
        <v>29</v>
      </c>
      <c r="D430" s="2">
        <v>178.7</v>
      </c>
      <c r="E430">
        <v>3.6</v>
      </c>
      <c r="F430">
        <v>676</v>
      </c>
      <c r="G430" s="1">
        <v>601</v>
      </c>
      <c r="H430" s="1">
        <v>174</v>
      </c>
      <c r="I430" s="1">
        <v>86</v>
      </c>
      <c r="J430" s="1">
        <v>575</v>
      </c>
      <c r="K430" s="1">
        <v>127</v>
      </c>
      <c r="L430" s="1">
        <v>296</v>
      </c>
      <c r="M430" s="1">
        <v>804</v>
      </c>
      <c r="N430" s="1">
        <v>420</v>
      </c>
      <c r="O430" s="1">
        <v>889</v>
      </c>
      <c r="P430" s="1">
        <v>218</v>
      </c>
      <c r="Q430" s="1">
        <v>319</v>
      </c>
      <c r="R430" s="1">
        <v>645</v>
      </c>
      <c r="S430" s="1">
        <f>SUM(ecommerce_sales_all_data[[#This Row],[sales_month_1]:[sales_month_12]])</f>
        <v>5154</v>
      </c>
      <c r="T430" s="3">
        <f t="shared" si="82"/>
        <v>107398.7</v>
      </c>
      <c r="U430" s="3">
        <f t="shared" si="83"/>
        <v>31093.8</v>
      </c>
      <c r="V430" s="3">
        <f t="shared" si="84"/>
        <v>15368.199999999999</v>
      </c>
      <c r="W430" s="3">
        <f t="shared" si="85"/>
        <v>102752.5</v>
      </c>
      <c r="X430" s="3">
        <f t="shared" si="86"/>
        <v>22694.899999999998</v>
      </c>
      <c r="Y430" s="3">
        <f t="shared" si="87"/>
        <v>52895.199999999997</v>
      </c>
      <c r="Z430" s="3">
        <f t="shared" si="88"/>
        <v>143674.79999999999</v>
      </c>
      <c r="AA430" s="3">
        <f t="shared" si="89"/>
        <v>75054</v>
      </c>
      <c r="AB430" s="3">
        <f t="shared" si="90"/>
        <v>158864.29999999999</v>
      </c>
      <c r="AC430" s="3">
        <f t="shared" si="91"/>
        <v>38956.6</v>
      </c>
      <c r="AD430" s="3">
        <f t="shared" si="92"/>
        <v>57005.299999999996</v>
      </c>
      <c r="AE430" s="3">
        <f t="shared" si="93"/>
        <v>115261.49999999999</v>
      </c>
      <c r="AF430" s="3">
        <f>SUM(ecommerce_sales_all_data[[#This Row],[revenue_month_1]:[revenue_month_12]])</f>
        <v>921019.80000000016</v>
      </c>
    </row>
    <row r="431" spans="1:32" x14ac:dyDescent="0.3">
      <c r="A431">
        <v>430</v>
      </c>
      <c r="B431" t="s">
        <v>454</v>
      </c>
      <c r="C431" t="s">
        <v>35</v>
      </c>
      <c r="D431" s="2">
        <v>62.95</v>
      </c>
      <c r="E431">
        <v>4.5</v>
      </c>
      <c r="F431">
        <v>936</v>
      </c>
      <c r="G431" s="1">
        <v>103</v>
      </c>
      <c r="H431" s="1">
        <v>448</v>
      </c>
      <c r="I431" s="1">
        <v>687</v>
      </c>
      <c r="J431" s="1">
        <v>245</v>
      </c>
      <c r="K431" s="1">
        <v>531</v>
      </c>
      <c r="L431" s="1">
        <v>972</v>
      </c>
      <c r="M431" s="1">
        <v>519</v>
      </c>
      <c r="N431" s="1">
        <v>218</v>
      </c>
      <c r="O431" s="1">
        <v>792</v>
      </c>
      <c r="P431" s="1">
        <v>11</v>
      </c>
      <c r="Q431" s="1">
        <v>400</v>
      </c>
      <c r="R431" s="1">
        <v>107</v>
      </c>
      <c r="S431" s="1">
        <f>SUM(ecommerce_sales_all_data[[#This Row],[sales_month_1]:[sales_month_12]])</f>
        <v>5033</v>
      </c>
      <c r="T431" s="3">
        <f t="shared" si="82"/>
        <v>6483.85</v>
      </c>
      <c r="U431" s="3">
        <f t="shared" si="83"/>
        <v>28201.600000000002</v>
      </c>
      <c r="V431" s="3">
        <f t="shared" si="84"/>
        <v>43246.65</v>
      </c>
      <c r="W431" s="3">
        <f t="shared" si="85"/>
        <v>15422.75</v>
      </c>
      <c r="X431" s="3">
        <f t="shared" si="86"/>
        <v>33426.450000000004</v>
      </c>
      <c r="Y431" s="3">
        <f t="shared" si="87"/>
        <v>61187.4</v>
      </c>
      <c r="Z431" s="3">
        <f t="shared" si="88"/>
        <v>32671.050000000003</v>
      </c>
      <c r="AA431" s="3">
        <f t="shared" si="89"/>
        <v>13723.1</v>
      </c>
      <c r="AB431" s="3">
        <f t="shared" si="90"/>
        <v>49856.4</v>
      </c>
      <c r="AC431" s="3">
        <f t="shared" si="91"/>
        <v>692.45</v>
      </c>
      <c r="AD431" s="3">
        <f t="shared" si="92"/>
        <v>25180</v>
      </c>
      <c r="AE431" s="3">
        <f t="shared" si="93"/>
        <v>6735.6500000000005</v>
      </c>
      <c r="AF431" s="3">
        <f>SUM(ecommerce_sales_all_data[[#This Row],[revenue_month_1]:[revenue_month_12]])</f>
        <v>316827.35000000003</v>
      </c>
    </row>
    <row r="432" spans="1:32" x14ac:dyDescent="0.3">
      <c r="A432">
        <v>431</v>
      </c>
      <c r="B432" t="s">
        <v>455</v>
      </c>
      <c r="C432" t="s">
        <v>26</v>
      </c>
      <c r="D432" s="2">
        <v>75.78</v>
      </c>
      <c r="E432">
        <v>2.8</v>
      </c>
      <c r="F432">
        <v>465</v>
      </c>
      <c r="G432" s="1">
        <v>392</v>
      </c>
      <c r="H432" s="1">
        <v>924</v>
      </c>
      <c r="I432" s="1">
        <v>182</v>
      </c>
      <c r="J432" s="1">
        <v>243</v>
      </c>
      <c r="K432" s="1">
        <v>983</v>
      </c>
      <c r="L432" s="1">
        <v>230</v>
      </c>
      <c r="M432" s="1">
        <v>811</v>
      </c>
      <c r="N432" s="1">
        <v>347</v>
      </c>
      <c r="O432" s="1">
        <v>386</v>
      </c>
      <c r="P432" s="1">
        <v>813</v>
      </c>
      <c r="Q432" s="1">
        <v>381</v>
      </c>
      <c r="R432" s="1">
        <v>583</v>
      </c>
      <c r="S432" s="1">
        <f>SUM(ecommerce_sales_all_data[[#This Row],[sales_month_1]:[sales_month_12]])</f>
        <v>6275</v>
      </c>
      <c r="T432" s="3">
        <f t="shared" si="82"/>
        <v>29705.760000000002</v>
      </c>
      <c r="U432" s="3">
        <f t="shared" si="83"/>
        <v>70020.72</v>
      </c>
      <c r="V432" s="3">
        <f t="shared" si="84"/>
        <v>13791.960000000001</v>
      </c>
      <c r="W432" s="3">
        <f t="shared" si="85"/>
        <v>18414.54</v>
      </c>
      <c r="X432" s="3">
        <f t="shared" si="86"/>
        <v>74491.740000000005</v>
      </c>
      <c r="Y432" s="3">
        <f t="shared" si="87"/>
        <v>17429.400000000001</v>
      </c>
      <c r="Z432" s="3">
        <f t="shared" si="88"/>
        <v>61457.58</v>
      </c>
      <c r="AA432" s="3">
        <f t="shared" si="89"/>
        <v>26295.66</v>
      </c>
      <c r="AB432" s="3">
        <f t="shared" si="90"/>
        <v>29251.08</v>
      </c>
      <c r="AC432" s="3">
        <f t="shared" si="91"/>
        <v>61609.14</v>
      </c>
      <c r="AD432" s="3">
        <f t="shared" si="92"/>
        <v>28872.18</v>
      </c>
      <c r="AE432" s="3">
        <f t="shared" si="93"/>
        <v>44179.74</v>
      </c>
      <c r="AF432" s="3">
        <f>SUM(ecommerce_sales_all_data[[#This Row],[revenue_month_1]:[revenue_month_12]])</f>
        <v>475519.5</v>
      </c>
    </row>
    <row r="433" spans="1:32" x14ac:dyDescent="0.3">
      <c r="A433">
        <v>432</v>
      </c>
      <c r="B433" t="s">
        <v>456</v>
      </c>
      <c r="C433" t="s">
        <v>26</v>
      </c>
      <c r="D433" s="2">
        <v>381.95</v>
      </c>
      <c r="E433">
        <v>3.1</v>
      </c>
      <c r="F433">
        <v>286</v>
      </c>
      <c r="G433" s="1">
        <v>630</v>
      </c>
      <c r="H433" s="1">
        <v>945</v>
      </c>
      <c r="I433" s="1">
        <v>367</v>
      </c>
      <c r="J433" s="1">
        <v>505</v>
      </c>
      <c r="K433" s="1">
        <v>410</v>
      </c>
      <c r="L433" s="1">
        <v>452</v>
      </c>
      <c r="M433" s="1">
        <v>97</v>
      </c>
      <c r="N433" s="1">
        <v>807</v>
      </c>
      <c r="O433" s="1">
        <v>264</v>
      </c>
      <c r="P433" s="1">
        <v>414</v>
      </c>
      <c r="Q433" s="1">
        <v>717</v>
      </c>
      <c r="R433" s="1">
        <v>838</v>
      </c>
      <c r="S433" s="1">
        <f>SUM(ecommerce_sales_all_data[[#This Row],[sales_month_1]:[sales_month_12]])</f>
        <v>6446</v>
      </c>
      <c r="T433" s="3">
        <f t="shared" si="82"/>
        <v>240628.5</v>
      </c>
      <c r="U433" s="3">
        <f t="shared" si="83"/>
        <v>360942.75</v>
      </c>
      <c r="V433" s="3">
        <f t="shared" si="84"/>
        <v>140175.65</v>
      </c>
      <c r="W433" s="3">
        <f t="shared" si="85"/>
        <v>192884.75</v>
      </c>
      <c r="X433" s="3">
        <f t="shared" si="86"/>
        <v>156599.5</v>
      </c>
      <c r="Y433" s="3">
        <f t="shared" si="87"/>
        <v>172641.4</v>
      </c>
      <c r="Z433" s="3">
        <f t="shared" si="88"/>
        <v>37049.15</v>
      </c>
      <c r="AA433" s="3">
        <f t="shared" si="89"/>
        <v>308233.64999999997</v>
      </c>
      <c r="AB433" s="3">
        <f t="shared" si="90"/>
        <v>100834.8</v>
      </c>
      <c r="AC433" s="3">
        <f t="shared" si="91"/>
        <v>158127.29999999999</v>
      </c>
      <c r="AD433" s="3">
        <f t="shared" si="92"/>
        <v>273858.14999999997</v>
      </c>
      <c r="AE433" s="3">
        <f t="shared" si="93"/>
        <v>320074.09999999998</v>
      </c>
      <c r="AF433" s="3">
        <f>SUM(ecommerce_sales_all_data[[#This Row],[revenue_month_1]:[revenue_month_12]])</f>
        <v>2462049.6999999997</v>
      </c>
    </row>
    <row r="434" spans="1:32" x14ac:dyDescent="0.3">
      <c r="A434">
        <v>433</v>
      </c>
      <c r="B434" t="s">
        <v>457</v>
      </c>
      <c r="C434" t="s">
        <v>48</v>
      </c>
      <c r="D434" s="2">
        <v>311.02</v>
      </c>
      <c r="E434">
        <v>3</v>
      </c>
      <c r="F434">
        <v>265</v>
      </c>
      <c r="G434" s="1">
        <v>644</v>
      </c>
      <c r="H434" s="1">
        <v>353</v>
      </c>
      <c r="I434" s="1">
        <v>128</v>
      </c>
      <c r="J434" s="1">
        <v>421</v>
      </c>
      <c r="K434" s="1">
        <v>933</v>
      </c>
      <c r="L434" s="1">
        <v>889</v>
      </c>
      <c r="M434" s="1">
        <v>235</v>
      </c>
      <c r="N434" s="1">
        <v>545</v>
      </c>
      <c r="O434" s="1">
        <v>981</v>
      </c>
      <c r="P434" s="1">
        <v>31</v>
      </c>
      <c r="Q434" s="1">
        <v>616</v>
      </c>
      <c r="R434" s="1">
        <v>417</v>
      </c>
      <c r="S434" s="1">
        <f>SUM(ecommerce_sales_all_data[[#This Row],[sales_month_1]:[sales_month_12]])</f>
        <v>6193</v>
      </c>
      <c r="T434" s="3">
        <f t="shared" si="82"/>
        <v>200296.87999999998</v>
      </c>
      <c r="U434" s="3">
        <f t="shared" si="83"/>
        <v>109790.06</v>
      </c>
      <c r="V434" s="3">
        <f t="shared" si="84"/>
        <v>39810.559999999998</v>
      </c>
      <c r="W434" s="3">
        <f t="shared" si="85"/>
        <v>130939.42</v>
      </c>
      <c r="X434" s="3">
        <f t="shared" si="86"/>
        <v>290181.65999999997</v>
      </c>
      <c r="Y434" s="3">
        <f t="shared" si="87"/>
        <v>276496.77999999997</v>
      </c>
      <c r="Z434" s="3">
        <f t="shared" si="88"/>
        <v>73089.7</v>
      </c>
      <c r="AA434" s="3">
        <f t="shared" si="89"/>
        <v>169505.9</v>
      </c>
      <c r="AB434" s="3">
        <f t="shared" si="90"/>
        <v>305110.62</v>
      </c>
      <c r="AC434" s="3">
        <f t="shared" si="91"/>
        <v>9641.619999999999</v>
      </c>
      <c r="AD434" s="3">
        <f t="shared" si="92"/>
        <v>191588.31999999998</v>
      </c>
      <c r="AE434" s="3">
        <f t="shared" si="93"/>
        <v>129695.34</v>
      </c>
      <c r="AF434" s="3">
        <f>SUM(ecommerce_sales_all_data[[#This Row],[revenue_month_1]:[revenue_month_12]])</f>
        <v>1926146.8599999999</v>
      </c>
    </row>
    <row r="435" spans="1:32" x14ac:dyDescent="0.3">
      <c r="A435">
        <v>434</v>
      </c>
      <c r="B435" t="s">
        <v>458</v>
      </c>
      <c r="C435" t="s">
        <v>19</v>
      </c>
      <c r="D435" s="2">
        <v>55.06</v>
      </c>
      <c r="E435">
        <v>3.7</v>
      </c>
      <c r="F435">
        <v>320</v>
      </c>
      <c r="G435" s="1">
        <v>823</v>
      </c>
      <c r="H435" s="1">
        <v>498</v>
      </c>
      <c r="I435" s="1">
        <v>245</v>
      </c>
      <c r="J435" s="1">
        <v>319</v>
      </c>
      <c r="K435" s="1">
        <v>839</v>
      </c>
      <c r="L435" s="1">
        <v>393</v>
      </c>
      <c r="M435" s="1">
        <v>900</v>
      </c>
      <c r="N435" s="1">
        <v>863</v>
      </c>
      <c r="O435" s="1">
        <v>214</v>
      </c>
      <c r="P435" s="1">
        <v>159</v>
      </c>
      <c r="Q435" s="1">
        <v>317</v>
      </c>
      <c r="R435" s="1">
        <v>619</v>
      </c>
      <c r="S435" s="1">
        <f>SUM(ecommerce_sales_all_data[[#This Row],[sales_month_1]:[sales_month_12]])</f>
        <v>6189</v>
      </c>
      <c r="T435" s="3">
        <f t="shared" si="82"/>
        <v>45314.380000000005</v>
      </c>
      <c r="U435" s="3">
        <f t="shared" si="83"/>
        <v>27419.88</v>
      </c>
      <c r="V435" s="3">
        <f t="shared" si="84"/>
        <v>13489.7</v>
      </c>
      <c r="W435" s="3">
        <f t="shared" si="85"/>
        <v>17564.14</v>
      </c>
      <c r="X435" s="3">
        <f t="shared" si="86"/>
        <v>46195.340000000004</v>
      </c>
      <c r="Y435" s="3">
        <f t="shared" si="87"/>
        <v>21638.58</v>
      </c>
      <c r="Z435" s="3">
        <f t="shared" si="88"/>
        <v>49554</v>
      </c>
      <c r="AA435" s="3">
        <f t="shared" si="89"/>
        <v>47516.78</v>
      </c>
      <c r="AB435" s="3">
        <f t="shared" si="90"/>
        <v>11782.84</v>
      </c>
      <c r="AC435" s="3">
        <f t="shared" si="91"/>
        <v>8754.5400000000009</v>
      </c>
      <c r="AD435" s="3">
        <f t="shared" si="92"/>
        <v>17454.02</v>
      </c>
      <c r="AE435" s="3">
        <f t="shared" si="93"/>
        <v>34082.14</v>
      </c>
      <c r="AF435" s="3">
        <f>SUM(ecommerce_sales_all_data[[#This Row],[revenue_month_1]:[revenue_month_12]])</f>
        <v>340766.34000000008</v>
      </c>
    </row>
    <row r="436" spans="1:32" x14ac:dyDescent="0.3">
      <c r="A436">
        <v>435</v>
      </c>
      <c r="B436" t="s">
        <v>459</v>
      </c>
      <c r="C436" t="s">
        <v>21</v>
      </c>
      <c r="D436" s="2">
        <v>46.63</v>
      </c>
      <c r="E436">
        <v>1.6</v>
      </c>
      <c r="F436">
        <v>673</v>
      </c>
      <c r="G436" s="1">
        <v>607</v>
      </c>
      <c r="H436" s="1">
        <v>140</v>
      </c>
      <c r="I436" s="1">
        <v>600</v>
      </c>
      <c r="J436" s="1">
        <v>86</v>
      </c>
      <c r="K436" s="1">
        <v>64</v>
      </c>
      <c r="L436" s="1">
        <v>521</v>
      </c>
      <c r="M436" s="1">
        <v>373</v>
      </c>
      <c r="N436" s="1">
        <v>78</v>
      </c>
      <c r="O436" s="1">
        <v>459</v>
      </c>
      <c r="P436" s="1">
        <v>1000</v>
      </c>
      <c r="Q436" s="1">
        <v>802</v>
      </c>
      <c r="R436" s="1">
        <v>820</v>
      </c>
      <c r="S436" s="1">
        <f>SUM(ecommerce_sales_all_data[[#This Row],[sales_month_1]:[sales_month_12]])</f>
        <v>5550</v>
      </c>
      <c r="T436" s="3">
        <f t="shared" si="82"/>
        <v>28304.41</v>
      </c>
      <c r="U436" s="3">
        <f t="shared" si="83"/>
        <v>6528.2000000000007</v>
      </c>
      <c r="V436" s="3">
        <f t="shared" si="84"/>
        <v>27978</v>
      </c>
      <c r="W436" s="3">
        <f t="shared" si="85"/>
        <v>4010.1800000000003</v>
      </c>
      <c r="X436" s="3">
        <f t="shared" si="86"/>
        <v>2984.32</v>
      </c>
      <c r="Y436" s="3">
        <f t="shared" si="87"/>
        <v>24294.23</v>
      </c>
      <c r="Z436" s="3">
        <f t="shared" si="88"/>
        <v>17392.990000000002</v>
      </c>
      <c r="AA436" s="3">
        <f t="shared" si="89"/>
        <v>3637.1400000000003</v>
      </c>
      <c r="AB436" s="3">
        <f t="shared" si="90"/>
        <v>21403.170000000002</v>
      </c>
      <c r="AC436" s="3">
        <f t="shared" si="91"/>
        <v>46630</v>
      </c>
      <c r="AD436" s="3">
        <f t="shared" si="92"/>
        <v>37397.26</v>
      </c>
      <c r="AE436" s="3">
        <f t="shared" si="93"/>
        <v>38236.6</v>
      </c>
      <c r="AF436" s="3">
        <f>SUM(ecommerce_sales_all_data[[#This Row],[revenue_month_1]:[revenue_month_12]])</f>
        <v>258796.50000000003</v>
      </c>
    </row>
    <row r="437" spans="1:32" x14ac:dyDescent="0.3">
      <c r="A437">
        <v>436</v>
      </c>
      <c r="B437" t="s">
        <v>460</v>
      </c>
      <c r="C437" t="s">
        <v>35</v>
      </c>
      <c r="D437" s="2">
        <v>351.98</v>
      </c>
      <c r="E437">
        <v>1.1000000000000001</v>
      </c>
      <c r="F437">
        <v>376</v>
      </c>
      <c r="G437" s="1">
        <v>979</v>
      </c>
      <c r="H437" s="1">
        <v>757</v>
      </c>
      <c r="I437" s="1">
        <v>577</v>
      </c>
      <c r="J437" s="1">
        <v>216</v>
      </c>
      <c r="K437" s="1">
        <v>693</v>
      </c>
      <c r="L437" s="1">
        <v>357</v>
      </c>
      <c r="M437" s="1">
        <v>580</v>
      </c>
      <c r="N437" s="1">
        <v>747</v>
      </c>
      <c r="O437" s="1">
        <v>457</v>
      </c>
      <c r="P437" s="1">
        <v>236</v>
      </c>
      <c r="Q437" s="1">
        <v>249</v>
      </c>
      <c r="R437" s="1">
        <v>397</v>
      </c>
      <c r="S437" s="1">
        <f>SUM(ecommerce_sales_all_data[[#This Row],[sales_month_1]:[sales_month_12]])</f>
        <v>6245</v>
      </c>
      <c r="T437" s="3">
        <f t="shared" si="82"/>
        <v>344588.42000000004</v>
      </c>
      <c r="U437" s="3">
        <f t="shared" si="83"/>
        <v>266448.86</v>
      </c>
      <c r="V437" s="3">
        <f t="shared" si="84"/>
        <v>203092.46000000002</v>
      </c>
      <c r="W437" s="3">
        <f t="shared" si="85"/>
        <v>76027.680000000008</v>
      </c>
      <c r="X437" s="3">
        <f t="shared" si="86"/>
        <v>243922.14</v>
      </c>
      <c r="Y437" s="3">
        <f t="shared" si="87"/>
        <v>125656.86</v>
      </c>
      <c r="Z437" s="3">
        <f t="shared" si="88"/>
        <v>204148.40000000002</v>
      </c>
      <c r="AA437" s="3">
        <f t="shared" si="89"/>
        <v>262929.06</v>
      </c>
      <c r="AB437" s="3">
        <f t="shared" si="90"/>
        <v>160854.86000000002</v>
      </c>
      <c r="AC437" s="3">
        <f t="shared" si="91"/>
        <v>83067.28</v>
      </c>
      <c r="AD437" s="3">
        <f t="shared" si="92"/>
        <v>87643.02</v>
      </c>
      <c r="AE437" s="3">
        <f t="shared" si="93"/>
        <v>139736.06</v>
      </c>
      <c r="AF437" s="3">
        <f>SUM(ecommerce_sales_all_data[[#This Row],[revenue_month_1]:[revenue_month_12]])</f>
        <v>2198115.1000000006</v>
      </c>
    </row>
    <row r="438" spans="1:32" x14ac:dyDescent="0.3">
      <c r="A438">
        <v>437</v>
      </c>
      <c r="B438" t="s">
        <v>461</v>
      </c>
      <c r="C438" t="s">
        <v>26</v>
      </c>
      <c r="D438" s="2">
        <v>41.02</v>
      </c>
      <c r="E438">
        <v>2.2000000000000002</v>
      </c>
      <c r="F438">
        <v>820</v>
      </c>
      <c r="G438" s="1">
        <v>433</v>
      </c>
      <c r="H438" s="1">
        <v>896</v>
      </c>
      <c r="I438" s="1">
        <v>669</v>
      </c>
      <c r="J438" s="1">
        <v>489</v>
      </c>
      <c r="K438" s="1">
        <v>240</v>
      </c>
      <c r="L438" s="1">
        <v>986</v>
      </c>
      <c r="M438" s="1">
        <v>926</v>
      </c>
      <c r="N438" s="1">
        <v>894</v>
      </c>
      <c r="O438" s="1">
        <v>801</v>
      </c>
      <c r="P438" s="1">
        <v>738</v>
      </c>
      <c r="Q438" s="1">
        <v>524</v>
      </c>
      <c r="R438" s="1">
        <v>271</v>
      </c>
      <c r="S438" s="1">
        <f>SUM(ecommerce_sales_all_data[[#This Row],[sales_month_1]:[sales_month_12]])</f>
        <v>7867</v>
      </c>
      <c r="T438" s="3">
        <f t="shared" si="82"/>
        <v>17761.66</v>
      </c>
      <c r="U438" s="3">
        <f t="shared" si="83"/>
        <v>36753.920000000006</v>
      </c>
      <c r="V438" s="3">
        <f t="shared" si="84"/>
        <v>27442.38</v>
      </c>
      <c r="W438" s="3">
        <f t="shared" si="85"/>
        <v>20058.780000000002</v>
      </c>
      <c r="X438" s="3">
        <f t="shared" si="86"/>
        <v>9844.8000000000011</v>
      </c>
      <c r="Y438" s="3">
        <f t="shared" si="87"/>
        <v>40445.72</v>
      </c>
      <c r="Z438" s="3">
        <f t="shared" si="88"/>
        <v>37984.520000000004</v>
      </c>
      <c r="AA438" s="3">
        <f t="shared" si="89"/>
        <v>36671.880000000005</v>
      </c>
      <c r="AB438" s="3">
        <f t="shared" si="90"/>
        <v>32857.020000000004</v>
      </c>
      <c r="AC438" s="3">
        <f t="shared" si="91"/>
        <v>30272.760000000002</v>
      </c>
      <c r="AD438" s="3">
        <f t="shared" si="92"/>
        <v>21494.480000000003</v>
      </c>
      <c r="AE438" s="3">
        <f t="shared" si="93"/>
        <v>11116.42</v>
      </c>
      <c r="AF438" s="3">
        <f>SUM(ecommerce_sales_all_data[[#This Row],[revenue_month_1]:[revenue_month_12]])</f>
        <v>322704.34000000003</v>
      </c>
    </row>
    <row r="439" spans="1:32" x14ac:dyDescent="0.3">
      <c r="A439">
        <v>438</v>
      </c>
      <c r="B439" t="s">
        <v>462</v>
      </c>
      <c r="C439" t="s">
        <v>35</v>
      </c>
      <c r="D439" s="2">
        <v>411.82</v>
      </c>
      <c r="E439">
        <v>3.8</v>
      </c>
      <c r="F439">
        <v>89</v>
      </c>
      <c r="G439" s="1">
        <v>330</v>
      </c>
      <c r="H439" s="1">
        <v>929</v>
      </c>
      <c r="I439" s="1">
        <v>898</v>
      </c>
      <c r="J439" s="1">
        <v>518</v>
      </c>
      <c r="K439" s="1">
        <v>368</v>
      </c>
      <c r="L439" s="1">
        <v>443</v>
      </c>
      <c r="M439" s="1">
        <v>556</v>
      </c>
      <c r="N439" s="1">
        <v>272</v>
      </c>
      <c r="O439" s="1">
        <v>42</v>
      </c>
      <c r="P439" s="1">
        <v>180</v>
      </c>
      <c r="Q439" s="1">
        <v>674</v>
      </c>
      <c r="R439" s="1">
        <v>682</v>
      </c>
      <c r="S439" s="1">
        <f>SUM(ecommerce_sales_all_data[[#This Row],[sales_month_1]:[sales_month_12]])</f>
        <v>5892</v>
      </c>
      <c r="T439" s="3">
        <f t="shared" si="82"/>
        <v>135900.6</v>
      </c>
      <c r="U439" s="3">
        <f t="shared" si="83"/>
        <v>382580.77999999997</v>
      </c>
      <c r="V439" s="3">
        <f t="shared" si="84"/>
        <v>369814.36</v>
      </c>
      <c r="W439" s="3">
        <f t="shared" si="85"/>
        <v>213322.76</v>
      </c>
      <c r="X439" s="3">
        <f t="shared" si="86"/>
        <v>151549.76000000001</v>
      </c>
      <c r="Y439" s="3">
        <f t="shared" si="87"/>
        <v>182436.26</v>
      </c>
      <c r="Z439" s="3">
        <f t="shared" si="88"/>
        <v>228971.91999999998</v>
      </c>
      <c r="AA439" s="3">
        <f t="shared" si="89"/>
        <v>112015.03999999999</v>
      </c>
      <c r="AB439" s="3">
        <f t="shared" si="90"/>
        <v>17296.439999999999</v>
      </c>
      <c r="AC439" s="3">
        <f t="shared" si="91"/>
        <v>74127.600000000006</v>
      </c>
      <c r="AD439" s="3">
        <f t="shared" si="92"/>
        <v>277566.68</v>
      </c>
      <c r="AE439" s="3">
        <f t="shared" si="93"/>
        <v>280861.24</v>
      </c>
      <c r="AF439" s="3">
        <f>SUM(ecommerce_sales_all_data[[#This Row],[revenue_month_1]:[revenue_month_12]])</f>
        <v>2426443.4400000004</v>
      </c>
    </row>
    <row r="440" spans="1:32" x14ac:dyDescent="0.3">
      <c r="A440">
        <v>439</v>
      </c>
      <c r="B440" t="s">
        <v>463</v>
      </c>
      <c r="C440" t="s">
        <v>26</v>
      </c>
      <c r="D440" s="2">
        <v>354.59</v>
      </c>
      <c r="E440">
        <v>1.8</v>
      </c>
      <c r="F440">
        <v>654</v>
      </c>
      <c r="G440" s="1">
        <v>142</v>
      </c>
      <c r="H440" s="1">
        <v>92</v>
      </c>
      <c r="I440" s="1">
        <v>377</v>
      </c>
      <c r="J440" s="1">
        <v>277</v>
      </c>
      <c r="K440" s="1">
        <v>535</v>
      </c>
      <c r="L440" s="1">
        <v>127</v>
      </c>
      <c r="M440" s="1">
        <v>648</v>
      </c>
      <c r="N440" s="1">
        <v>160</v>
      </c>
      <c r="O440" s="1">
        <v>585</v>
      </c>
      <c r="P440" s="1">
        <v>828</v>
      </c>
      <c r="Q440" s="1">
        <v>554</v>
      </c>
      <c r="R440" s="1">
        <v>115</v>
      </c>
      <c r="S440" s="1">
        <f>SUM(ecommerce_sales_all_data[[#This Row],[sales_month_1]:[sales_month_12]])</f>
        <v>4440</v>
      </c>
      <c r="T440" s="3">
        <f t="shared" si="82"/>
        <v>50351.78</v>
      </c>
      <c r="U440" s="3">
        <f t="shared" si="83"/>
        <v>32622.28</v>
      </c>
      <c r="V440" s="3">
        <f t="shared" si="84"/>
        <v>133680.43</v>
      </c>
      <c r="W440" s="3">
        <f t="shared" si="85"/>
        <v>98221.43</v>
      </c>
      <c r="X440" s="3">
        <f t="shared" si="86"/>
        <v>189705.65</v>
      </c>
      <c r="Y440" s="3">
        <f t="shared" si="87"/>
        <v>45032.93</v>
      </c>
      <c r="Z440" s="3">
        <f t="shared" si="88"/>
        <v>229774.31999999998</v>
      </c>
      <c r="AA440" s="3">
        <f t="shared" si="89"/>
        <v>56734.399999999994</v>
      </c>
      <c r="AB440" s="3">
        <f t="shared" si="90"/>
        <v>207435.15</v>
      </c>
      <c r="AC440" s="3">
        <f t="shared" si="91"/>
        <v>293600.51999999996</v>
      </c>
      <c r="AD440" s="3">
        <f t="shared" si="92"/>
        <v>196442.86</v>
      </c>
      <c r="AE440" s="3">
        <f t="shared" si="93"/>
        <v>40777.85</v>
      </c>
      <c r="AF440" s="3">
        <f>SUM(ecommerce_sales_all_data[[#This Row],[revenue_month_1]:[revenue_month_12]])</f>
        <v>1574379.6</v>
      </c>
    </row>
    <row r="441" spans="1:32" x14ac:dyDescent="0.3">
      <c r="A441">
        <v>440</v>
      </c>
      <c r="B441" t="s">
        <v>464</v>
      </c>
      <c r="C441" t="s">
        <v>29</v>
      </c>
      <c r="D441" s="2">
        <v>45.27</v>
      </c>
      <c r="E441">
        <v>3.7</v>
      </c>
      <c r="F441">
        <v>203</v>
      </c>
      <c r="G441" s="1">
        <v>799</v>
      </c>
      <c r="H441" s="1">
        <v>943</v>
      </c>
      <c r="I441" s="1">
        <v>148</v>
      </c>
      <c r="J441" s="1">
        <v>848</v>
      </c>
      <c r="K441" s="1">
        <v>383</v>
      </c>
      <c r="L441" s="1">
        <v>690</v>
      </c>
      <c r="M441" s="1">
        <v>233</v>
      </c>
      <c r="N441" s="1">
        <v>686</v>
      </c>
      <c r="O441" s="1">
        <v>861</v>
      </c>
      <c r="P441" s="1">
        <v>557</v>
      </c>
      <c r="Q441" s="1">
        <v>897</v>
      </c>
      <c r="R441" s="1">
        <v>840</v>
      </c>
      <c r="S441" s="1">
        <f>SUM(ecommerce_sales_all_data[[#This Row],[sales_month_1]:[sales_month_12]])</f>
        <v>7885</v>
      </c>
      <c r="T441" s="3">
        <f t="shared" si="82"/>
        <v>36170.730000000003</v>
      </c>
      <c r="U441" s="3">
        <f t="shared" si="83"/>
        <v>42689.61</v>
      </c>
      <c r="V441" s="3">
        <f t="shared" si="84"/>
        <v>6699.96</v>
      </c>
      <c r="W441" s="3">
        <f t="shared" si="85"/>
        <v>38388.959999999999</v>
      </c>
      <c r="X441" s="3">
        <f t="shared" si="86"/>
        <v>17338.41</v>
      </c>
      <c r="Y441" s="3">
        <f t="shared" si="87"/>
        <v>31236.300000000003</v>
      </c>
      <c r="Z441" s="3">
        <f t="shared" si="88"/>
        <v>10547.91</v>
      </c>
      <c r="AA441" s="3">
        <f t="shared" si="89"/>
        <v>31055.22</v>
      </c>
      <c r="AB441" s="3">
        <f t="shared" si="90"/>
        <v>38977.47</v>
      </c>
      <c r="AC441" s="3">
        <f t="shared" si="91"/>
        <v>25215.390000000003</v>
      </c>
      <c r="AD441" s="3">
        <f t="shared" si="92"/>
        <v>40607.19</v>
      </c>
      <c r="AE441" s="3">
        <f t="shared" si="93"/>
        <v>38026.800000000003</v>
      </c>
      <c r="AF441" s="3">
        <f>SUM(ecommerce_sales_all_data[[#This Row],[revenue_month_1]:[revenue_month_12]])</f>
        <v>356953.95</v>
      </c>
    </row>
    <row r="442" spans="1:32" x14ac:dyDescent="0.3">
      <c r="A442">
        <v>441</v>
      </c>
      <c r="B442" t="s">
        <v>465</v>
      </c>
      <c r="C442" t="s">
        <v>35</v>
      </c>
      <c r="D442" s="2">
        <v>46.99</v>
      </c>
      <c r="E442">
        <v>4.9000000000000004</v>
      </c>
      <c r="F442">
        <v>821</v>
      </c>
      <c r="G442" s="1">
        <v>539</v>
      </c>
      <c r="H442" s="1">
        <v>238</v>
      </c>
      <c r="I442" s="1">
        <v>984</v>
      </c>
      <c r="J442" s="1">
        <v>721</v>
      </c>
      <c r="K442" s="1">
        <v>430</v>
      </c>
      <c r="L442" s="1">
        <v>404</v>
      </c>
      <c r="M442" s="1">
        <v>31</v>
      </c>
      <c r="N442" s="1">
        <v>877</v>
      </c>
      <c r="O442" s="1">
        <v>277</v>
      </c>
      <c r="P442" s="1">
        <v>340</v>
      </c>
      <c r="Q442" s="1">
        <v>951</v>
      </c>
      <c r="R442" s="1">
        <v>585</v>
      </c>
      <c r="S442" s="1">
        <f>SUM(ecommerce_sales_all_data[[#This Row],[sales_month_1]:[sales_month_12]])</f>
        <v>6377</v>
      </c>
      <c r="T442" s="3">
        <f t="shared" si="82"/>
        <v>25327.61</v>
      </c>
      <c r="U442" s="3">
        <f t="shared" si="83"/>
        <v>11183.62</v>
      </c>
      <c r="V442" s="3">
        <f t="shared" si="84"/>
        <v>46238.16</v>
      </c>
      <c r="W442" s="3">
        <f t="shared" si="85"/>
        <v>33879.79</v>
      </c>
      <c r="X442" s="3">
        <f t="shared" si="86"/>
        <v>20205.7</v>
      </c>
      <c r="Y442" s="3">
        <f t="shared" si="87"/>
        <v>18983.96</v>
      </c>
      <c r="Z442" s="3">
        <f t="shared" si="88"/>
        <v>1456.69</v>
      </c>
      <c r="AA442" s="3">
        <f t="shared" si="89"/>
        <v>41210.230000000003</v>
      </c>
      <c r="AB442" s="3">
        <f t="shared" si="90"/>
        <v>13016.230000000001</v>
      </c>
      <c r="AC442" s="3">
        <f t="shared" si="91"/>
        <v>15976.6</v>
      </c>
      <c r="AD442" s="3">
        <f t="shared" si="92"/>
        <v>44687.490000000005</v>
      </c>
      <c r="AE442" s="3">
        <f t="shared" si="93"/>
        <v>27489.15</v>
      </c>
      <c r="AF442" s="3">
        <f>SUM(ecommerce_sales_all_data[[#This Row],[revenue_month_1]:[revenue_month_12]])</f>
        <v>299655.2300000001</v>
      </c>
    </row>
    <row r="443" spans="1:32" x14ac:dyDescent="0.3">
      <c r="A443">
        <v>442</v>
      </c>
      <c r="B443" t="s">
        <v>466</v>
      </c>
      <c r="C443" t="s">
        <v>29</v>
      </c>
      <c r="D443" s="2">
        <v>493.39</v>
      </c>
      <c r="E443">
        <v>1.4</v>
      </c>
      <c r="F443">
        <v>739</v>
      </c>
      <c r="G443" s="1">
        <v>277</v>
      </c>
      <c r="H443" s="1">
        <v>204</v>
      </c>
      <c r="I443" s="1">
        <v>851</v>
      </c>
      <c r="J443" s="1">
        <v>168</v>
      </c>
      <c r="K443" s="1">
        <v>966</v>
      </c>
      <c r="L443" s="1">
        <v>391</v>
      </c>
      <c r="M443" s="1">
        <v>288</v>
      </c>
      <c r="N443" s="1">
        <v>307</v>
      </c>
      <c r="O443" s="1">
        <v>837</v>
      </c>
      <c r="P443" s="1">
        <v>457</v>
      </c>
      <c r="Q443" s="1">
        <v>622</v>
      </c>
      <c r="R443" s="1">
        <v>255</v>
      </c>
      <c r="S443" s="1">
        <f>SUM(ecommerce_sales_all_data[[#This Row],[sales_month_1]:[sales_month_12]])</f>
        <v>5623</v>
      </c>
      <c r="T443" s="3">
        <f t="shared" si="82"/>
        <v>136669.03</v>
      </c>
      <c r="U443" s="3">
        <f t="shared" si="83"/>
        <v>100651.56</v>
      </c>
      <c r="V443" s="3">
        <f t="shared" si="84"/>
        <v>419874.89</v>
      </c>
      <c r="W443" s="3">
        <f t="shared" si="85"/>
        <v>82889.52</v>
      </c>
      <c r="X443" s="3">
        <f t="shared" si="86"/>
        <v>476614.74</v>
      </c>
      <c r="Y443" s="3">
        <f t="shared" si="87"/>
        <v>192915.49</v>
      </c>
      <c r="Z443" s="3">
        <f t="shared" si="88"/>
        <v>142096.32000000001</v>
      </c>
      <c r="AA443" s="3">
        <f t="shared" si="89"/>
        <v>151470.72999999998</v>
      </c>
      <c r="AB443" s="3">
        <f t="shared" si="90"/>
        <v>412967.43</v>
      </c>
      <c r="AC443" s="3">
        <f t="shared" si="91"/>
        <v>225479.22999999998</v>
      </c>
      <c r="AD443" s="3">
        <f t="shared" si="92"/>
        <v>306888.58</v>
      </c>
      <c r="AE443" s="3">
        <f t="shared" si="93"/>
        <v>125814.45</v>
      </c>
      <c r="AF443" s="3">
        <f>SUM(ecommerce_sales_all_data[[#This Row],[revenue_month_1]:[revenue_month_12]])</f>
        <v>2774331.97</v>
      </c>
    </row>
    <row r="444" spans="1:32" x14ac:dyDescent="0.3">
      <c r="A444">
        <v>443</v>
      </c>
      <c r="B444" t="s">
        <v>467</v>
      </c>
      <c r="C444" t="s">
        <v>48</v>
      </c>
      <c r="D444" s="2">
        <v>190.26</v>
      </c>
      <c r="E444">
        <v>3.7</v>
      </c>
      <c r="F444">
        <v>955</v>
      </c>
      <c r="G444" s="1">
        <v>232</v>
      </c>
      <c r="H444" s="1">
        <v>559</v>
      </c>
      <c r="I444" s="1">
        <v>432</v>
      </c>
      <c r="J444" s="1">
        <v>329</v>
      </c>
      <c r="K444" s="1">
        <v>82</v>
      </c>
      <c r="L444" s="1">
        <v>192</v>
      </c>
      <c r="M444" s="1">
        <v>637</v>
      </c>
      <c r="N444" s="1">
        <v>373</v>
      </c>
      <c r="O444" s="1">
        <v>753</v>
      </c>
      <c r="P444" s="1">
        <v>79</v>
      </c>
      <c r="Q444" s="1">
        <v>716</v>
      </c>
      <c r="R444" s="1">
        <v>80</v>
      </c>
      <c r="S444" s="1">
        <f>SUM(ecommerce_sales_all_data[[#This Row],[sales_month_1]:[sales_month_12]])</f>
        <v>4464</v>
      </c>
      <c r="T444" s="3">
        <f t="shared" si="82"/>
        <v>44140.32</v>
      </c>
      <c r="U444" s="3">
        <f t="shared" si="83"/>
        <v>106355.34</v>
      </c>
      <c r="V444" s="3">
        <f t="shared" si="84"/>
        <v>82192.319999999992</v>
      </c>
      <c r="W444" s="3">
        <f t="shared" si="85"/>
        <v>62595.539999999994</v>
      </c>
      <c r="X444" s="3">
        <f t="shared" si="86"/>
        <v>15601.32</v>
      </c>
      <c r="Y444" s="3">
        <f t="shared" si="87"/>
        <v>36529.919999999998</v>
      </c>
      <c r="Z444" s="3">
        <f t="shared" si="88"/>
        <v>121195.62</v>
      </c>
      <c r="AA444" s="3">
        <f t="shared" si="89"/>
        <v>70966.98</v>
      </c>
      <c r="AB444" s="3">
        <f t="shared" si="90"/>
        <v>143265.78</v>
      </c>
      <c r="AC444" s="3">
        <f t="shared" si="91"/>
        <v>15030.539999999999</v>
      </c>
      <c r="AD444" s="3">
        <f t="shared" si="92"/>
        <v>136226.16</v>
      </c>
      <c r="AE444" s="3">
        <f t="shared" si="93"/>
        <v>15220.8</v>
      </c>
      <c r="AF444" s="3">
        <f>SUM(ecommerce_sales_all_data[[#This Row],[revenue_month_1]:[revenue_month_12]])</f>
        <v>849320.64000000013</v>
      </c>
    </row>
    <row r="445" spans="1:32" x14ac:dyDescent="0.3">
      <c r="A445">
        <v>444</v>
      </c>
      <c r="B445" t="s">
        <v>468</v>
      </c>
      <c r="C445" t="s">
        <v>29</v>
      </c>
      <c r="D445" s="2">
        <v>188.47</v>
      </c>
      <c r="E445">
        <v>2.8</v>
      </c>
      <c r="F445">
        <v>334</v>
      </c>
      <c r="G445" s="1">
        <v>528</v>
      </c>
      <c r="H445" s="1">
        <v>432</v>
      </c>
      <c r="I445" s="1">
        <v>627</v>
      </c>
      <c r="J445" s="1">
        <v>649</v>
      </c>
      <c r="K445" s="1">
        <v>981</v>
      </c>
      <c r="L445" s="1">
        <v>603</v>
      </c>
      <c r="M445" s="1">
        <v>578</v>
      </c>
      <c r="N445" s="1">
        <v>975</v>
      </c>
      <c r="O445" s="1">
        <v>129</v>
      </c>
      <c r="P445" s="1">
        <v>646</v>
      </c>
      <c r="Q445" s="1">
        <v>895</v>
      </c>
      <c r="R445" s="1">
        <v>779</v>
      </c>
      <c r="S445" s="1">
        <f>SUM(ecommerce_sales_all_data[[#This Row],[sales_month_1]:[sales_month_12]])</f>
        <v>7822</v>
      </c>
      <c r="T445" s="3">
        <f t="shared" si="82"/>
        <v>99512.16</v>
      </c>
      <c r="U445" s="3">
        <f t="shared" si="83"/>
        <v>81419.039999999994</v>
      </c>
      <c r="V445" s="3">
        <f t="shared" si="84"/>
        <v>118170.69</v>
      </c>
      <c r="W445" s="3">
        <f t="shared" si="85"/>
        <v>122317.03</v>
      </c>
      <c r="X445" s="3">
        <f t="shared" si="86"/>
        <v>184889.07</v>
      </c>
      <c r="Y445" s="3">
        <f t="shared" si="87"/>
        <v>113647.41</v>
      </c>
      <c r="Z445" s="3">
        <f t="shared" si="88"/>
        <v>108935.66</v>
      </c>
      <c r="AA445" s="3">
        <f t="shared" si="89"/>
        <v>183758.25</v>
      </c>
      <c r="AB445" s="3">
        <f t="shared" si="90"/>
        <v>24312.63</v>
      </c>
      <c r="AC445" s="3">
        <f t="shared" si="91"/>
        <v>121751.62</v>
      </c>
      <c r="AD445" s="3">
        <f t="shared" si="92"/>
        <v>168680.65</v>
      </c>
      <c r="AE445" s="3">
        <f t="shared" si="93"/>
        <v>146818.13</v>
      </c>
      <c r="AF445" s="3">
        <f>SUM(ecommerce_sales_all_data[[#This Row],[revenue_month_1]:[revenue_month_12]])</f>
        <v>1474212.3399999999</v>
      </c>
    </row>
    <row r="446" spans="1:32" x14ac:dyDescent="0.3">
      <c r="A446">
        <v>445</v>
      </c>
      <c r="B446" t="s">
        <v>469</v>
      </c>
      <c r="C446" t="s">
        <v>35</v>
      </c>
      <c r="D446" s="2">
        <v>407.34</v>
      </c>
      <c r="E446">
        <v>4.5</v>
      </c>
      <c r="F446">
        <v>222</v>
      </c>
      <c r="G446" s="1">
        <v>570</v>
      </c>
      <c r="H446" s="1">
        <v>244</v>
      </c>
      <c r="I446" s="1">
        <v>725</v>
      </c>
      <c r="J446" s="1">
        <v>440</v>
      </c>
      <c r="K446" s="1">
        <v>830</v>
      </c>
      <c r="L446" s="1">
        <v>880</v>
      </c>
      <c r="M446" s="1">
        <v>541</v>
      </c>
      <c r="N446" s="1">
        <v>732</v>
      </c>
      <c r="O446" s="1">
        <v>349</v>
      </c>
      <c r="P446" s="1">
        <v>771</v>
      </c>
      <c r="Q446" s="1">
        <v>255</v>
      </c>
      <c r="R446" s="1">
        <v>127</v>
      </c>
      <c r="S446" s="1">
        <f>SUM(ecommerce_sales_all_data[[#This Row],[sales_month_1]:[sales_month_12]])</f>
        <v>6464</v>
      </c>
      <c r="T446" s="3">
        <f t="shared" si="82"/>
        <v>232183.8</v>
      </c>
      <c r="U446" s="3">
        <f t="shared" si="83"/>
        <v>99390.959999999992</v>
      </c>
      <c r="V446" s="3">
        <f t="shared" si="84"/>
        <v>295321.5</v>
      </c>
      <c r="W446" s="3">
        <f t="shared" si="85"/>
        <v>179229.59999999998</v>
      </c>
      <c r="X446" s="3">
        <f t="shared" si="86"/>
        <v>338092.19999999995</v>
      </c>
      <c r="Y446" s="3">
        <f t="shared" si="87"/>
        <v>358459.19999999995</v>
      </c>
      <c r="Z446" s="3">
        <f t="shared" si="88"/>
        <v>220370.93999999997</v>
      </c>
      <c r="AA446" s="3">
        <f t="shared" si="89"/>
        <v>298172.88</v>
      </c>
      <c r="AB446" s="3">
        <f t="shared" si="90"/>
        <v>142161.66</v>
      </c>
      <c r="AC446" s="3">
        <f t="shared" si="91"/>
        <v>314059.13999999996</v>
      </c>
      <c r="AD446" s="3">
        <f t="shared" si="92"/>
        <v>103871.7</v>
      </c>
      <c r="AE446" s="3">
        <f t="shared" si="93"/>
        <v>51732.18</v>
      </c>
      <c r="AF446" s="3">
        <f>SUM(ecommerce_sales_all_data[[#This Row],[revenue_month_1]:[revenue_month_12]])</f>
        <v>2633045.7600000007</v>
      </c>
    </row>
    <row r="447" spans="1:32" x14ac:dyDescent="0.3">
      <c r="A447">
        <v>446</v>
      </c>
      <c r="B447" t="s">
        <v>470</v>
      </c>
      <c r="C447" t="s">
        <v>23</v>
      </c>
      <c r="D447" s="2">
        <v>473.89</v>
      </c>
      <c r="E447">
        <v>1.7</v>
      </c>
      <c r="F447">
        <v>41</v>
      </c>
      <c r="G447" s="1">
        <v>89</v>
      </c>
      <c r="H447" s="1">
        <v>831</v>
      </c>
      <c r="I447" s="1">
        <v>468</v>
      </c>
      <c r="J447" s="1">
        <v>390</v>
      </c>
      <c r="K447" s="1">
        <v>696</v>
      </c>
      <c r="L447" s="1">
        <v>742</v>
      </c>
      <c r="M447" s="1">
        <v>113</v>
      </c>
      <c r="N447" s="1">
        <v>8</v>
      </c>
      <c r="O447" s="1">
        <v>705</v>
      </c>
      <c r="P447" s="1">
        <v>986</v>
      </c>
      <c r="Q447" s="1">
        <v>306</v>
      </c>
      <c r="R447" s="1">
        <v>837</v>
      </c>
      <c r="S447" s="1">
        <f>SUM(ecommerce_sales_all_data[[#This Row],[sales_month_1]:[sales_month_12]])</f>
        <v>6171</v>
      </c>
      <c r="T447" s="3">
        <f t="shared" si="82"/>
        <v>42176.21</v>
      </c>
      <c r="U447" s="3">
        <f t="shared" si="83"/>
        <v>393802.58999999997</v>
      </c>
      <c r="V447" s="3">
        <f t="shared" si="84"/>
        <v>221780.52</v>
      </c>
      <c r="W447" s="3">
        <f t="shared" si="85"/>
        <v>184817.1</v>
      </c>
      <c r="X447" s="3">
        <f t="shared" si="86"/>
        <v>329827.44</v>
      </c>
      <c r="Y447" s="3">
        <f t="shared" si="87"/>
        <v>351626.38</v>
      </c>
      <c r="Z447" s="3">
        <f t="shared" si="88"/>
        <v>53549.57</v>
      </c>
      <c r="AA447" s="3">
        <f t="shared" si="89"/>
        <v>3791.12</v>
      </c>
      <c r="AB447" s="3">
        <f t="shared" si="90"/>
        <v>334092.45</v>
      </c>
      <c r="AC447" s="3">
        <f t="shared" si="91"/>
        <v>467255.54</v>
      </c>
      <c r="AD447" s="3">
        <f t="shared" si="92"/>
        <v>145010.34</v>
      </c>
      <c r="AE447" s="3">
        <f t="shared" si="93"/>
        <v>396645.93</v>
      </c>
      <c r="AF447" s="3">
        <f>SUM(ecommerce_sales_all_data[[#This Row],[revenue_month_1]:[revenue_month_12]])</f>
        <v>2924375.19</v>
      </c>
    </row>
    <row r="448" spans="1:32" x14ac:dyDescent="0.3">
      <c r="A448">
        <v>447</v>
      </c>
      <c r="B448" t="s">
        <v>471</v>
      </c>
      <c r="C448" t="s">
        <v>35</v>
      </c>
      <c r="D448" s="2">
        <v>493.07</v>
      </c>
      <c r="E448">
        <v>3.8</v>
      </c>
      <c r="F448">
        <v>708</v>
      </c>
      <c r="G448" s="1">
        <v>491</v>
      </c>
      <c r="H448" s="1">
        <v>316</v>
      </c>
      <c r="I448" s="1">
        <v>445</v>
      </c>
      <c r="J448" s="1">
        <v>495</v>
      </c>
      <c r="K448" s="1">
        <v>950</v>
      </c>
      <c r="L448" s="1">
        <v>77</v>
      </c>
      <c r="M448" s="1">
        <v>203</v>
      </c>
      <c r="N448" s="1">
        <v>800</v>
      </c>
      <c r="O448" s="1">
        <v>543</v>
      </c>
      <c r="P448" s="1">
        <v>819</v>
      </c>
      <c r="Q448" s="1">
        <v>949</v>
      </c>
      <c r="R448" s="1">
        <v>914</v>
      </c>
      <c r="S448" s="1">
        <f>SUM(ecommerce_sales_all_data[[#This Row],[sales_month_1]:[sales_month_12]])</f>
        <v>7002</v>
      </c>
      <c r="T448" s="3">
        <f t="shared" si="82"/>
        <v>242097.37</v>
      </c>
      <c r="U448" s="3">
        <f t="shared" si="83"/>
        <v>155810.12</v>
      </c>
      <c r="V448" s="3">
        <f t="shared" si="84"/>
        <v>219416.15</v>
      </c>
      <c r="W448" s="3">
        <f t="shared" si="85"/>
        <v>244069.65</v>
      </c>
      <c r="X448" s="3">
        <f t="shared" si="86"/>
        <v>468416.5</v>
      </c>
      <c r="Y448" s="3">
        <f t="shared" si="87"/>
        <v>37966.39</v>
      </c>
      <c r="Z448" s="3">
        <f t="shared" si="88"/>
        <v>100093.20999999999</v>
      </c>
      <c r="AA448" s="3">
        <f t="shared" si="89"/>
        <v>394456</v>
      </c>
      <c r="AB448" s="3">
        <f t="shared" si="90"/>
        <v>267737.01</v>
      </c>
      <c r="AC448" s="3">
        <f t="shared" si="91"/>
        <v>403824.33</v>
      </c>
      <c r="AD448" s="3">
        <f t="shared" si="92"/>
        <v>467923.43</v>
      </c>
      <c r="AE448" s="3">
        <f t="shared" si="93"/>
        <v>450665.98</v>
      </c>
      <c r="AF448" s="3">
        <f>SUM(ecommerce_sales_all_data[[#This Row],[revenue_month_1]:[revenue_month_12]])</f>
        <v>3452476.14</v>
      </c>
    </row>
    <row r="449" spans="1:32" x14ac:dyDescent="0.3">
      <c r="A449">
        <v>448</v>
      </c>
      <c r="B449" t="s">
        <v>472</v>
      </c>
      <c r="C449" t="s">
        <v>26</v>
      </c>
      <c r="D449" s="2">
        <v>377.92</v>
      </c>
      <c r="E449">
        <v>4.4000000000000004</v>
      </c>
      <c r="F449">
        <v>68</v>
      </c>
      <c r="G449" s="1">
        <v>198</v>
      </c>
      <c r="H449" s="1">
        <v>924</v>
      </c>
      <c r="I449" s="1">
        <v>480</v>
      </c>
      <c r="J449" s="1">
        <v>380</v>
      </c>
      <c r="K449" s="1">
        <v>827</v>
      </c>
      <c r="L449" s="1">
        <v>84</v>
      </c>
      <c r="M449" s="1">
        <v>28</v>
      </c>
      <c r="N449" s="1">
        <v>443</v>
      </c>
      <c r="O449" s="1">
        <v>105</v>
      </c>
      <c r="P449" s="1">
        <v>758</v>
      </c>
      <c r="Q449" s="1">
        <v>143</v>
      </c>
      <c r="R449" s="1">
        <v>234</v>
      </c>
      <c r="S449" s="1">
        <f>SUM(ecommerce_sales_all_data[[#This Row],[sales_month_1]:[sales_month_12]])</f>
        <v>4604</v>
      </c>
      <c r="T449" s="3">
        <f t="shared" si="82"/>
        <v>74828.160000000003</v>
      </c>
      <c r="U449" s="3">
        <f t="shared" si="83"/>
        <v>349198.08000000002</v>
      </c>
      <c r="V449" s="3">
        <f t="shared" si="84"/>
        <v>181401.60000000001</v>
      </c>
      <c r="W449" s="3">
        <f t="shared" si="85"/>
        <v>143609.60000000001</v>
      </c>
      <c r="X449" s="3">
        <f t="shared" si="86"/>
        <v>312539.84000000003</v>
      </c>
      <c r="Y449" s="3">
        <f t="shared" si="87"/>
        <v>31745.280000000002</v>
      </c>
      <c r="Z449" s="3">
        <f t="shared" si="88"/>
        <v>10581.76</v>
      </c>
      <c r="AA449" s="3">
        <f t="shared" si="89"/>
        <v>167418.56</v>
      </c>
      <c r="AB449" s="3">
        <f t="shared" si="90"/>
        <v>39681.599999999999</v>
      </c>
      <c r="AC449" s="3">
        <f t="shared" si="91"/>
        <v>286463.35999999999</v>
      </c>
      <c r="AD449" s="3">
        <f t="shared" si="92"/>
        <v>54042.560000000005</v>
      </c>
      <c r="AE449" s="3">
        <f t="shared" si="93"/>
        <v>88433.279999999999</v>
      </c>
      <c r="AF449" s="3">
        <f>SUM(ecommerce_sales_all_data[[#This Row],[revenue_month_1]:[revenue_month_12]])</f>
        <v>1739943.6800000004</v>
      </c>
    </row>
    <row r="450" spans="1:32" x14ac:dyDescent="0.3">
      <c r="A450">
        <v>449</v>
      </c>
      <c r="B450" t="s">
        <v>473</v>
      </c>
      <c r="C450" t="s">
        <v>29</v>
      </c>
      <c r="D450" s="2">
        <v>191.25</v>
      </c>
      <c r="E450">
        <v>4.8</v>
      </c>
      <c r="F450">
        <v>988</v>
      </c>
      <c r="G450" s="1">
        <v>361</v>
      </c>
      <c r="H450" s="1">
        <v>294</v>
      </c>
      <c r="I450" s="1">
        <v>883</v>
      </c>
      <c r="J450" s="1">
        <v>305</v>
      </c>
      <c r="K450" s="1">
        <v>610</v>
      </c>
      <c r="L450" s="1">
        <v>29</v>
      </c>
      <c r="M450" s="1">
        <v>642</v>
      </c>
      <c r="N450" s="1">
        <v>112</v>
      </c>
      <c r="O450" s="1">
        <v>911</v>
      </c>
      <c r="P450" s="1">
        <v>472</v>
      </c>
      <c r="Q450" s="1">
        <v>657</v>
      </c>
      <c r="R450" s="1">
        <v>552</v>
      </c>
      <c r="S450" s="1">
        <f>SUM(ecommerce_sales_all_data[[#This Row],[sales_month_1]:[sales_month_12]])</f>
        <v>5828</v>
      </c>
      <c r="T450" s="3">
        <f t="shared" ref="T450:T513" si="94">G450*$D450</f>
        <v>69041.25</v>
      </c>
      <c r="U450" s="3">
        <f t="shared" ref="U450:U513" si="95">H450*$D450</f>
        <v>56227.5</v>
      </c>
      <c r="V450" s="3">
        <f t="shared" si="84"/>
        <v>168873.75</v>
      </c>
      <c r="W450" s="3">
        <f t="shared" si="85"/>
        <v>58331.25</v>
      </c>
      <c r="X450" s="3">
        <f t="shared" si="86"/>
        <v>116662.5</v>
      </c>
      <c r="Y450" s="3">
        <f t="shared" si="87"/>
        <v>5546.25</v>
      </c>
      <c r="Z450" s="3">
        <f t="shared" si="88"/>
        <v>122782.5</v>
      </c>
      <c r="AA450" s="3">
        <f t="shared" si="89"/>
        <v>21420</v>
      </c>
      <c r="AB450" s="3">
        <f t="shared" si="90"/>
        <v>174228.75</v>
      </c>
      <c r="AC450" s="3">
        <f t="shared" si="91"/>
        <v>90270</v>
      </c>
      <c r="AD450" s="3">
        <f t="shared" si="92"/>
        <v>125651.25</v>
      </c>
      <c r="AE450" s="3">
        <f t="shared" si="93"/>
        <v>105570</v>
      </c>
      <c r="AF450" s="3">
        <f>SUM(ecommerce_sales_all_data[[#This Row],[revenue_month_1]:[revenue_month_12]])</f>
        <v>1114605</v>
      </c>
    </row>
    <row r="451" spans="1:32" x14ac:dyDescent="0.3">
      <c r="A451">
        <v>450</v>
      </c>
      <c r="B451" t="s">
        <v>474</v>
      </c>
      <c r="C451" t="s">
        <v>19</v>
      </c>
      <c r="D451" s="2">
        <v>46.33</v>
      </c>
      <c r="E451">
        <v>3.7</v>
      </c>
      <c r="F451">
        <v>776</v>
      </c>
      <c r="G451" s="1">
        <v>440</v>
      </c>
      <c r="H451" s="1">
        <v>639</v>
      </c>
      <c r="I451" s="1">
        <v>293</v>
      </c>
      <c r="J451" s="1">
        <v>741</v>
      </c>
      <c r="K451" s="1">
        <v>573</v>
      </c>
      <c r="L451" s="1">
        <v>724</v>
      </c>
      <c r="M451" s="1">
        <v>473</v>
      </c>
      <c r="N451" s="1">
        <v>988</v>
      </c>
      <c r="O451" s="1">
        <v>715</v>
      </c>
      <c r="P451" s="1">
        <v>670</v>
      </c>
      <c r="Q451" s="1">
        <v>390</v>
      </c>
      <c r="R451" s="1">
        <v>180</v>
      </c>
      <c r="S451" s="1">
        <f>SUM(ecommerce_sales_all_data[[#This Row],[sales_month_1]:[sales_month_12]])</f>
        <v>6826</v>
      </c>
      <c r="T451" s="3">
        <f t="shared" si="94"/>
        <v>20385.2</v>
      </c>
      <c r="U451" s="3">
        <f t="shared" si="95"/>
        <v>29604.87</v>
      </c>
      <c r="V451" s="3">
        <f t="shared" ref="V451:V514" si="96">I451*$D451</f>
        <v>13574.689999999999</v>
      </c>
      <c r="W451" s="3">
        <f t="shared" ref="W451:W514" si="97">J451*$D451</f>
        <v>34330.53</v>
      </c>
      <c r="X451" s="3">
        <f t="shared" ref="X451:X514" si="98">K451*$D451</f>
        <v>26547.09</v>
      </c>
      <c r="Y451" s="3">
        <f t="shared" ref="Y451:Y514" si="99">L451*$D451</f>
        <v>33542.92</v>
      </c>
      <c r="Z451" s="3">
        <f t="shared" ref="Z451:Z514" si="100">M451*$D451</f>
        <v>21914.09</v>
      </c>
      <c r="AA451" s="3">
        <f t="shared" ref="AA451:AA514" si="101">N451*$D451</f>
        <v>45774.04</v>
      </c>
      <c r="AB451" s="3">
        <f t="shared" ref="AB451:AB514" si="102">O451*$D451</f>
        <v>33125.949999999997</v>
      </c>
      <c r="AC451" s="3">
        <f t="shared" ref="AC451:AC514" si="103">P451*$D451</f>
        <v>31041.1</v>
      </c>
      <c r="AD451" s="3">
        <f t="shared" ref="AD451:AD514" si="104">Q451*$D451</f>
        <v>18068.7</v>
      </c>
      <c r="AE451" s="3">
        <f t="shared" ref="AE451:AE514" si="105">R451*$D451</f>
        <v>8339.4</v>
      </c>
      <c r="AF451" s="3">
        <f>SUM(ecommerce_sales_all_data[[#This Row],[revenue_month_1]:[revenue_month_12]])</f>
        <v>316248.58</v>
      </c>
    </row>
    <row r="452" spans="1:32" x14ac:dyDescent="0.3">
      <c r="A452">
        <v>451</v>
      </c>
      <c r="B452" t="s">
        <v>475</v>
      </c>
      <c r="C452" t="s">
        <v>23</v>
      </c>
      <c r="D452" s="2">
        <v>389.69</v>
      </c>
      <c r="E452">
        <v>3</v>
      </c>
      <c r="F452">
        <v>514</v>
      </c>
      <c r="G452" s="1">
        <v>25</v>
      </c>
      <c r="H452" s="1">
        <v>855</v>
      </c>
      <c r="I452" s="1">
        <v>764</v>
      </c>
      <c r="J452" s="1">
        <v>986</v>
      </c>
      <c r="K452" s="1">
        <v>285</v>
      </c>
      <c r="L452" s="1">
        <v>48</v>
      </c>
      <c r="M452" s="1">
        <v>696</v>
      </c>
      <c r="N452" s="1">
        <v>204</v>
      </c>
      <c r="O452" s="1">
        <v>0</v>
      </c>
      <c r="P452" s="1">
        <v>714</v>
      </c>
      <c r="Q452" s="1">
        <v>812</v>
      </c>
      <c r="R452" s="1">
        <v>156</v>
      </c>
      <c r="S452" s="1">
        <f>SUM(ecommerce_sales_all_data[[#This Row],[sales_month_1]:[sales_month_12]])</f>
        <v>5545</v>
      </c>
      <c r="T452" s="3">
        <f t="shared" si="94"/>
        <v>9742.25</v>
      </c>
      <c r="U452" s="3">
        <f t="shared" si="95"/>
        <v>333184.95</v>
      </c>
      <c r="V452" s="3">
        <f t="shared" si="96"/>
        <v>297723.15999999997</v>
      </c>
      <c r="W452" s="3">
        <f t="shared" si="97"/>
        <v>384234.34</v>
      </c>
      <c r="X452" s="3">
        <f t="shared" si="98"/>
        <v>111061.65</v>
      </c>
      <c r="Y452" s="3">
        <f t="shared" si="99"/>
        <v>18705.12</v>
      </c>
      <c r="Z452" s="3">
        <f t="shared" si="100"/>
        <v>271224.24</v>
      </c>
      <c r="AA452" s="3">
        <f t="shared" si="101"/>
        <v>79496.759999999995</v>
      </c>
      <c r="AB452" s="3">
        <f t="shared" si="102"/>
        <v>0</v>
      </c>
      <c r="AC452" s="3">
        <f t="shared" si="103"/>
        <v>278238.65999999997</v>
      </c>
      <c r="AD452" s="3">
        <f t="shared" si="104"/>
        <v>316428.27999999997</v>
      </c>
      <c r="AE452" s="3">
        <f t="shared" si="105"/>
        <v>60791.64</v>
      </c>
      <c r="AF452" s="3">
        <f>SUM(ecommerce_sales_all_data[[#This Row],[revenue_month_1]:[revenue_month_12]])</f>
        <v>2160831.0499999998</v>
      </c>
    </row>
    <row r="453" spans="1:32" x14ac:dyDescent="0.3">
      <c r="A453">
        <v>452</v>
      </c>
      <c r="B453" t="s">
        <v>476</v>
      </c>
      <c r="C453" t="s">
        <v>48</v>
      </c>
      <c r="D453" s="2">
        <v>281.41000000000003</v>
      </c>
      <c r="E453">
        <v>3.5</v>
      </c>
      <c r="F453">
        <v>873</v>
      </c>
      <c r="G453" s="1">
        <v>24</v>
      </c>
      <c r="H453" s="1">
        <v>281</v>
      </c>
      <c r="I453" s="1">
        <v>142</v>
      </c>
      <c r="J453" s="1">
        <v>819</v>
      </c>
      <c r="K453" s="1">
        <v>988</v>
      </c>
      <c r="L453" s="1">
        <v>776</v>
      </c>
      <c r="M453" s="1">
        <v>252</v>
      </c>
      <c r="N453" s="1">
        <v>404</v>
      </c>
      <c r="O453" s="1">
        <v>756</v>
      </c>
      <c r="P453" s="1">
        <v>111</v>
      </c>
      <c r="Q453" s="1">
        <v>675</v>
      </c>
      <c r="R453" s="1">
        <v>453</v>
      </c>
      <c r="S453" s="1">
        <f>SUM(ecommerce_sales_all_data[[#This Row],[sales_month_1]:[sales_month_12]])</f>
        <v>5681</v>
      </c>
      <c r="T453" s="3">
        <f t="shared" si="94"/>
        <v>6753.84</v>
      </c>
      <c r="U453" s="3">
        <f t="shared" si="95"/>
        <v>79076.210000000006</v>
      </c>
      <c r="V453" s="3">
        <f t="shared" si="96"/>
        <v>39960.22</v>
      </c>
      <c r="W453" s="3">
        <f t="shared" si="97"/>
        <v>230474.79</v>
      </c>
      <c r="X453" s="3">
        <f t="shared" si="98"/>
        <v>278033.08</v>
      </c>
      <c r="Y453" s="3">
        <f t="shared" si="99"/>
        <v>218374.16000000003</v>
      </c>
      <c r="Z453" s="3">
        <f t="shared" si="100"/>
        <v>70915.320000000007</v>
      </c>
      <c r="AA453" s="3">
        <f t="shared" si="101"/>
        <v>113689.64000000001</v>
      </c>
      <c r="AB453" s="3">
        <f t="shared" si="102"/>
        <v>212745.96000000002</v>
      </c>
      <c r="AC453" s="3">
        <f t="shared" si="103"/>
        <v>31236.510000000002</v>
      </c>
      <c r="AD453" s="3">
        <f t="shared" si="104"/>
        <v>189951.75000000003</v>
      </c>
      <c r="AE453" s="3">
        <f t="shared" si="105"/>
        <v>127478.73000000001</v>
      </c>
      <c r="AF453" s="3">
        <f>SUM(ecommerce_sales_all_data[[#This Row],[revenue_month_1]:[revenue_month_12]])</f>
        <v>1598690.2100000002</v>
      </c>
    </row>
    <row r="454" spans="1:32" x14ac:dyDescent="0.3">
      <c r="A454">
        <v>453</v>
      </c>
      <c r="B454" t="s">
        <v>477</v>
      </c>
      <c r="C454" t="s">
        <v>21</v>
      </c>
      <c r="D454" s="2">
        <v>214.99</v>
      </c>
      <c r="E454">
        <v>4.5</v>
      </c>
      <c r="F454">
        <v>637</v>
      </c>
      <c r="G454" s="1">
        <v>393</v>
      </c>
      <c r="H454" s="1">
        <v>16</v>
      </c>
      <c r="I454" s="1">
        <v>249</v>
      </c>
      <c r="J454" s="1">
        <v>672</v>
      </c>
      <c r="K454" s="1">
        <v>533</v>
      </c>
      <c r="L454" s="1">
        <v>144</v>
      </c>
      <c r="M454" s="1">
        <v>797</v>
      </c>
      <c r="N454" s="1">
        <v>697</v>
      </c>
      <c r="O454" s="1">
        <v>583</v>
      </c>
      <c r="P454" s="1">
        <v>979</v>
      </c>
      <c r="Q454" s="1">
        <v>168</v>
      </c>
      <c r="R454" s="1">
        <v>570</v>
      </c>
      <c r="S454" s="1">
        <f>SUM(ecommerce_sales_all_data[[#This Row],[sales_month_1]:[sales_month_12]])</f>
        <v>5801</v>
      </c>
      <c r="T454" s="3">
        <f t="shared" si="94"/>
        <v>84491.07</v>
      </c>
      <c r="U454" s="3">
        <f t="shared" si="95"/>
        <v>3439.84</v>
      </c>
      <c r="V454" s="3">
        <f t="shared" si="96"/>
        <v>53532.51</v>
      </c>
      <c r="W454" s="3">
        <f t="shared" si="97"/>
        <v>144473.28</v>
      </c>
      <c r="X454" s="3">
        <f t="shared" si="98"/>
        <v>114589.67</v>
      </c>
      <c r="Y454" s="3">
        <f t="shared" si="99"/>
        <v>30958.560000000001</v>
      </c>
      <c r="Z454" s="3">
        <f t="shared" si="100"/>
        <v>171347.03</v>
      </c>
      <c r="AA454" s="3">
        <f t="shared" si="101"/>
        <v>149848.03</v>
      </c>
      <c r="AB454" s="3">
        <f t="shared" si="102"/>
        <v>125339.17</v>
      </c>
      <c r="AC454" s="3">
        <f t="shared" si="103"/>
        <v>210475.21000000002</v>
      </c>
      <c r="AD454" s="3">
        <f t="shared" si="104"/>
        <v>36118.32</v>
      </c>
      <c r="AE454" s="3">
        <f t="shared" si="105"/>
        <v>122544.3</v>
      </c>
      <c r="AF454" s="3">
        <f>SUM(ecommerce_sales_all_data[[#This Row],[revenue_month_1]:[revenue_month_12]])</f>
        <v>1247156.9900000002</v>
      </c>
    </row>
    <row r="455" spans="1:32" x14ac:dyDescent="0.3">
      <c r="A455">
        <v>454</v>
      </c>
      <c r="B455" t="s">
        <v>478</v>
      </c>
      <c r="C455" t="s">
        <v>26</v>
      </c>
      <c r="D455" s="2">
        <v>453.65</v>
      </c>
      <c r="E455">
        <v>3.3</v>
      </c>
      <c r="F455">
        <v>622</v>
      </c>
      <c r="G455" s="1">
        <v>506</v>
      </c>
      <c r="H455" s="1">
        <v>70</v>
      </c>
      <c r="I455" s="1">
        <v>877</v>
      </c>
      <c r="J455" s="1">
        <v>512</v>
      </c>
      <c r="K455" s="1">
        <v>458</v>
      </c>
      <c r="L455" s="1">
        <v>68</v>
      </c>
      <c r="M455" s="1">
        <v>904</v>
      </c>
      <c r="N455" s="1">
        <v>852</v>
      </c>
      <c r="O455" s="1">
        <v>431</v>
      </c>
      <c r="P455" s="1">
        <v>291</v>
      </c>
      <c r="Q455" s="1">
        <v>989</v>
      </c>
      <c r="R455" s="1">
        <v>856</v>
      </c>
      <c r="S455" s="1">
        <f>SUM(ecommerce_sales_all_data[[#This Row],[sales_month_1]:[sales_month_12]])</f>
        <v>6814</v>
      </c>
      <c r="T455" s="3">
        <f t="shared" si="94"/>
        <v>229546.9</v>
      </c>
      <c r="U455" s="3">
        <f t="shared" si="95"/>
        <v>31755.5</v>
      </c>
      <c r="V455" s="3">
        <f t="shared" si="96"/>
        <v>397851.05</v>
      </c>
      <c r="W455" s="3">
        <f t="shared" si="97"/>
        <v>232268.79999999999</v>
      </c>
      <c r="X455" s="3">
        <f t="shared" si="98"/>
        <v>207771.69999999998</v>
      </c>
      <c r="Y455" s="3">
        <f t="shared" si="99"/>
        <v>30848.199999999997</v>
      </c>
      <c r="Z455" s="3">
        <f t="shared" si="100"/>
        <v>410099.6</v>
      </c>
      <c r="AA455" s="3">
        <f t="shared" si="101"/>
        <v>386509.8</v>
      </c>
      <c r="AB455" s="3">
        <f t="shared" si="102"/>
        <v>195523.15</v>
      </c>
      <c r="AC455" s="3">
        <f t="shared" si="103"/>
        <v>132012.15</v>
      </c>
      <c r="AD455" s="3">
        <f t="shared" si="104"/>
        <v>448659.85</v>
      </c>
      <c r="AE455" s="3">
        <f t="shared" si="105"/>
        <v>388324.39999999997</v>
      </c>
      <c r="AF455" s="3">
        <f>SUM(ecommerce_sales_all_data[[#This Row],[revenue_month_1]:[revenue_month_12]])</f>
        <v>3091171.1</v>
      </c>
    </row>
    <row r="456" spans="1:32" x14ac:dyDescent="0.3">
      <c r="A456">
        <v>455</v>
      </c>
      <c r="B456" t="s">
        <v>479</v>
      </c>
      <c r="C456" t="s">
        <v>26</v>
      </c>
      <c r="D456" s="2">
        <v>60.04</v>
      </c>
      <c r="E456">
        <v>1.1000000000000001</v>
      </c>
      <c r="F456">
        <v>598</v>
      </c>
      <c r="G456" s="1">
        <v>300</v>
      </c>
      <c r="H456" s="1">
        <v>268</v>
      </c>
      <c r="I456" s="1">
        <v>947</v>
      </c>
      <c r="J456" s="1">
        <v>747</v>
      </c>
      <c r="K456" s="1">
        <v>211</v>
      </c>
      <c r="L456" s="1">
        <v>57</v>
      </c>
      <c r="M456" s="1">
        <v>921</v>
      </c>
      <c r="N456" s="1">
        <v>196</v>
      </c>
      <c r="O456" s="1">
        <v>305</v>
      </c>
      <c r="P456" s="1">
        <v>949</v>
      </c>
      <c r="Q456" s="1">
        <v>297</v>
      </c>
      <c r="R456" s="1">
        <v>760</v>
      </c>
      <c r="S456" s="1">
        <f>SUM(ecommerce_sales_all_data[[#This Row],[sales_month_1]:[sales_month_12]])</f>
        <v>5958</v>
      </c>
      <c r="T456" s="3">
        <f t="shared" si="94"/>
        <v>18012</v>
      </c>
      <c r="U456" s="3">
        <f t="shared" si="95"/>
        <v>16090.72</v>
      </c>
      <c r="V456" s="3">
        <f t="shared" si="96"/>
        <v>56857.88</v>
      </c>
      <c r="W456" s="3">
        <f t="shared" si="97"/>
        <v>44849.88</v>
      </c>
      <c r="X456" s="3">
        <f t="shared" si="98"/>
        <v>12668.44</v>
      </c>
      <c r="Y456" s="3">
        <f t="shared" si="99"/>
        <v>3422.2799999999997</v>
      </c>
      <c r="Z456" s="3">
        <f t="shared" si="100"/>
        <v>55296.84</v>
      </c>
      <c r="AA456" s="3">
        <f t="shared" si="101"/>
        <v>11767.84</v>
      </c>
      <c r="AB456" s="3">
        <f t="shared" si="102"/>
        <v>18312.2</v>
      </c>
      <c r="AC456" s="3">
        <f t="shared" si="103"/>
        <v>56977.96</v>
      </c>
      <c r="AD456" s="3">
        <f t="shared" si="104"/>
        <v>17831.88</v>
      </c>
      <c r="AE456" s="3">
        <f t="shared" si="105"/>
        <v>45630.400000000001</v>
      </c>
      <c r="AF456" s="3">
        <f>SUM(ecommerce_sales_all_data[[#This Row],[revenue_month_1]:[revenue_month_12]])</f>
        <v>357718.32000000007</v>
      </c>
    </row>
    <row r="457" spans="1:32" x14ac:dyDescent="0.3">
      <c r="A457">
        <v>456</v>
      </c>
      <c r="B457" t="s">
        <v>480</v>
      </c>
      <c r="C457" t="s">
        <v>19</v>
      </c>
      <c r="D457" s="2">
        <v>248.85</v>
      </c>
      <c r="E457">
        <v>4.7</v>
      </c>
      <c r="F457">
        <v>937</v>
      </c>
      <c r="G457" s="1">
        <v>338</v>
      </c>
      <c r="H457" s="1">
        <v>324</v>
      </c>
      <c r="I457" s="1">
        <v>974</v>
      </c>
      <c r="J457" s="1">
        <v>948</v>
      </c>
      <c r="K457" s="1">
        <v>125</v>
      </c>
      <c r="L457" s="1">
        <v>696</v>
      </c>
      <c r="M457" s="1">
        <v>385</v>
      </c>
      <c r="N457" s="1">
        <v>777</v>
      </c>
      <c r="O457" s="1">
        <v>908</v>
      </c>
      <c r="P457" s="1">
        <v>821</v>
      </c>
      <c r="Q457" s="1">
        <v>232</v>
      </c>
      <c r="R457" s="1">
        <v>703</v>
      </c>
      <c r="S457" s="1">
        <f>SUM(ecommerce_sales_all_data[[#This Row],[sales_month_1]:[sales_month_12]])</f>
        <v>7231</v>
      </c>
      <c r="T457" s="3">
        <f t="shared" si="94"/>
        <v>84111.3</v>
      </c>
      <c r="U457" s="3">
        <f t="shared" si="95"/>
        <v>80627.399999999994</v>
      </c>
      <c r="V457" s="3">
        <f t="shared" si="96"/>
        <v>242379.9</v>
      </c>
      <c r="W457" s="3">
        <f t="shared" si="97"/>
        <v>235909.8</v>
      </c>
      <c r="X457" s="3">
        <f t="shared" si="98"/>
        <v>31106.25</v>
      </c>
      <c r="Y457" s="3">
        <f t="shared" si="99"/>
        <v>173199.6</v>
      </c>
      <c r="Z457" s="3">
        <f t="shared" si="100"/>
        <v>95807.25</v>
      </c>
      <c r="AA457" s="3">
        <f t="shared" si="101"/>
        <v>193356.44999999998</v>
      </c>
      <c r="AB457" s="3">
        <f t="shared" si="102"/>
        <v>225955.8</v>
      </c>
      <c r="AC457" s="3">
        <f t="shared" si="103"/>
        <v>204305.85</v>
      </c>
      <c r="AD457" s="3">
        <f t="shared" si="104"/>
        <v>57733.2</v>
      </c>
      <c r="AE457" s="3">
        <f t="shared" si="105"/>
        <v>174941.55</v>
      </c>
      <c r="AF457" s="3">
        <f>SUM(ecommerce_sales_all_data[[#This Row],[revenue_month_1]:[revenue_month_12]])</f>
        <v>1799434.35</v>
      </c>
    </row>
    <row r="458" spans="1:32" x14ac:dyDescent="0.3">
      <c r="A458">
        <v>457</v>
      </c>
      <c r="B458" t="s">
        <v>481</v>
      </c>
      <c r="C458" t="s">
        <v>21</v>
      </c>
      <c r="D458" s="2">
        <v>10.62</v>
      </c>
      <c r="E458">
        <v>3.8</v>
      </c>
      <c r="F458">
        <v>632</v>
      </c>
      <c r="G458" s="1">
        <v>266</v>
      </c>
      <c r="H458" s="1">
        <v>793</v>
      </c>
      <c r="I458" s="1">
        <v>301</v>
      </c>
      <c r="J458" s="1">
        <v>187</v>
      </c>
      <c r="K458" s="1">
        <v>412</v>
      </c>
      <c r="L458" s="1">
        <v>573</v>
      </c>
      <c r="M458" s="1">
        <v>61</v>
      </c>
      <c r="N458" s="1">
        <v>773</v>
      </c>
      <c r="O458" s="1">
        <v>526</v>
      </c>
      <c r="P458" s="1">
        <v>630</v>
      </c>
      <c r="Q458" s="1">
        <v>902</v>
      </c>
      <c r="R458" s="1">
        <v>23</v>
      </c>
      <c r="S458" s="1">
        <f>SUM(ecommerce_sales_all_data[[#This Row],[sales_month_1]:[sales_month_12]])</f>
        <v>5447</v>
      </c>
      <c r="T458" s="3">
        <f t="shared" si="94"/>
        <v>2824.9199999999996</v>
      </c>
      <c r="U458" s="3">
        <f t="shared" si="95"/>
        <v>8421.66</v>
      </c>
      <c r="V458" s="3">
        <f t="shared" si="96"/>
        <v>3196.62</v>
      </c>
      <c r="W458" s="3">
        <f t="shared" si="97"/>
        <v>1985.9399999999998</v>
      </c>
      <c r="X458" s="3">
        <f t="shared" si="98"/>
        <v>4375.4399999999996</v>
      </c>
      <c r="Y458" s="3">
        <f t="shared" si="99"/>
        <v>6085.2599999999993</v>
      </c>
      <c r="Z458" s="3">
        <f t="shared" si="100"/>
        <v>647.81999999999994</v>
      </c>
      <c r="AA458" s="3">
        <f t="shared" si="101"/>
        <v>8209.26</v>
      </c>
      <c r="AB458" s="3">
        <f t="shared" si="102"/>
        <v>5586.12</v>
      </c>
      <c r="AC458" s="3">
        <f t="shared" si="103"/>
        <v>6690.5999999999995</v>
      </c>
      <c r="AD458" s="3">
        <f t="shared" si="104"/>
        <v>9579.24</v>
      </c>
      <c r="AE458" s="3">
        <f t="shared" si="105"/>
        <v>244.26</v>
      </c>
      <c r="AF458" s="3">
        <f>SUM(ecommerce_sales_all_data[[#This Row],[revenue_month_1]:[revenue_month_12]])</f>
        <v>57847.14</v>
      </c>
    </row>
    <row r="459" spans="1:32" x14ac:dyDescent="0.3">
      <c r="A459">
        <v>458</v>
      </c>
      <c r="B459" t="s">
        <v>482</v>
      </c>
      <c r="C459" t="s">
        <v>21</v>
      </c>
      <c r="D459" s="2">
        <v>236.99</v>
      </c>
      <c r="E459">
        <v>3.7</v>
      </c>
      <c r="F459">
        <v>127</v>
      </c>
      <c r="G459" s="1">
        <v>460</v>
      </c>
      <c r="H459" s="1">
        <v>304</v>
      </c>
      <c r="I459" s="1">
        <v>24</v>
      </c>
      <c r="J459" s="1">
        <v>929</v>
      </c>
      <c r="K459" s="1">
        <v>498</v>
      </c>
      <c r="L459" s="1">
        <v>478</v>
      </c>
      <c r="M459" s="1">
        <v>514</v>
      </c>
      <c r="N459" s="1">
        <v>759</v>
      </c>
      <c r="O459" s="1">
        <v>52</v>
      </c>
      <c r="P459" s="1">
        <v>382</v>
      </c>
      <c r="Q459" s="1">
        <v>270</v>
      </c>
      <c r="R459" s="1">
        <v>472</v>
      </c>
      <c r="S459" s="1">
        <f>SUM(ecommerce_sales_all_data[[#This Row],[sales_month_1]:[sales_month_12]])</f>
        <v>5142</v>
      </c>
      <c r="T459" s="3">
        <f t="shared" si="94"/>
        <v>109015.40000000001</v>
      </c>
      <c r="U459" s="3">
        <f t="shared" si="95"/>
        <v>72044.960000000006</v>
      </c>
      <c r="V459" s="3">
        <f t="shared" si="96"/>
        <v>5687.76</v>
      </c>
      <c r="W459" s="3">
        <f t="shared" si="97"/>
        <v>220163.71000000002</v>
      </c>
      <c r="X459" s="3">
        <f t="shared" si="98"/>
        <v>118021.02</v>
      </c>
      <c r="Y459" s="3">
        <f t="shared" si="99"/>
        <v>113281.22</v>
      </c>
      <c r="Z459" s="3">
        <f t="shared" si="100"/>
        <v>121812.86</v>
      </c>
      <c r="AA459" s="3">
        <f t="shared" si="101"/>
        <v>179875.41</v>
      </c>
      <c r="AB459" s="3">
        <f t="shared" si="102"/>
        <v>12323.48</v>
      </c>
      <c r="AC459" s="3">
        <f t="shared" si="103"/>
        <v>90530.180000000008</v>
      </c>
      <c r="AD459" s="3">
        <f t="shared" si="104"/>
        <v>63987.3</v>
      </c>
      <c r="AE459" s="3">
        <f t="shared" si="105"/>
        <v>111859.28</v>
      </c>
      <c r="AF459" s="3">
        <f>SUM(ecommerce_sales_all_data[[#This Row],[revenue_month_1]:[revenue_month_12]])</f>
        <v>1218602.58</v>
      </c>
    </row>
    <row r="460" spans="1:32" x14ac:dyDescent="0.3">
      <c r="A460">
        <v>459</v>
      </c>
      <c r="B460" t="s">
        <v>483</v>
      </c>
      <c r="C460" t="s">
        <v>48</v>
      </c>
      <c r="D460" s="2">
        <v>32.869999999999997</v>
      </c>
      <c r="E460">
        <v>1.9</v>
      </c>
      <c r="F460">
        <v>255</v>
      </c>
      <c r="G460" s="1">
        <v>692</v>
      </c>
      <c r="H460" s="1">
        <v>450</v>
      </c>
      <c r="I460" s="1">
        <v>788</v>
      </c>
      <c r="J460" s="1">
        <v>515</v>
      </c>
      <c r="K460" s="1">
        <v>424</v>
      </c>
      <c r="L460" s="1">
        <v>819</v>
      </c>
      <c r="M460" s="1">
        <v>429</v>
      </c>
      <c r="N460" s="1">
        <v>114</v>
      </c>
      <c r="O460" s="1">
        <v>939</v>
      </c>
      <c r="P460" s="1">
        <v>16</v>
      </c>
      <c r="Q460" s="1">
        <v>59</v>
      </c>
      <c r="R460" s="1">
        <v>399</v>
      </c>
      <c r="S460" s="1">
        <f>SUM(ecommerce_sales_all_data[[#This Row],[sales_month_1]:[sales_month_12]])</f>
        <v>5644</v>
      </c>
      <c r="T460" s="3">
        <f t="shared" si="94"/>
        <v>22746.039999999997</v>
      </c>
      <c r="U460" s="3">
        <f t="shared" si="95"/>
        <v>14791.499999999998</v>
      </c>
      <c r="V460" s="3">
        <f t="shared" si="96"/>
        <v>25901.559999999998</v>
      </c>
      <c r="W460" s="3">
        <f t="shared" si="97"/>
        <v>16928.05</v>
      </c>
      <c r="X460" s="3">
        <f t="shared" si="98"/>
        <v>13936.88</v>
      </c>
      <c r="Y460" s="3">
        <f t="shared" si="99"/>
        <v>26920.53</v>
      </c>
      <c r="Z460" s="3">
        <f t="shared" si="100"/>
        <v>14101.23</v>
      </c>
      <c r="AA460" s="3">
        <f t="shared" si="101"/>
        <v>3747.18</v>
      </c>
      <c r="AB460" s="3">
        <f t="shared" si="102"/>
        <v>30864.929999999997</v>
      </c>
      <c r="AC460" s="3">
        <f t="shared" si="103"/>
        <v>525.91999999999996</v>
      </c>
      <c r="AD460" s="3">
        <f t="shared" si="104"/>
        <v>1939.33</v>
      </c>
      <c r="AE460" s="3">
        <f t="shared" si="105"/>
        <v>13115.13</v>
      </c>
      <c r="AF460" s="3">
        <f>SUM(ecommerce_sales_all_data[[#This Row],[revenue_month_1]:[revenue_month_12]])</f>
        <v>185518.28</v>
      </c>
    </row>
    <row r="461" spans="1:32" x14ac:dyDescent="0.3">
      <c r="A461">
        <v>460</v>
      </c>
      <c r="B461" t="s">
        <v>484</v>
      </c>
      <c r="C461" t="s">
        <v>48</v>
      </c>
      <c r="D461" s="2">
        <v>63.81</v>
      </c>
      <c r="E461">
        <v>3.6</v>
      </c>
      <c r="F461">
        <v>695</v>
      </c>
      <c r="G461" s="1">
        <v>455</v>
      </c>
      <c r="H461" s="1">
        <v>6</v>
      </c>
      <c r="I461" s="1">
        <v>983</v>
      </c>
      <c r="J461" s="1">
        <v>912</v>
      </c>
      <c r="K461" s="1">
        <v>553</v>
      </c>
      <c r="L461" s="1">
        <v>444</v>
      </c>
      <c r="M461" s="1">
        <v>579</v>
      </c>
      <c r="N461" s="1">
        <v>120</v>
      </c>
      <c r="O461" s="1">
        <v>519</v>
      </c>
      <c r="P461" s="1">
        <v>492</v>
      </c>
      <c r="Q461" s="1">
        <v>295</v>
      </c>
      <c r="R461" s="1">
        <v>947</v>
      </c>
      <c r="S461" s="1">
        <f>SUM(ecommerce_sales_all_data[[#This Row],[sales_month_1]:[sales_month_12]])</f>
        <v>6305</v>
      </c>
      <c r="T461" s="3">
        <f t="shared" si="94"/>
        <v>29033.55</v>
      </c>
      <c r="U461" s="3">
        <f t="shared" si="95"/>
        <v>382.86</v>
      </c>
      <c r="V461" s="3">
        <f t="shared" si="96"/>
        <v>62725.23</v>
      </c>
      <c r="W461" s="3">
        <f t="shared" si="97"/>
        <v>58194.720000000001</v>
      </c>
      <c r="X461" s="3">
        <f t="shared" si="98"/>
        <v>35286.93</v>
      </c>
      <c r="Y461" s="3">
        <f t="shared" si="99"/>
        <v>28331.64</v>
      </c>
      <c r="Z461" s="3">
        <f t="shared" si="100"/>
        <v>36945.99</v>
      </c>
      <c r="AA461" s="3">
        <f t="shared" si="101"/>
        <v>7657.2000000000007</v>
      </c>
      <c r="AB461" s="3">
        <f t="shared" si="102"/>
        <v>33117.39</v>
      </c>
      <c r="AC461" s="3">
        <f t="shared" si="103"/>
        <v>31394.52</v>
      </c>
      <c r="AD461" s="3">
        <f t="shared" si="104"/>
        <v>18823.95</v>
      </c>
      <c r="AE461" s="3">
        <f t="shared" si="105"/>
        <v>60428.07</v>
      </c>
      <c r="AF461" s="3">
        <f>SUM(ecommerce_sales_all_data[[#This Row],[revenue_month_1]:[revenue_month_12]])</f>
        <v>402322.05000000005</v>
      </c>
    </row>
    <row r="462" spans="1:32" x14ac:dyDescent="0.3">
      <c r="A462">
        <v>461</v>
      </c>
      <c r="B462" t="s">
        <v>485</v>
      </c>
      <c r="C462" t="s">
        <v>23</v>
      </c>
      <c r="D462" s="2">
        <v>63.18</v>
      </c>
      <c r="E462">
        <v>2.6</v>
      </c>
      <c r="F462">
        <v>16</v>
      </c>
      <c r="G462" s="1">
        <v>359</v>
      </c>
      <c r="H462" s="1">
        <v>313</v>
      </c>
      <c r="I462" s="1">
        <v>888</v>
      </c>
      <c r="J462" s="1">
        <v>643</v>
      </c>
      <c r="K462" s="1">
        <v>609</v>
      </c>
      <c r="L462" s="1">
        <v>295</v>
      </c>
      <c r="M462" s="1">
        <v>536</v>
      </c>
      <c r="N462" s="1">
        <v>652</v>
      </c>
      <c r="O462" s="1">
        <v>329</v>
      </c>
      <c r="P462" s="1">
        <v>330</v>
      </c>
      <c r="Q462" s="1">
        <v>466</v>
      </c>
      <c r="R462" s="1">
        <v>591</v>
      </c>
      <c r="S462" s="1">
        <f>SUM(ecommerce_sales_all_data[[#This Row],[sales_month_1]:[sales_month_12]])</f>
        <v>6011</v>
      </c>
      <c r="T462" s="3">
        <f t="shared" si="94"/>
        <v>22681.62</v>
      </c>
      <c r="U462" s="3">
        <f t="shared" si="95"/>
        <v>19775.34</v>
      </c>
      <c r="V462" s="3">
        <f t="shared" si="96"/>
        <v>56103.839999999997</v>
      </c>
      <c r="W462" s="3">
        <f t="shared" si="97"/>
        <v>40624.74</v>
      </c>
      <c r="X462" s="3">
        <f t="shared" si="98"/>
        <v>38476.620000000003</v>
      </c>
      <c r="Y462" s="3">
        <f t="shared" si="99"/>
        <v>18638.099999999999</v>
      </c>
      <c r="Z462" s="3">
        <f t="shared" si="100"/>
        <v>33864.480000000003</v>
      </c>
      <c r="AA462" s="3">
        <f t="shared" si="101"/>
        <v>41193.360000000001</v>
      </c>
      <c r="AB462" s="3">
        <f t="shared" si="102"/>
        <v>20786.22</v>
      </c>
      <c r="AC462" s="3">
        <f t="shared" si="103"/>
        <v>20849.400000000001</v>
      </c>
      <c r="AD462" s="3">
        <f t="shared" si="104"/>
        <v>29441.88</v>
      </c>
      <c r="AE462" s="3">
        <f t="shared" si="105"/>
        <v>37339.379999999997</v>
      </c>
      <c r="AF462" s="3">
        <f>SUM(ecommerce_sales_all_data[[#This Row],[revenue_month_1]:[revenue_month_12]])</f>
        <v>379774.98</v>
      </c>
    </row>
    <row r="463" spans="1:32" x14ac:dyDescent="0.3">
      <c r="A463">
        <v>462</v>
      </c>
      <c r="B463" t="s">
        <v>486</v>
      </c>
      <c r="C463" t="s">
        <v>26</v>
      </c>
      <c r="D463" s="2">
        <v>326.36</v>
      </c>
      <c r="E463">
        <v>3.6</v>
      </c>
      <c r="F463">
        <v>477</v>
      </c>
      <c r="G463" s="1">
        <v>67</v>
      </c>
      <c r="H463" s="1">
        <v>816</v>
      </c>
      <c r="I463" s="1">
        <v>889</v>
      </c>
      <c r="J463" s="1">
        <v>426</v>
      </c>
      <c r="K463" s="1">
        <v>960</v>
      </c>
      <c r="L463" s="1">
        <v>677</v>
      </c>
      <c r="M463" s="1">
        <v>690</v>
      </c>
      <c r="N463" s="1">
        <v>64</v>
      </c>
      <c r="O463" s="1">
        <v>557</v>
      </c>
      <c r="P463" s="1">
        <v>925</v>
      </c>
      <c r="Q463" s="1">
        <v>234</v>
      </c>
      <c r="R463" s="1">
        <v>133</v>
      </c>
      <c r="S463" s="1">
        <f>SUM(ecommerce_sales_all_data[[#This Row],[sales_month_1]:[sales_month_12]])</f>
        <v>6438</v>
      </c>
      <c r="T463" s="3">
        <f t="shared" si="94"/>
        <v>21866.120000000003</v>
      </c>
      <c r="U463" s="3">
        <f t="shared" si="95"/>
        <v>266309.76000000001</v>
      </c>
      <c r="V463" s="3">
        <f t="shared" si="96"/>
        <v>290134.04000000004</v>
      </c>
      <c r="W463" s="3">
        <f t="shared" si="97"/>
        <v>139029.36000000002</v>
      </c>
      <c r="X463" s="3">
        <f t="shared" si="98"/>
        <v>313305.60000000003</v>
      </c>
      <c r="Y463" s="3">
        <f t="shared" si="99"/>
        <v>220945.72</v>
      </c>
      <c r="Z463" s="3">
        <f t="shared" si="100"/>
        <v>225188.40000000002</v>
      </c>
      <c r="AA463" s="3">
        <f t="shared" si="101"/>
        <v>20887.04</v>
      </c>
      <c r="AB463" s="3">
        <f t="shared" si="102"/>
        <v>181782.52000000002</v>
      </c>
      <c r="AC463" s="3">
        <f t="shared" si="103"/>
        <v>301883</v>
      </c>
      <c r="AD463" s="3">
        <f t="shared" si="104"/>
        <v>76368.240000000005</v>
      </c>
      <c r="AE463" s="3">
        <f t="shared" si="105"/>
        <v>43405.880000000005</v>
      </c>
      <c r="AF463" s="3">
        <f>SUM(ecommerce_sales_all_data[[#This Row],[revenue_month_1]:[revenue_month_12]])</f>
        <v>2101105.6800000002</v>
      </c>
    </row>
    <row r="464" spans="1:32" x14ac:dyDescent="0.3">
      <c r="A464">
        <v>463</v>
      </c>
      <c r="B464" t="s">
        <v>487</v>
      </c>
      <c r="C464" t="s">
        <v>29</v>
      </c>
      <c r="D464" s="2">
        <v>374.29</v>
      </c>
      <c r="E464">
        <v>1.4</v>
      </c>
      <c r="F464">
        <v>62</v>
      </c>
      <c r="G464" s="1">
        <v>862</v>
      </c>
      <c r="H464" s="1">
        <v>102</v>
      </c>
      <c r="I464" s="1">
        <v>900</v>
      </c>
      <c r="J464" s="1">
        <v>501</v>
      </c>
      <c r="K464" s="1">
        <v>542</v>
      </c>
      <c r="L464" s="1">
        <v>170</v>
      </c>
      <c r="M464" s="1">
        <v>140</v>
      </c>
      <c r="N464" s="1">
        <v>275</v>
      </c>
      <c r="O464" s="1">
        <v>324</v>
      </c>
      <c r="P464" s="1">
        <v>738</v>
      </c>
      <c r="Q464" s="1">
        <v>676</v>
      </c>
      <c r="R464" s="1">
        <v>420</v>
      </c>
      <c r="S464" s="1">
        <f>SUM(ecommerce_sales_all_data[[#This Row],[sales_month_1]:[sales_month_12]])</f>
        <v>5650</v>
      </c>
      <c r="T464" s="3">
        <f t="shared" si="94"/>
        <v>322637.98000000004</v>
      </c>
      <c r="U464" s="3">
        <f t="shared" si="95"/>
        <v>38177.58</v>
      </c>
      <c r="V464" s="3">
        <f t="shared" si="96"/>
        <v>336861</v>
      </c>
      <c r="W464" s="3">
        <f t="shared" si="97"/>
        <v>187519.29</v>
      </c>
      <c r="X464" s="3">
        <f t="shared" si="98"/>
        <v>202865.18000000002</v>
      </c>
      <c r="Y464" s="3">
        <f t="shared" si="99"/>
        <v>63629.3</v>
      </c>
      <c r="Z464" s="3">
        <f t="shared" si="100"/>
        <v>52400.600000000006</v>
      </c>
      <c r="AA464" s="3">
        <f t="shared" si="101"/>
        <v>102929.75</v>
      </c>
      <c r="AB464" s="3">
        <f t="shared" si="102"/>
        <v>121269.96</v>
      </c>
      <c r="AC464" s="3">
        <f t="shared" si="103"/>
        <v>276226.02</v>
      </c>
      <c r="AD464" s="3">
        <f t="shared" si="104"/>
        <v>253020.04</v>
      </c>
      <c r="AE464" s="3">
        <f t="shared" si="105"/>
        <v>157201.80000000002</v>
      </c>
      <c r="AF464" s="3">
        <f>SUM(ecommerce_sales_all_data[[#This Row],[revenue_month_1]:[revenue_month_12]])</f>
        <v>2114738.5</v>
      </c>
    </row>
    <row r="465" spans="1:32" x14ac:dyDescent="0.3">
      <c r="A465">
        <v>464</v>
      </c>
      <c r="B465" t="s">
        <v>488</v>
      </c>
      <c r="C465" t="s">
        <v>48</v>
      </c>
      <c r="D465" s="2">
        <v>293.77</v>
      </c>
      <c r="E465">
        <v>3.6</v>
      </c>
      <c r="F465">
        <v>881</v>
      </c>
      <c r="G465" s="1">
        <v>411</v>
      </c>
      <c r="H465" s="1">
        <v>820</v>
      </c>
      <c r="I465" s="1">
        <v>69</v>
      </c>
      <c r="J465" s="1">
        <v>729</v>
      </c>
      <c r="K465" s="1">
        <v>157</v>
      </c>
      <c r="L465" s="1">
        <v>574</v>
      </c>
      <c r="M465" s="1">
        <v>742</v>
      </c>
      <c r="N465" s="1">
        <v>824</v>
      </c>
      <c r="O465" s="1">
        <v>113</v>
      </c>
      <c r="P465" s="1">
        <v>872</v>
      </c>
      <c r="Q465" s="1">
        <v>705</v>
      </c>
      <c r="R465" s="1">
        <v>212</v>
      </c>
      <c r="S465" s="1">
        <f>SUM(ecommerce_sales_all_data[[#This Row],[sales_month_1]:[sales_month_12]])</f>
        <v>6228</v>
      </c>
      <c r="T465" s="3">
        <f t="shared" si="94"/>
        <v>120739.46999999999</v>
      </c>
      <c r="U465" s="3">
        <f t="shared" si="95"/>
        <v>240891.4</v>
      </c>
      <c r="V465" s="3">
        <f t="shared" si="96"/>
        <v>20270.129999999997</v>
      </c>
      <c r="W465" s="3">
        <f t="shared" si="97"/>
        <v>214158.33</v>
      </c>
      <c r="X465" s="3">
        <f t="shared" si="98"/>
        <v>46121.89</v>
      </c>
      <c r="Y465" s="3">
        <f t="shared" si="99"/>
        <v>168623.97999999998</v>
      </c>
      <c r="Z465" s="3">
        <f t="shared" si="100"/>
        <v>217977.34</v>
      </c>
      <c r="AA465" s="3">
        <f t="shared" si="101"/>
        <v>242066.47999999998</v>
      </c>
      <c r="AB465" s="3">
        <f t="shared" si="102"/>
        <v>33196.009999999995</v>
      </c>
      <c r="AC465" s="3">
        <f t="shared" si="103"/>
        <v>256167.43999999997</v>
      </c>
      <c r="AD465" s="3">
        <f t="shared" si="104"/>
        <v>207107.84999999998</v>
      </c>
      <c r="AE465" s="3">
        <f t="shared" si="105"/>
        <v>62279.24</v>
      </c>
      <c r="AF465" s="3">
        <f>SUM(ecommerce_sales_all_data[[#This Row],[revenue_month_1]:[revenue_month_12]])</f>
        <v>1829599.5599999998</v>
      </c>
    </row>
    <row r="466" spans="1:32" x14ac:dyDescent="0.3">
      <c r="A466">
        <v>465</v>
      </c>
      <c r="B466" t="s">
        <v>489</v>
      </c>
      <c r="C466" t="s">
        <v>19</v>
      </c>
      <c r="D466" s="2">
        <v>481.28</v>
      </c>
      <c r="E466">
        <v>5</v>
      </c>
      <c r="F466">
        <v>432</v>
      </c>
      <c r="G466" s="1">
        <v>970</v>
      </c>
      <c r="H466" s="1">
        <v>192</v>
      </c>
      <c r="I466" s="1">
        <v>624</v>
      </c>
      <c r="J466" s="1">
        <v>259</v>
      </c>
      <c r="K466" s="1">
        <v>111</v>
      </c>
      <c r="L466" s="1">
        <v>146</v>
      </c>
      <c r="M466" s="1">
        <v>299</v>
      </c>
      <c r="N466" s="1">
        <v>238</v>
      </c>
      <c r="O466" s="1">
        <v>146</v>
      </c>
      <c r="P466" s="1">
        <v>485</v>
      </c>
      <c r="Q466" s="1">
        <v>233</v>
      </c>
      <c r="R466" s="1">
        <v>899</v>
      </c>
      <c r="S466" s="1">
        <f>SUM(ecommerce_sales_all_data[[#This Row],[sales_month_1]:[sales_month_12]])</f>
        <v>4602</v>
      </c>
      <c r="T466" s="3">
        <f t="shared" si="94"/>
        <v>466841.59999999998</v>
      </c>
      <c r="U466" s="3">
        <f t="shared" si="95"/>
        <v>92405.759999999995</v>
      </c>
      <c r="V466" s="3">
        <f t="shared" si="96"/>
        <v>300318.71999999997</v>
      </c>
      <c r="W466" s="3">
        <f t="shared" si="97"/>
        <v>124651.51999999999</v>
      </c>
      <c r="X466" s="3">
        <f t="shared" si="98"/>
        <v>53422.079999999994</v>
      </c>
      <c r="Y466" s="3">
        <f t="shared" si="99"/>
        <v>70266.87999999999</v>
      </c>
      <c r="Z466" s="3">
        <f t="shared" si="100"/>
        <v>143902.72</v>
      </c>
      <c r="AA466" s="3">
        <f t="shared" si="101"/>
        <v>114544.64</v>
      </c>
      <c r="AB466" s="3">
        <f t="shared" si="102"/>
        <v>70266.87999999999</v>
      </c>
      <c r="AC466" s="3">
        <f t="shared" si="103"/>
        <v>233420.79999999999</v>
      </c>
      <c r="AD466" s="3">
        <f t="shared" si="104"/>
        <v>112138.23999999999</v>
      </c>
      <c r="AE466" s="3">
        <f t="shared" si="105"/>
        <v>432670.71999999997</v>
      </c>
      <c r="AF466" s="3">
        <f>SUM(ecommerce_sales_all_data[[#This Row],[revenue_month_1]:[revenue_month_12]])</f>
        <v>2214850.5599999996</v>
      </c>
    </row>
    <row r="467" spans="1:32" x14ac:dyDescent="0.3">
      <c r="A467">
        <v>466</v>
      </c>
      <c r="B467" t="s">
        <v>490</v>
      </c>
      <c r="C467" t="s">
        <v>19</v>
      </c>
      <c r="D467" s="2">
        <v>190.56</v>
      </c>
      <c r="E467">
        <v>1.2</v>
      </c>
      <c r="F467">
        <v>670</v>
      </c>
      <c r="G467" s="1">
        <v>490</v>
      </c>
      <c r="H467" s="1">
        <v>752</v>
      </c>
      <c r="I467" s="1">
        <v>874</v>
      </c>
      <c r="J467" s="1">
        <v>512</v>
      </c>
      <c r="K467" s="1">
        <v>401</v>
      </c>
      <c r="L467" s="1">
        <v>483</v>
      </c>
      <c r="M467" s="1">
        <v>674</v>
      </c>
      <c r="N467" s="1">
        <v>301</v>
      </c>
      <c r="O467" s="1">
        <v>165</v>
      </c>
      <c r="P467" s="1">
        <v>405</v>
      </c>
      <c r="Q467" s="1">
        <v>367</v>
      </c>
      <c r="R467" s="1">
        <v>481</v>
      </c>
      <c r="S467" s="1">
        <f>SUM(ecommerce_sales_all_data[[#This Row],[sales_month_1]:[sales_month_12]])</f>
        <v>5905</v>
      </c>
      <c r="T467" s="3">
        <f t="shared" si="94"/>
        <v>93374.399999999994</v>
      </c>
      <c r="U467" s="3">
        <f t="shared" si="95"/>
        <v>143301.12</v>
      </c>
      <c r="V467" s="3">
        <f t="shared" si="96"/>
        <v>166549.44</v>
      </c>
      <c r="W467" s="3">
        <f t="shared" si="97"/>
        <v>97566.720000000001</v>
      </c>
      <c r="X467" s="3">
        <f t="shared" si="98"/>
        <v>76414.559999999998</v>
      </c>
      <c r="Y467" s="3">
        <f t="shared" si="99"/>
        <v>92040.48</v>
      </c>
      <c r="Z467" s="3">
        <f t="shared" si="100"/>
        <v>128437.44</v>
      </c>
      <c r="AA467" s="3">
        <f t="shared" si="101"/>
        <v>57358.559999999998</v>
      </c>
      <c r="AB467" s="3">
        <f t="shared" si="102"/>
        <v>31442.400000000001</v>
      </c>
      <c r="AC467" s="3">
        <f t="shared" si="103"/>
        <v>77176.800000000003</v>
      </c>
      <c r="AD467" s="3">
        <f t="shared" si="104"/>
        <v>69935.520000000004</v>
      </c>
      <c r="AE467" s="3">
        <f t="shared" si="105"/>
        <v>91659.36</v>
      </c>
      <c r="AF467" s="3">
        <f>SUM(ecommerce_sales_all_data[[#This Row],[revenue_month_1]:[revenue_month_12]])</f>
        <v>1125256.8</v>
      </c>
    </row>
    <row r="468" spans="1:32" x14ac:dyDescent="0.3">
      <c r="A468">
        <v>467</v>
      </c>
      <c r="B468" t="s">
        <v>491</v>
      </c>
      <c r="C468" t="s">
        <v>19</v>
      </c>
      <c r="D468" s="2">
        <v>146.43</v>
      </c>
      <c r="E468">
        <v>4.9000000000000004</v>
      </c>
      <c r="F468">
        <v>268</v>
      </c>
      <c r="G468" s="1">
        <v>832</v>
      </c>
      <c r="H468" s="1">
        <v>573</v>
      </c>
      <c r="I468" s="1">
        <v>111</v>
      </c>
      <c r="J468" s="1">
        <v>70</v>
      </c>
      <c r="K468" s="1">
        <v>758</v>
      </c>
      <c r="L468" s="1">
        <v>305</v>
      </c>
      <c r="M468" s="1">
        <v>310</v>
      </c>
      <c r="N468" s="1">
        <v>391</v>
      </c>
      <c r="O468" s="1">
        <v>378</v>
      </c>
      <c r="P468" s="1">
        <v>116</v>
      </c>
      <c r="Q468" s="1">
        <v>694</v>
      </c>
      <c r="R468" s="1">
        <v>347</v>
      </c>
      <c r="S468" s="1">
        <f>SUM(ecommerce_sales_all_data[[#This Row],[sales_month_1]:[sales_month_12]])</f>
        <v>4885</v>
      </c>
      <c r="T468" s="3">
        <f t="shared" si="94"/>
        <v>121829.76000000001</v>
      </c>
      <c r="U468" s="3">
        <f t="shared" si="95"/>
        <v>83904.39</v>
      </c>
      <c r="V468" s="3">
        <f t="shared" si="96"/>
        <v>16253.730000000001</v>
      </c>
      <c r="W468" s="3">
        <f t="shared" si="97"/>
        <v>10250.1</v>
      </c>
      <c r="X468" s="3">
        <f t="shared" si="98"/>
        <v>110993.94</v>
      </c>
      <c r="Y468" s="3">
        <f t="shared" si="99"/>
        <v>44661.15</v>
      </c>
      <c r="Z468" s="3">
        <f t="shared" si="100"/>
        <v>45393.3</v>
      </c>
      <c r="AA468" s="3">
        <f t="shared" si="101"/>
        <v>57254.130000000005</v>
      </c>
      <c r="AB468" s="3">
        <f t="shared" si="102"/>
        <v>55350.54</v>
      </c>
      <c r="AC468" s="3">
        <f t="shared" si="103"/>
        <v>16985.88</v>
      </c>
      <c r="AD468" s="3">
        <f t="shared" si="104"/>
        <v>101622.42</v>
      </c>
      <c r="AE468" s="3">
        <f t="shared" si="105"/>
        <v>50811.21</v>
      </c>
      <c r="AF468" s="3">
        <f>SUM(ecommerce_sales_all_data[[#This Row],[revenue_month_1]:[revenue_month_12]])</f>
        <v>715310.55</v>
      </c>
    </row>
    <row r="469" spans="1:32" x14ac:dyDescent="0.3">
      <c r="A469">
        <v>468</v>
      </c>
      <c r="B469" t="s">
        <v>492</v>
      </c>
      <c r="C469" t="s">
        <v>35</v>
      </c>
      <c r="D469" s="2">
        <v>434.96</v>
      </c>
      <c r="E469">
        <v>2.6</v>
      </c>
      <c r="F469">
        <v>35</v>
      </c>
      <c r="G469" s="1">
        <v>48</v>
      </c>
      <c r="H469" s="1">
        <v>528</v>
      </c>
      <c r="I469" s="1">
        <v>363</v>
      </c>
      <c r="J469" s="1">
        <v>477</v>
      </c>
      <c r="K469" s="1">
        <v>121</v>
      </c>
      <c r="L469" s="1">
        <v>672</v>
      </c>
      <c r="M469" s="1">
        <v>470</v>
      </c>
      <c r="N469" s="1">
        <v>521</v>
      </c>
      <c r="O469" s="1">
        <v>138</v>
      </c>
      <c r="P469" s="1">
        <v>554</v>
      </c>
      <c r="Q469" s="1">
        <v>844</v>
      </c>
      <c r="R469" s="1">
        <v>165</v>
      </c>
      <c r="S469" s="1">
        <f>SUM(ecommerce_sales_all_data[[#This Row],[sales_month_1]:[sales_month_12]])</f>
        <v>4901</v>
      </c>
      <c r="T469" s="3">
        <f t="shared" si="94"/>
        <v>20878.079999999998</v>
      </c>
      <c r="U469" s="3">
        <f t="shared" si="95"/>
        <v>229658.87999999998</v>
      </c>
      <c r="V469" s="3">
        <f t="shared" si="96"/>
        <v>157890.47999999998</v>
      </c>
      <c r="W469" s="3">
        <f t="shared" si="97"/>
        <v>207475.91999999998</v>
      </c>
      <c r="X469" s="3">
        <f t="shared" si="98"/>
        <v>52630.159999999996</v>
      </c>
      <c r="Y469" s="3">
        <f t="shared" si="99"/>
        <v>292293.12</v>
      </c>
      <c r="Z469" s="3">
        <f t="shared" si="100"/>
        <v>204431.19999999998</v>
      </c>
      <c r="AA469" s="3">
        <f t="shared" si="101"/>
        <v>226614.16</v>
      </c>
      <c r="AB469" s="3">
        <f t="shared" si="102"/>
        <v>60024.479999999996</v>
      </c>
      <c r="AC469" s="3">
        <f t="shared" si="103"/>
        <v>240967.84</v>
      </c>
      <c r="AD469" s="3">
        <f t="shared" si="104"/>
        <v>367106.24</v>
      </c>
      <c r="AE469" s="3">
        <f t="shared" si="105"/>
        <v>71768.399999999994</v>
      </c>
      <c r="AF469" s="3">
        <f>SUM(ecommerce_sales_all_data[[#This Row],[revenue_month_1]:[revenue_month_12]])</f>
        <v>2131738.96</v>
      </c>
    </row>
    <row r="470" spans="1:32" x14ac:dyDescent="0.3">
      <c r="A470">
        <v>469</v>
      </c>
      <c r="B470" t="s">
        <v>493</v>
      </c>
      <c r="C470" t="s">
        <v>48</v>
      </c>
      <c r="D470" s="2">
        <v>115.68</v>
      </c>
      <c r="E470">
        <v>4.5</v>
      </c>
      <c r="F470">
        <v>779</v>
      </c>
      <c r="G470" s="1">
        <v>686</v>
      </c>
      <c r="H470" s="1">
        <v>170</v>
      </c>
      <c r="I470" s="1">
        <v>302</v>
      </c>
      <c r="J470" s="1">
        <v>177</v>
      </c>
      <c r="K470" s="1">
        <v>272</v>
      </c>
      <c r="L470" s="1">
        <v>652</v>
      </c>
      <c r="M470" s="1">
        <v>392</v>
      </c>
      <c r="N470" s="1">
        <v>968</v>
      </c>
      <c r="O470" s="1">
        <v>628</v>
      </c>
      <c r="P470" s="1">
        <v>879</v>
      </c>
      <c r="Q470" s="1">
        <v>231</v>
      </c>
      <c r="R470" s="1">
        <v>936</v>
      </c>
      <c r="S470" s="1">
        <f>SUM(ecommerce_sales_all_data[[#This Row],[sales_month_1]:[sales_month_12]])</f>
        <v>6293</v>
      </c>
      <c r="T470" s="3">
        <f t="shared" si="94"/>
        <v>79356.48000000001</v>
      </c>
      <c r="U470" s="3">
        <f t="shared" si="95"/>
        <v>19665.600000000002</v>
      </c>
      <c r="V470" s="3">
        <f t="shared" si="96"/>
        <v>34935.360000000001</v>
      </c>
      <c r="W470" s="3">
        <f t="shared" si="97"/>
        <v>20475.36</v>
      </c>
      <c r="X470" s="3">
        <f t="shared" si="98"/>
        <v>31464.960000000003</v>
      </c>
      <c r="Y470" s="3">
        <f t="shared" si="99"/>
        <v>75423.360000000001</v>
      </c>
      <c r="Z470" s="3">
        <f t="shared" si="100"/>
        <v>45346.560000000005</v>
      </c>
      <c r="AA470" s="3">
        <f t="shared" si="101"/>
        <v>111978.24000000001</v>
      </c>
      <c r="AB470" s="3">
        <f t="shared" si="102"/>
        <v>72647.040000000008</v>
      </c>
      <c r="AC470" s="3">
        <f t="shared" si="103"/>
        <v>101682.72</v>
      </c>
      <c r="AD470" s="3">
        <f t="shared" si="104"/>
        <v>26722.080000000002</v>
      </c>
      <c r="AE470" s="3">
        <f t="shared" si="105"/>
        <v>108276.48000000001</v>
      </c>
      <c r="AF470" s="3">
        <f>SUM(ecommerce_sales_all_data[[#This Row],[revenue_month_1]:[revenue_month_12]])</f>
        <v>727974.23999999987</v>
      </c>
    </row>
    <row r="471" spans="1:32" x14ac:dyDescent="0.3">
      <c r="A471">
        <v>470</v>
      </c>
      <c r="B471" t="s">
        <v>494</v>
      </c>
      <c r="C471" t="s">
        <v>48</v>
      </c>
      <c r="D471" s="2">
        <v>481.8</v>
      </c>
      <c r="E471">
        <v>4.0999999999999996</v>
      </c>
      <c r="F471">
        <v>576</v>
      </c>
      <c r="G471" s="1">
        <v>563</v>
      </c>
      <c r="H471" s="1">
        <v>536</v>
      </c>
      <c r="I471" s="1">
        <v>470</v>
      </c>
      <c r="J471" s="1">
        <v>456</v>
      </c>
      <c r="K471" s="1">
        <v>293</v>
      </c>
      <c r="L471" s="1">
        <v>845</v>
      </c>
      <c r="M471" s="1">
        <v>641</v>
      </c>
      <c r="N471" s="1">
        <v>368</v>
      </c>
      <c r="O471" s="1">
        <v>298</v>
      </c>
      <c r="P471" s="1">
        <v>114</v>
      </c>
      <c r="Q471" s="1">
        <v>872</v>
      </c>
      <c r="R471" s="1">
        <v>347</v>
      </c>
      <c r="S471" s="1">
        <f>SUM(ecommerce_sales_all_data[[#This Row],[sales_month_1]:[sales_month_12]])</f>
        <v>5803</v>
      </c>
      <c r="T471" s="3">
        <f t="shared" si="94"/>
        <v>271253.40000000002</v>
      </c>
      <c r="U471" s="3">
        <f t="shared" si="95"/>
        <v>258244.80000000002</v>
      </c>
      <c r="V471" s="3">
        <f t="shared" si="96"/>
        <v>226446</v>
      </c>
      <c r="W471" s="3">
        <f t="shared" si="97"/>
        <v>219700.80000000002</v>
      </c>
      <c r="X471" s="3">
        <f t="shared" si="98"/>
        <v>141167.4</v>
      </c>
      <c r="Y471" s="3">
        <f t="shared" si="99"/>
        <v>407121</v>
      </c>
      <c r="Z471" s="3">
        <f t="shared" si="100"/>
        <v>308833.8</v>
      </c>
      <c r="AA471" s="3">
        <f t="shared" si="101"/>
        <v>177302.39999999999</v>
      </c>
      <c r="AB471" s="3">
        <f t="shared" si="102"/>
        <v>143576.4</v>
      </c>
      <c r="AC471" s="3">
        <f t="shared" si="103"/>
        <v>54925.200000000004</v>
      </c>
      <c r="AD471" s="3">
        <f t="shared" si="104"/>
        <v>420129.60000000003</v>
      </c>
      <c r="AE471" s="3">
        <f t="shared" si="105"/>
        <v>167184.6</v>
      </c>
      <c r="AF471" s="3">
        <f>SUM(ecommerce_sales_all_data[[#This Row],[revenue_month_1]:[revenue_month_12]])</f>
        <v>2795885.4000000004</v>
      </c>
    </row>
    <row r="472" spans="1:32" x14ac:dyDescent="0.3">
      <c r="A472">
        <v>471</v>
      </c>
      <c r="B472" t="s">
        <v>495</v>
      </c>
      <c r="C472" t="s">
        <v>19</v>
      </c>
      <c r="D472" s="2">
        <v>11.02</v>
      </c>
      <c r="E472">
        <v>3.3</v>
      </c>
      <c r="F472">
        <v>494</v>
      </c>
      <c r="G472" s="1">
        <v>101</v>
      </c>
      <c r="H472" s="1">
        <v>250</v>
      </c>
      <c r="I472" s="1">
        <v>963</v>
      </c>
      <c r="J472" s="1">
        <v>188</v>
      </c>
      <c r="K472" s="1">
        <v>397</v>
      </c>
      <c r="L472" s="1">
        <v>608</v>
      </c>
      <c r="M472" s="1">
        <v>444</v>
      </c>
      <c r="N472" s="1">
        <v>232</v>
      </c>
      <c r="O472" s="1">
        <v>275</v>
      </c>
      <c r="P472" s="1">
        <v>794</v>
      </c>
      <c r="Q472" s="1">
        <v>490</v>
      </c>
      <c r="R472" s="1">
        <v>848</v>
      </c>
      <c r="S472" s="1">
        <f>SUM(ecommerce_sales_all_data[[#This Row],[sales_month_1]:[sales_month_12]])</f>
        <v>5590</v>
      </c>
      <c r="T472" s="3">
        <f t="shared" si="94"/>
        <v>1113.02</v>
      </c>
      <c r="U472" s="3">
        <f t="shared" si="95"/>
        <v>2755</v>
      </c>
      <c r="V472" s="3">
        <f t="shared" si="96"/>
        <v>10612.26</v>
      </c>
      <c r="W472" s="3">
        <f t="shared" si="97"/>
        <v>2071.7599999999998</v>
      </c>
      <c r="X472" s="3">
        <f t="shared" si="98"/>
        <v>4374.9399999999996</v>
      </c>
      <c r="Y472" s="3">
        <f t="shared" si="99"/>
        <v>6700.16</v>
      </c>
      <c r="Z472" s="3">
        <f t="shared" si="100"/>
        <v>4892.88</v>
      </c>
      <c r="AA472" s="3">
        <f t="shared" si="101"/>
        <v>2556.64</v>
      </c>
      <c r="AB472" s="3">
        <f t="shared" si="102"/>
        <v>3030.5</v>
      </c>
      <c r="AC472" s="3">
        <f t="shared" si="103"/>
        <v>8749.8799999999992</v>
      </c>
      <c r="AD472" s="3">
        <f t="shared" si="104"/>
        <v>5399.8</v>
      </c>
      <c r="AE472" s="3">
        <f t="shared" si="105"/>
        <v>9344.9599999999991</v>
      </c>
      <c r="AF472" s="3">
        <f>SUM(ecommerce_sales_all_data[[#This Row],[revenue_month_1]:[revenue_month_12]])</f>
        <v>61601.8</v>
      </c>
    </row>
    <row r="473" spans="1:32" x14ac:dyDescent="0.3">
      <c r="A473">
        <v>472</v>
      </c>
      <c r="B473" t="s">
        <v>496</v>
      </c>
      <c r="C473" t="s">
        <v>48</v>
      </c>
      <c r="D473" s="2">
        <v>485.09</v>
      </c>
      <c r="E473">
        <v>4</v>
      </c>
      <c r="F473">
        <v>562</v>
      </c>
      <c r="G473" s="1">
        <v>215</v>
      </c>
      <c r="H473" s="1">
        <v>764</v>
      </c>
      <c r="I473" s="1">
        <v>90</v>
      </c>
      <c r="J473" s="1">
        <v>290</v>
      </c>
      <c r="K473" s="1">
        <v>470</v>
      </c>
      <c r="L473" s="1">
        <v>445</v>
      </c>
      <c r="M473" s="1">
        <v>757</v>
      </c>
      <c r="N473" s="1">
        <v>194</v>
      </c>
      <c r="O473" s="1">
        <v>915</v>
      </c>
      <c r="P473" s="1">
        <v>548</v>
      </c>
      <c r="Q473" s="1">
        <v>618</v>
      </c>
      <c r="R473" s="1">
        <v>397</v>
      </c>
      <c r="S473" s="1">
        <f>SUM(ecommerce_sales_all_data[[#This Row],[sales_month_1]:[sales_month_12]])</f>
        <v>5703</v>
      </c>
      <c r="T473" s="3">
        <f t="shared" si="94"/>
        <v>104294.34999999999</v>
      </c>
      <c r="U473" s="3">
        <f t="shared" si="95"/>
        <v>370608.76</v>
      </c>
      <c r="V473" s="3">
        <f t="shared" si="96"/>
        <v>43658.1</v>
      </c>
      <c r="W473" s="3">
        <f t="shared" si="97"/>
        <v>140676.1</v>
      </c>
      <c r="X473" s="3">
        <f t="shared" si="98"/>
        <v>227992.3</v>
      </c>
      <c r="Y473" s="3">
        <f t="shared" si="99"/>
        <v>215865.05</v>
      </c>
      <c r="Z473" s="3">
        <f t="shared" si="100"/>
        <v>367213.13</v>
      </c>
      <c r="AA473" s="3">
        <f t="shared" si="101"/>
        <v>94107.459999999992</v>
      </c>
      <c r="AB473" s="3">
        <f t="shared" si="102"/>
        <v>443857.35</v>
      </c>
      <c r="AC473" s="3">
        <f t="shared" si="103"/>
        <v>265829.32</v>
      </c>
      <c r="AD473" s="3">
        <f t="shared" si="104"/>
        <v>299785.62</v>
      </c>
      <c r="AE473" s="3">
        <f t="shared" si="105"/>
        <v>192580.72999999998</v>
      </c>
      <c r="AF473" s="3">
        <f>SUM(ecommerce_sales_all_data[[#This Row],[revenue_month_1]:[revenue_month_12]])</f>
        <v>2766468.27</v>
      </c>
    </row>
    <row r="474" spans="1:32" x14ac:dyDescent="0.3">
      <c r="A474">
        <v>473</v>
      </c>
      <c r="B474" t="s">
        <v>497</v>
      </c>
      <c r="C474" t="s">
        <v>35</v>
      </c>
      <c r="D474" s="2">
        <v>26.36</v>
      </c>
      <c r="E474">
        <v>4.5</v>
      </c>
      <c r="F474">
        <v>469</v>
      </c>
      <c r="G474" s="1">
        <v>437</v>
      </c>
      <c r="H474" s="1">
        <v>386</v>
      </c>
      <c r="I474" s="1">
        <v>529</v>
      </c>
      <c r="J474" s="1">
        <v>519</v>
      </c>
      <c r="K474" s="1">
        <v>984</v>
      </c>
      <c r="L474" s="1">
        <v>220</v>
      </c>
      <c r="M474" s="1">
        <v>808</v>
      </c>
      <c r="N474" s="1">
        <v>906</v>
      </c>
      <c r="O474" s="1">
        <v>788</v>
      </c>
      <c r="P474" s="1">
        <v>813</v>
      </c>
      <c r="Q474" s="1">
        <v>502</v>
      </c>
      <c r="R474" s="1">
        <v>582</v>
      </c>
      <c r="S474" s="1">
        <f>SUM(ecommerce_sales_all_data[[#This Row],[sales_month_1]:[sales_month_12]])</f>
        <v>7474</v>
      </c>
      <c r="T474" s="3">
        <f t="shared" si="94"/>
        <v>11519.32</v>
      </c>
      <c r="U474" s="3">
        <f t="shared" si="95"/>
        <v>10174.959999999999</v>
      </c>
      <c r="V474" s="3">
        <f t="shared" si="96"/>
        <v>13944.44</v>
      </c>
      <c r="W474" s="3">
        <f t="shared" si="97"/>
        <v>13680.84</v>
      </c>
      <c r="X474" s="3">
        <f t="shared" si="98"/>
        <v>25938.239999999998</v>
      </c>
      <c r="Y474" s="3">
        <f t="shared" si="99"/>
        <v>5799.2</v>
      </c>
      <c r="Z474" s="3">
        <f t="shared" si="100"/>
        <v>21298.880000000001</v>
      </c>
      <c r="AA474" s="3">
        <f t="shared" si="101"/>
        <v>23882.16</v>
      </c>
      <c r="AB474" s="3">
        <f t="shared" si="102"/>
        <v>20771.68</v>
      </c>
      <c r="AC474" s="3">
        <f t="shared" si="103"/>
        <v>21430.68</v>
      </c>
      <c r="AD474" s="3">
        <f t="shared" si="104"/>
        <v>13232.72</v>
      </c>
      <c r="AE474" s="3">
        <f t="shared" si="105"/>
        <v>15341.52</v>
      </c>
      <c r="AF474" s="3">
        <f>SUM(ecommerce_sales_all_data[[#This Row],[revenue_month_1]:[revenue_month_12]])</f>
        <v>197014.63999999998</v>
      </c>
    </row>
    <row r="475" spans="1:32" x14ac:dyDescent="0.3">
      <c r="A475">
        <v>474</v>
      </c>
      <c r="B475" t="s">
        <v>498</v>
      </c>
      <c r="C475" t="s">
        <v>29</v>
      </c>
      <c r="D475" s="2">
        <v>446.12</v>
      </c>
      <c r="E475">
        <v>2.6</v>
      </c>
      <c r="F475">
        <v>767</v>
      </c>
      <c r="G475" s="1">
        <v>699</v>
      </c>
      <c r="H475" s="1">
        <v>206</v>
      </c>
      <c r="I475" s="1">
        <v>660</v>
      </c>
      <c r="J475" s="1">
        <v>764</v>
      </c>
      <c r="K475" s="1">
        <v>206</v>
      </c>
      <c r="L475" s="1">
        <v>554</v>
      </c>
      <c r="M475" s="1">
        <v>171</v>
      </c>
      <c r="N475" s="1">
        <v>11</v>
      </c>
      <c r="O475" s="1">
        <v>849</v>
      </c>
      <c r="P475" s="1">
        <v>624</v>
      </c>
      <c r="Q475" s="1">
        <v>889</v>
      </c>
      <c r="R475" s="1">
        <v>725</v>
      </c>
      <c r="S475" s="1">
        <f>SUM(ecommerce_sales_all_data[[#This Row],[sales_month_1]:[sales_month_12]])</f>
        <v>6358</v>
      </c>
      <c r="T475" s="3">
        <f t="shared" si="94"/>
        <v>311837.88</v>
      </c>
      <c r="U475" s="3">
        <f t="shared" si="95"/>
        <v>91900.72</v>
      </c>
      <c r="V475" s="3">
        <f t="shared" si="96"/>
        <v>294439.2</v>
      </c>
      <c r="W475" s="3">
        <f t="shared" si="97"/>
        <v>340835.68</v>
      </c>
      <c r="X475" s="3">
        <f t="shared" si="98"/>
        <v>91900.72</v>
      </c>
      <c r="Y475" s="3">
        <f t="shared" si="99"/>
        <v>247150.48</v>
      </c>
      <c r="Z475" s="3">
        <f t="shared" si="100"/>
        <v>76286.52</v>
      </c>
      <c r="AA475" s="3">
        <f t="shared" si="101"/>
        <v>4907.32</v>
      </c>
      <c r="AB475" s="3">
        <f t="shared" si="102"/>
        <v>378755.88</v>
      </c>
      <c r="AC475" s="3">
        <f t="shared" si="103"/>
        <v>278378.88</v>
      </c>
      <c r="AD475" s="3">
        <f t="shared" si="104"/>
        <v>396600.68</v>
      </c>
      <c r="AE475" s="3">
        <f t="shared" si="105"/>
        <v>323437</v>
      </c>
      <c r="AF475" s="3">
        <f>SUM(ecommerce_sales_all_data[[#This Row],[revenue_month_1]:[revenue_month_12]])</f>
        <v>2836430.96</v>
      </c>
    </row>
    <row r="476" spans="1:32" x14ac:dyDescent="0.3">
      <c r="A476">
        <v>475</v>
      </c>
      <c r="B476" t="s">
        <v>499</v>
      </c>
      <c r="C476" t="s">
        <v>29</v>
      </c>
      <c r="D476" s="2">
        <v>266.20999999999998</v>
      </c>
      <c r="E476">
        <v>2.2999999999999998</v>
      </c>
      <c r="F476">
        <v>661</v>
      </c>
      <c r="G476" s="1">
        <v>568</v>
      </c>
      <c r="H476" s="1">
        <v>540</v>
      </c>
      <c r="I476" s="1">
        <v>987</v>
      </c>
      <c r="J476" s="1">
        <v>919</v>
      </c>
      <c r="K476" s="1">
        <v>109</v>
      </c>
      <c r="L476" s="1">
        <v>944</v>
      </c>
      <c r="M476" s="1">
        <v>575</v>
      </c>
      <c r="N476" s="1">
        <v>905</v>
      </c>
      <c r="O476" s="1">
        <v>824</v>
      </c>
      <c r="P476" s="1">
        <v>546</v>
      </c>
      <c r="Q476" s="1">
        <v>734</v>
      </c>
      <c r="R476" s="1">
        <v>434</v>
      </c>
      <c r="S476" s="1">
        <f>SUM(ecommerce_sales_all_data[[#This Row],[sales_month_1]:[sales_month_12]])</f>
        <v>8085</v>
      </c>
      <c r="T476" s="3">
        <f t="shared" si="94"/>
        <v>151207.28</v>
      </c>
      <c r="U476" s="3">
        <f t="shared" si="95"/>
        <v>143753.4</v>
      </c>
      <c r="V476" s="3">
        <f t="shared" si="96"/>
        <v>262749.26999999996</v>
      </c>
      <c r="W476" s="3">
        <f t="shared" si="97"/>
        <v>244646.99</v>
      </c>
      <c r="X476" s="3">
        <f t="shared" si="98"/>
        <v>29016.89</v>
      </c>
      <c r="Y476" s="3">
        <f t="shared" si="99"/>
        <v>251302.24</v>
      </c>
      <c r="Z476" s="3">
        <f t="shared" si="100"/>
        <v>153070.75</v>
      </c>
      <c r="AA476" s="3">
        <f t="shared" si="101"/>
        <v>240920.05</v>
      </c>
      <c r="AB476" s="3">
        <f t="shared" si="102"/>
        <v>219357.03999999998</v>
      </c>
      <c r="AC476" s="3">
        <f t="shared" si="103"/>
        <v>145350.65999999997</v>
      </c>
      <c r="AD476" s="3">
        <f t="shared" si="104"/>
        <v>195398.13999999998</v>
      </c>
      <c r="AE476" s="3">
        <f t="shared" si="105"/>
        <v>115535.13999999998</v>
      </c>
      <c r="AF476" s="3">
        <f>SUM(ecommerce_sales_all_data[[#This Row],[revenue_month_1]:[revenue_month_12]])</f>
        <v>2152307.8499999996</v>
      </c>
    </row>
    <row r="477" spans="1:32" x14ac:dyDescent="0.3">
      <c r="A477">
        <v>476</v>
      </c>
      <c r="B477" t="s">
        <v>500</v>
      </c>
      <c r="C477" t="s">
        <v>23</v>
      </c>
      <c r="D477" s="2">
        <v>496.52</v>
      </c>
      <c r="E477">
        <v>3.7</v>
      </c>
      <c r="F477">
        <v>325</v>
      </c>
      <c r="G477" s="1">
        <v>558</v>
      </c>
      <c r="H477" s="1">
        <v>628</v>
      </c>
      <c r="I477" s="1">
        <v>738</v>
      </c>
      <c r="J477" s="1">
        <v>978</v>
      </c>
      <c r="K477" s="1">
        <v>439</v>
      </c>
      <c r="L477" s="1">
        <v>803</v>
      </c>
      <c r="M477" s="1">
        <v>30</v>
      </c>
      <c r="N477" s="1">
        <v>920</v>
      </c>
      <c r="O477" s="1">
        <v>177</v>
      </c>
      <c r="P477" s="1">
        <v>643</v>
      </c>
      <c r="Q477" s="1">
        <v>591</v>
      </c>
      <c r="R477" s="1">
        <v>576</v>
      </c>
      <c r="S477" s="1">
        <f>SUM(ecommerce_sales_all_data[[#This Row],[sales_month_1]:[sales_month_12]])</f>
        <v>7081</v>
      </c>
      <c r="T477" s="3">
        <f t="shared" si="94"/>
        <v>277058.15999999997</v>
      </c>
      <c r="U477" s="3">
        <f t="shared" si="95"/>
        <v>311814.56</v>
      </c>
      <c r="V477" s="3">
        <f t="shared" si="96"/>
        <v>366431.76</v>
      </c>
      <c r="W477" s="3">
        <f t="shared" si="97"/>
        <v>485596.56</v>
      </c>
      <c r="X477" s="3">
        <f t="shared" si="98"/>
        <v>217972.28</v>
      </c>
      <c r="Y477" s="3">
        <f t="shared" si="99"/>
        <v>398705.56</v>
      </c>
      <c r="Z477" s="3">
        <f t="shared" si="100"/>
        <v>14895.599999999999</v>
      </c>
      <c r="AA477" s="3">
        <f t="shared" si="101"/>
        <v>456798.39999999997</v>
      </c>
      <c r="AB477" s="3">
        <f t="shared" si="102"/>
        <v>87884.04</v>
      </c>
      <c r="AC477" s="3">
        <f t="shared" si="103"/>
        <v>319262.36</v>
      </c>
      <c r="AD477" s="3">
        <f t="shared" si="104"/>
        <v>293443.32</v>
      </c>
      <c r="AE477" s="3">
        <f t="shared" si="105"/>
        <v>285995.52000000002</v>
      </c>
      <c r="AF477" s="3">
        <f>SUM(ecommerce_sales_all_data[[#This Row],[revenue_month_1]:[revenue_month_12]])</f>
        <v>3515858.12</v>
      </c>
    </row>
    <row r="478" spans="1:32" x14ac:dyDescent="0.3">
      <c r="A478">
        <v>477</v>
      </c>
      <c r="B478" t="s">
        <v>501</v>
      </c>
      <c r="C478" t="s">
        <v>26</v>
      </c>
      <c r="D478" s="2">
        <v>41.53</v>
      </c>
      <c r="E478">
        <v>4.2</v>
      </c>
      <c r="F478">
        <v>304</v>
      </c>
      <c r="G478" s="1">
        <v>158</v>
      </c>
      <c r="H478" s="1">
        <v>415</v>
      </c>
      <c r="I478" s="1">
        <v>725</v>
      </c>
      <c r="J478" s="1">
        <v>291</v>
      </c>
      <c r="K478" s="1">
        <v>277</v>
      </c>
      <c r="L478" s="1">
        <v>377</v>
      </c>
      <c r="M478" s="1">
        <v>46</v>
      </c>
      <c r="N478" s="1">
        <v>688</v>
      </c>
      <c r="O478" s="1">
        <v>841</v>
      </c>
      <c r="P478" s="1">
        <v>335</v>
      </c>
      <c r="Q478" s="1">
        <v>745</v>
      </c>
      <c r="R478" s="1">
        <v>220</v>
      </c>
      <c r="S478" s="1">
        <f>SUM(ecommerce_sales_all_data[[#This Row],[sales_month_1]:[sales_month_12]])</f>
        <v>5118</v>
      </c>
      <c r="T478" s="3">
        <f t="shared" si="94"/>
        <v>6561.74</v>
      </c>
      <c r="U478" s="3">
        <f t="shared" si="95"/>
        <v>17234.95</v>
      </c>
      <c r="V478" s="3">
        <f t="shared" si="96"/>
        <v>30109.25</v>
      </c>
      <c r="W478" s="3">
        <f t="shared" si="97"/>
        <v>12085.23</v>
      </c>
      <c r="X478" s="3">
        <f t="shared" si="98"/>
        <v>11503.81</v>
      </c>
      <c r="Y478" s="3">
        <f t="shared" si="99"/>
        <v>15656.810000000001</v>
      </c>
      <c r="Z478" s="3">
        <f t="shared" si="100"/>
        <v>1910.38</v>
      </c>
      <c r="AA478" s="3">
        <f t="shared" si="101"/>
        <v>28572.639999999999</v>
      </c>
      <c r="AB478" s="3">
        <f t="shared" si="102"/>
        <v>34926.730000000003</v>
      </c>
      <c r="AC478" s="3">
        <f t="shared" si="103"/>
        <v>13912.550000000001</v>
      </c>
      <c r="AD478" s="3">
        <f t="shared" si="104"/>
        <v>30939.850000000002</v>
      </c>
      <c r="AE478" s="3">
        <f t="shared" si="105"/>
        <v>9136.6</v>
      </c>
      <c r="AF478" s="3">
        <f>SUM(ecommerce_sales_all_data[[#This Row],[revenue_month_1]:[revenue_month_12]])</f>
        <v>212550.54</v>
      </c>
    </row>
    <row r="479" spans="1:32" x14ac:dyDescent="0.3">
      <c r="A479">
        <v>478</v>
      </c>
      <c r="B479" t="s">
        <v>502</v>
      </c>
      <c r="C479" t="s">
        <v>29</v>
      </c>
      <c r="D479" s="2">
        <v>279.16000000000003</v>
      </c>
      <c r="E479">
        <v>4</v>
      </c>
      <c r="F479">
        <v>276</v>
      </c>
      <c r="G479" s="1">
        <v>488</v>
      </c>
      <c r="H479" s="1">
        <v>793</v>
      </c>
      <c r="I479" s="1">
        <v>871</v>
      </c>
      <c r="J479" s="1">
        <v>945</v>
      </c>
      <c r="K479" s="1">
        <v>962</v>
      </c>
      <c r="L479" s="1">
        <v>619</v>
      </c>
      <c r="M479" s="1">
        <v>129</v>
      </c>
      <c r="N479" s="1">
        <v>176</v>
      </c>
      <c r="O479" s="1">
        <v>353</v>
      </c>
      <c r="P479" s="1">
        <v>335</v>
      </c>
      <c r="Q479" s="1">
        <v>380</v>
      </c>
      <c r="R479" s="1">
        <v>307</v>
      </c>
      <c r="S479" s="1">
        <f>SUM(ecommerce_sales_all_data[[#This Row],[sales_month_1]:[sales_month_12]])</f>
        <v>6358</v>
      </c>
      <c r="T479" s="3">
        <f t="shared" si="94"/>
        <v>136230.08000000002</v>
      </c>
      <c r="U479" s="3">
        <f t="shared" si="95"/>
        <v>221373.88000000003</v>
      </c>
      <c r="V479" s="3">
        <f t="shared" si="96"/>
        <v>243148.36000000002</v>
      </c>
      <c r="W479" s="3">
        <f t="shared" si="97"/>
        <v>263806.2</v>
      </c>
      <c r="X479" s="3">
        <f t="shared" si="98"/>
        <v>268551.92000000004</v>
      </c>
      <c r="Y479" s="3">
        <f t="shared" si="99"/>
        <v>172800.04</v>
      </c>
      <c r="Z479" s="3">
        <f t="shared" si="100"/>
        <v>36011.640000000007</v>
      </c>
      <c r="AA479" s="3">
        <f t="shared" si="101"/>
        <v>49132.160000000003</v>
      </c>
      <c r="AB479" s="3">
        <f t="shared" si="102"/>
        <v>98543.48000000001</v>
      </c>
      <c r="AC479" s="3">
        <f t="shared" si="103"/>
        <v>93518.6</v>
      </c>
      <c r="AD479" s="3">
        <f t="shared" si="104"/>
        <v>106080.8</v>
      </c>
      <c r="AE479" s="3">
        <f t="shared" si="105"/>
        <v>85702.12000000001</v>
      </c>
      <c r="AF479" s="3">
        <f>SUM(ecommerce_sales_all_data[[#This Row],[revenue_month_1]:[revenue_month_12]])</f>
        <v>1774899.28</v>
      </c>
    </row>
    <row r="480" spans="1:32" x14ac:dyDescent="0.3">
      <c r="A480">
        <v>479</v>
      </c>
      <c r="B480" t="s">
        <v>503</v>
      </c>
      <c r="C480" t="s">
        <v>23</v>
      </c>
      <c r="D480" s="2">
        <v>484.8</v>
      </c>
      <c r="E480">
        <v>4.2</v>
      </c>
      <c r="F480">
        <v>869</v>
      </c>
      <c r="G480" s="1">
        <v>685</v>
      </c>
      <c r="H480" s="1">
        <v>379</v>
      </c>
      <c r="I480" s="1">
        <v>662</v>
      </c>
      <c r="J480" s="1">
        <v>755</v>
      </c>
      <c r="K480" s="1">
        <v>567</v>
      </c>
      <c r="L480" s="1">
        <v>265</v>
      </c>
      <c r="M480" s="1">
        <v>351</v>
      </c>
      <c r="N480" s="1">
        <v>216</v>
      </c>
      <c r="O480" s="1">
        <v>153</v>
      </c>
      <c r="P480" s="1">
        <v>980</v>
      </c>
      <c r="Q480" s="1">
        <v>695</v>
      </c>
      <c r="R480" s="1">
        <v>990</v>
      </c>
      <c r="S480" s="1">
        <f>SUM(ecommerce_sales_all_data[[#This Row],[sales_month_1]:[sales_month_12]])</f>
        <v>6698</v>
      </c>
      <c r="T480" s="3">
        <f t="shared" si="94"/>
        <v>332088</v>
      </c>
      <c r="U480" s="3">
        <f t="shared" si="95"/>
        <v>183739.2</v>
      </c>
      <c r="V480" s="3">
        <f t="shared" si="96"/>
        <v>320937.60000000003</v>
      </c>
      <c r="W480" s="3">
        <f t="shared" si="97"/>
        <v>366024</v>
      </c>
      <c r="X480" s="3">
        <f t="shared" si="98"/>
        <v>274881.60000000003</v>
      </c>
      <c r="Y480" s="3">
        <f t="shared" si="99"/>
        <v>128472</v>
      </c>
      <c r="Z480" s="3">
        <f t="shared" si="100"/>
        <v>170164.80000000002</v>
      </c>
      <c r="AA480" s="3">
        <f t="shared" si="101"/>
        <v>104716.8</v>
      </c>
      <c r="AB480" s="3">
        <f t="shared" si="102"/>
        <v>74174.400000000009</v>
      </c>
      <c r="AC480" s="3">
        <f t="shared" si="103"/>
        <v>475104</v>
      </c>
      <c r="AD480" s="3">
        <f t="shared" si="104"/>
        <v>336936</v>
      </c>
      <c r="AE480" s="3">
        <f t="shared" si="105"/>
        <v>479952</v>
      </c>
      <c r="AF480" s="3">
        <f>SUM(ecommerce_sales_all_data[[#This Row],[revenue_month_1]:[revenue_month_12]])</f>
        <v>3247190.4000000004</v>
      </c>
    </row>
    <row r="481" spans="1:32" x14ac:dyDescent="0.3">
      <c r="A481">
        <v>480</v>
      </c>
      <c r="B481" t="s">
        <v>504</v>
      </c>
      <c r="C481" t="s">
        <v>21</v>
      </c>
      <c r="D481" s="2">
        <v>263.93</v>
      </c>
      <c r="E481">
        <v>2.7</v>
      </c>
      <c r="F481">
        <v>963</v>
      </c>
      <c r="G481" s="1">
        <v>241</v>
      </c>
      <c r="H481" s="1">
        <v>143</v>
      </c>
      <c r="I481" s="1">
        <v>191</v>
      </c>
      <c r="J481" s="1">
        <v>634</v>
      </c>
      <c r="K481" s="1">
        <v>886</v>
      </c>
      <c r="L481" s="1">
        <v>94</v>
      </c>
      <c r="M481" s="1">
        <v>977</v>
      </c>
      <c r="N481" s="1">
        <v>10</v>
      </c>
      <c r="O481" s="1">
        <v>925</v>
      </c>
      <c r="P481" s="1">
        <v>921</v>
      </c>
      <c r="Q481" s="1">
        <v>427</v>
      </c>
      <c r="R481" s="1">
        <v>797</v>
      </c>
      <c r="S481" s="1">
        <f>SUM(ecommerce_sales_all_data[[#This Row],[sales_month_1]:[sales_month_12]])</f>
        <v>6246</v>
      </c>
      <c r="T481" s="3">
        <f t="shared" si="94"/>
        <v>63607.130000000005</v>
      </c>
      <c r="U481" s="3">
        <f t="shared" si="95"/>
        <v>37741.99</v>
      </c>
      <c r="V481" s="3">
        <f t="shared" si="96"/>
        <v>50410.630000000005</v>
      </c>
      <c r="W481" s="3">
        <f t="shared" si="97"/>
        <v>167331.62</v>
      </c>
      <c r="X481" s="3">
        <f t="shared" si="98"/>
        <v>233841.98</v>
      </c>
      <c r="Y481" s="3">
        <f t="shared" si="99"/>
        <v>24809.420000000002</v>
      </c>
      <c r="Z481" s="3">
        <f t="shared" si="100"/>
        <v>257859.61000000002</v>
      </c>
      <c r="AA481" s="3">
        <f t="shared" si="101"/>
        <v>2639.3</v>
      </c>
      <c r="AB481" s="3">
        <f t="shared" si="102"/>
        <v>244135.25</v>
      </c>
      <c r="AC481" s="3">
        <f t="shared" si="103"/>
        <v>243079.53</v>
      </c>
      <c r="AD481" s="3">
        <f t="shared" si="104"/>
        <v>112698.11</v>
      </c>
      <c r="AE481" s="3">
        <f t="shared" si="105"/>
        <v>210352.21</v>
      </c>
      <c r="AF481" s="3">
        <f>SUM(ecommerce_sales_all_data[[#This Row],[revenue_month_1]:[revenue_month_12]])</f>
        <v>1648506.7800000003</v>
      </c>
    </row>
    <row r="482" spans="1:32" x14ac:dyDescent="0.3">
      <c r="A482">
        <v>481</v>
      </c>
      <c r="B482" t="s">
        <v>505</v>
      </c>
      <c r="C482" t="s">
        <v>26</v>
      </c>
      <c r="D482" s="2">
        <v>316.55</v>
      </c>
      <c r="E482">
        <v>4.3</v>
      </c>
      <c r="F482">
        <v>684</v>
      </c>
      <c r="G482" s="1">
        <v>793</v>
      </c>
      <c r="H482" s="1">
        <v>24</v>
      </c>
      <c r="I482" s="1">
        <v>962</v>
      </c>
      <c r="J482" s="1">
        <v>810</v>
      </c>
      <c r="K482" s="1">
        <v>914</v>
      </c>
      <c r="L482" s="1">
        <v>261</v>
      </c>
      <c r="M482" s="1">
        <v>844</v>
      </c>
      <c r="N482" s="1">
        <v>445</v>
      </c>
      <c r="O482" s="1">
        <v>200</v>
      </c>
      <c r="P482" s="1">
        <v>888</v>
      </c>
      <c r="Q482" s="1">
        <v>696</v>
      </c>
      <c r="R482" s="1">
        <v>696</v>
      </c>
      <c r="S482" s="1">
        <f>SUM(ecommerce_sales_all_data[[#This Row],[sales_month_1]:[sales_month_12]])</f>
        <v>7533</v>
      </c>
      <c r="T482" s="3">
        <f t="shared" si="94"/>
        <v>251024.15000000002</v>
      </c>
      <c r="U482" s="3">
        <f t="shared" si="95"/>
        <v>7597.2000000000007</v>
      </c>
      <c r="V482" s="3">
        <f t="shared" si="96"/>
        <v>304521.10000000003</v>
      </c>
      <c r="W482" s="3">
        <f t="shared" si="97"/>
        <v>256405.5</v>
      </c>
      <c r="X482" s="3">
        <f t="shared" si="98"/>
        <v>289326.7</v>
      </c>
      <c r="Y482" s="3">
        <f t="shared" si="99"/>
        <v>82619.55</v>
      </c>
      <c r="Z482" s="3">
        <f t="shared" si="100"/>
        <v>267168.2</v>
      </c>
      <c r="AA482" s="3">
        <f t="shared" si="101"/>
        <v>140864.75</v>
      </c>
      <c r="AB482" s="3">
        <f t="shared" si="102"/>
        <v>63310</v>
      </c>
      <c r="AC482" s="3">
        <f t="shared" si="103"/>
        <v>281096.40000000002</v>
      </c>
      <c r="AD482" s="3">
        <f t="shared" si="104"/>
        <v>220318.80000000002</v>
      </c>
      <c r="AE482" s="3">
        <f t="shared" si="105"/>
        <v>220318.80000000002</v>
      </c>
      <c r="AF482" s="3">
        <f>SUM(ecommerce_sales_all_data[[#This Row],[revenue_month_1]:[revenue_month_12]])</f>
        <v>2384571.15</v>
      </c>
    </row>
    <row r="483" spans="1:32" x14ac:dyDescent="0.3">
      <c r="A483">
        <v>482</v>
      </c>
      <c r="B483" t="s">
        <v>506</v>
      </c>
      <c r="C483" t="s">
        <v>29</v>
      </c>
      <c r="D483" s="2">
        <v>349.4</v>
      </c>
      <c r="E483">
        <v>1.5</v>
      </c>
      <c r="F483">
        <v>929</v>
      </c>
      <c r="G483" s="1">
        <v>752</v>
      </c>
      <c r="H483" s="1">
        <v>821</v>
      </c>
      <c r="I483" s="1">
        <v>551</v>
      </c>
      <c r="J483" s="1">
        <v>282</v>
      </c>
      <c r="K483" s="1">
        <v>568</v>
      </c>
      <c r="L483" s="1">
        <v>824</v>
      </c>
      <c r="M483" s="1">
        <v>621</v>
      </c>
      <c r="N483" s="1">
        <v>629</v>
      </c>
      <c r="O483" s="1">
        <v>877</v>
      </c>
      <c r="P483" s="1">
        <v>739</v>
      </c>
      <c r="Q483" s="1">
        <v>645</v>
      </c>
      <c r="R483" s="1">
        <v>718</v>
      </c>
      <c r="S483" s="1">
        <f>SUM(ecommerce_sales_all_data[[#This Row],[sales_month_1]:[sales_month_12]])</f>
        <v>8027</v>
      </c>
      <c r="T483" s="3">
        <f t="shared" si="94"/>
        <v>262748.79999999999</v>
      </c>
      <c r="U483" s="3">
        <f t="shared" si="95"/>
        <v>286857.39999999997</v>
      </c>
      <c r="V483" s="3">
        <f t="shared" si="96"/>
        <v>192519.4</v>
      </c>
      <c r="W483" s="3">
        <f t="shared" si="97"/>
        <v>98530.799999999988</v>
      </c>
      <c r="X483" s="3">
        <f t="shared" si="98"/>
        <v>198459.19999999998</v>
      </c>
      <c r="Y483" s="3">
        <f t="shared" si="99"/>
        <v>287905.59999999998</v>
      </c>
      <c r="Z483" s="3">
        <f t="shared" si="100"/>
        <v>216977.4</v>
      </c>
      <c r="AA483" s="3">
        <f t="shared" si="101"/>
        <v>219772.59999999998</v>
      </c>
      <c r="AB483" s="3">
        <f t="shared" si="102"/>
        <v>306423.8</v>
      </c>
      <c r="AC483" s="3">
        <f t="shared" si="103"/>
        <v>258206.59999999998</v>
      </c>
      <c r="AD483" s="3">
        <f t="shared" si="104"/>
        <v>225362.99999999997</v>
      </c>
      <c r="AE483" s="3">
        <f t="shared" si="105"/>
        <v>250869.19999999998</v>
      </c>
      <c r="AF483" s="3">
        <f>SUM(ecommerce_sales_all_data[[#This Row],[revenue_month_1]:[revenue_month_12]])</f>
        <v>2804633.8</v>
      </c>
    </row>
    <row r="484" spans="1:32" x14ac:dyDescent="0.3">
      <c r="A484">
        <v>483</v>
      </c>
      <c r="B484" t="s">
        <v>507</v>
      </c>
      <c r="C484" t="s">
        <v>35</v>
      </c>
      <c r="D484" s="2">
        <v>230</v>
      </c>
      <c r="E484">
        <v>3.2</v>
      </c>
      <c r="F484">
        <v>201</v>
      </c>
      <c r="G484" s="1">
        <v>881</v>
      </c>
      <c r="H484" s="1">
        <v>667</v>
      </c>
      <c r="I484" s="1">
        <v>241</v>
      </c>
      <c r="J484" s="1">
        <v>543</v>
      </c>
      <c r="K484" s="1">
        <v>939</v>
      </c>
      <c r="L484" s="1">
        <v>896</v>
      </c>
      <c r="M484" s="1">
        <v>580</v>
      </c>
      <c r="N484" s="1">
        <v>163</v>
      </c>
      <c r="O484" s="1">
        <v>114</v>
      </c>
      <c r="P484" s="1">
        <v>146</v>
      </c>
      <c r="Q484" s="1">
        <v>731</v>
      </c>
      <c r="R484" s="1">
        <v>465</v>
      </c>
      <c r="S484" s="1">
        <f>SUM(ecommerce_sales_all_data[[#This Row],[sales_month_1]:[sales_month_12]])</f>
        <v>6366</v>
      </c>
      <c r="T484" s="3">
        <f t="shared" si="94"/>
        <v>202630</v>
      </c>
      <c r="U484" s="3">
        <f t="shared" si="95"/>
        <v>153410</v>
      </c>
      <c r="V484" s="3">
        <f t="shared" si="96"/>
        <v>55430</v>
      </c>
      <c r="W484" s="3">
        <f t="shared" si="97"/>
        <v>124890</v>
      </c>
      <c r="X484" s="3">
        <f t="shared" si="98"/>
        <v>215970</v>
      </c>
      <c r="Y484" s="3">
        <f t="shared" si="99"/>
        <v>206080</v>
      </c>
      <c r="Z484" s="3">
        <f t="shared" si="100"/>
        <v>133400</v>
      </c>
      <c r="AA484" s="3">
        <f t="shared" si="101"/>
        <v>37490</v>
      </c>
      <c r="AB484" s="3">
        <f t="shared" si="102"/>
        <v>26220</v>
      </c>
      <c r="AC484" s="3">
        <f t="shared" si="103"/>
        <v>33580</v>
      </c>
      <c r="AD484" s="3">
        <f t="shared" si="104"/>
        <v>168130</v>
      </c>
      <c r="AE484" s="3">
        <f t="shared" si="105"/>
        <v>106950</v>
      </c>
      <c r="AF484" s="3">
        <f>SUM(ecommerce_sales_all_data[[#This Row],[revenue_month_1]:[revenue_month_12]])</f>
        <v>1464180</v>
      </c>
    </row>
    <row r="485" spans="1:32" x14ac:dyDescent="0.3">
      <c r="A485">
        <v>484</v>
      </c>
      <c r="B485" t="s">
        <v>508</v>
      </c>
      <c r="C485" t="s">
        <v>21</v>
      </c>
      <c r="D485" s="2">
        <v>315.64</v>
      </c>
      <c r="E485">
        <v>1</v>
      </c>
      <c r="F485">
        <v>445</v>
      </c>
      <c r="G485" s="1">
        <v>4</v>
      </c>
      <c r="H485" s="1">
        <v>72</v>
      </c>
      <c r="I485" s="1">
        <v>137</v>
      </c>
      <c r="J485" s="1">
        <v>845</v>
      </c>
      <c r="K485" s="1">
        <v>481</v>
      </c>
      <c r="L485" s="1">
        <v>70</v>
      </c>
      <c r="M485" s="1">
        <v>57</v>
      </c>
      <c r="N485" s="1">
        <v>550</v>
      </c>
      <c r="O485" s="1">
        <v>670</v>
      </c>
      <c r="P485" s="1">
        <v>121</v>
      </c>
      <c r="Q485" s="1">
        <v>799</v>
      </c>
      <c r="R485" s="1">
        <v>98</v>
      </c>
      <c r="S485" s="1">
        <f>SUM(ecommerce_sales_all_data[[#This Row],[sales_month_1]:[sales_month_12]])</f>
        <v>3904</v>
      </c>
      <c r="T485" s="3">
        <f t="shared" si="94"/>
        <v>1262.56</v>
      </c>
      <c r="U485" s="3">
        <f t="shared" si="95"/>
        <v>22726.079999999998</v>
      </c>
      <c r="V485" s="3">
        <f t="shared" si="96"/>
        <v>43242.68</v>
      </c>
      <c r="W485" s="3">
        <f t="shared" si="97"/>
        <v>266715.8</v>
      </c>
      <c r="X485" s="3">
        <f t="shared" si="98"/>
        <v>151822.84</v>
      </c>
      <c r="Y485" s="3">
        <f t="shared" si="99"/>
        <v>22094.799999999999</v>
      </c>
      <c r="Z485" s="3">
        <f t="shared" si="100"/>
        <v>17991.48</v>
      </c>
      <c r="AA485" s="3">
        <f t="shared" si="101"/>
        <v>173602</v>
      </c>
      <c r="AB485" s="3">
        <f t="shared" si="102"/>
        <v>211478.8</v>
      </c>
      <c r="AC485" s="3">
        <f t="shared" si="103"/>
        <v>38192.439999999995</v>
      </c>
      <c r="AD485" s="3">
        <f t="shared" si="104"/>
        <v>252196.36</v>
      </c>
      <c r="AE485" s="3">
        <f t="shared" si="105"/>
        <v>30932.719999999998</v>
      </c>
      <c r="AF485" s="3">
        <f>SUM(ecommerce_sales_all_data[[#This Row],[revenue_month_1]:[revenue_month_12]])</f>
        <v>1232258.5599999998</v>
      </c>
    </row>
    <row r="486" spans="1:32" x14ac:dyDescent="0.3">
      <c r="A486">
        <v>485</v>
      </c>
      <c r="B486" t="s">
        <v>509</v>
      </c>
      <c r="C486" t="s">
        <v>23</v>
      </c>
      <c r="D486" s="2">
        <v>294.24</v>
      </c>
      <c r="E486">
        <v>2.2999999999999998</v>
      </c>
      <c r="F486">
        <v>905</v>
      </c>
      <c r="G486" s="1">
        <v>595</v>
      </c>
      <c r="H486" s="1">
        <v>631</v>
      </c>
      <c r="I486" s="1">
        <v>344</v>
      </c>
      <c r="J486" s="1">
        <v>376</v>
      </c>
      <c r="K486" s="1">
        <v>802</v>
      </c>
      <c r="L486" s="1">
        <v>953</v>
      </c>
      <c r="M486" s="1">
        <v>105</v>
      </c>
      <c r="N486" s="1">
        <v>52</v>
      </c>
      <c r="O486" s="1">
        <v>553</v>
      </c>
      <c r="P486" s="1">
        <v>80</v>
      </c>
      <c r="Q486" s="1">
        <v>363</v>
      </c>
      <c r="R486" s="1">
        <v>241</v>
      </c>
      <c r="S486" s="1">
        <f>SUM(ecommerce_sales_all_data[[#This Row],[sales_month_1]:[sales_month_12]])</f>
        <v>5095</v>
      </c>
      <c r="T486" s="3">
        <f t="shared" si="94"/>
        <v>175072.80000000002</v>
      </c>
      <c r="U486" s="3">
        <f t="shared" si="95"/>
        <v>185665.44</v>
      </c>
      <c r="V486" s="3">
        <f t="shared" si="96"/>
        <v>101218.56</v>
      </c>
      <c r="W486" s="3">
        <f t="shared" si="97"/>
        <v>110634.24000000001</v>
      </c>
      <c r="X486" s="3">
        <f t="shared" si="98"/>
        <v>235980.48</v>
      </c>
      <c r="Y486" s="3">
        <f t="shared" si="99"/>
        <v>280410.72000000003</v>
      </c>
      <c r="Z486" s="3">
        <f t="shared" si="100"/>
        <v>30895.200000000001</v>
      </c>
      <c r="AA486" s="3">
        <f t="shared" si="101"/>
        <v>15300.48</v>
      </c>
      <c r="AB486" s="3">
        <f t="shared" si="102"/>
        <v>162714.72</v>
      </c>
      <c r="AC486" s="3">
        <f t="shared" si="103"/>
        <v>23539.200000000001</v>
      </c>
      <c r="AD486" s="3">
        <f t="shared" si="104"/>
        <v>106809.12000000001</v>
      </c>
      <c r="AE486" s="3">
        <f t="shared" si="105"/>
        <v>70911.839999999997</v>
      </c>
      <c r="AF486" s="3">
        <f>SUM(ecommerce_sales_all_data[[#This Row],[revenue_month_1]:[revenue_month_12]])</f>
        <v>1499152.8</v>
      </c>
    </row>
    <row r="487" spans="1:32" x14ac:dyDescent="0.3">
      <c r="A487">
        <v>486</v>
      </c>
      <c r="B487" t="s">
        <v>510</v>
      </c>
      <c r="C487" t="s">
        <v>29</v>
      </c>
      <c r="D487" s="2">
        <v>451.07</v>
      </c>
      <c r="E487">
        <v>2.5</v>
      </c>
      <c r="F487">
        <v>324</v>
      </c>
      <c r="G487" s="1">
        <v>819</v>
      </c>
      <c r="H487" s="1">
        <v>823</v>
      </c>
      <c r="I487" s="1">
        <v>179</v>
      </c>
      <c r="J487" s="1">
        <v>657</v>
      </c>
      <c r="K487" s="1">
        <v>113</v>
      </c>
      <c r="L487" s="1">
        <v>218</v>
      </c>
      <c r="M487" s="1">
        <v>811</v>
      </c>
      <c r="N487" s="1">
        <v>217</v>
      </c>
      <c r="O487" s="1">
        <v>758</v>
      </c>
      <c r="P487" s="1">
        <v>684</v>
      </c>
      <c r="Q487" s="1">
        <v>201</v>
      </c>
      <c r="R487" s="1">
        <v>157</v>
      </c>
      <c r="S487" s="1">
        <f>SUM(ecommerce_sales_all_data[[#This Row],[sales_month_1]:[sales_month_12]])</f>
        <v>5637</v>
      </c>
      <c r="T487" s="3">
        <f t="shared" si="94"/>
        <v>369426.33</v>
      </c>
      <c r="U487" s="3">
        <f t="shared" si="95"/>
        <v>371230.61</v>
      </c>
      <c r="V487" s="3">
        <f t="shared" si="96"/>
        <v>80741.53</v>
      </c>
      <c r="W487" s="3">
        <f t="shared" si="97"/>
        <v>296352.99</v>
      </c>
      <c r="X487" s="3">
        <f t="shared" si="98"/>
        <v>50970.909999999996</v>
      </c>
      <c r="Y487" s="3">
        <f t="shared" si="99"/>
        <v>98333.26</v>
      </c>
      <c r="Z487" s="3">
        <f t="shared" si="100"/>
        <v>365817.77</v>
      </c>
      <c r="AA487" s="3">
        <f t="shared" si="101"/>
        <v>97882.19</v>
      </c>
      <c r="AB487" s="3">
        <f t="shared" si="102"/>
        <v>341911.06</v>
      </c>
      <c r="AC487" s="3">
        <f t="shared" si="103"/>
        <v>308531.88</v>
      </c>
      <c r="AD487" s="3">
        <f t="shared" si="104"/>
        <v>90665.069999999992</v>
      </c>
      <c r="AE487" s="3">
        <f t="shared" si="105"/>
        <v>70817.990000000005</v>
      </c>
      <c r="AF487" s="3">
        <f>SUM(ecommerce_sales_all_data[[#This Row],[revenue_month_1]:[revenue_month_12]])</f>
        <v>2542681.59</v>
      </c>
    </row>
    <row r="488" spans="1:32" x14ac:dyDescent="0.3">
      <c r="A488">
        <v>487</v>
      </c>
      <c r="B488" t="s">
        <v>511</v>
      </c>
      <c r="C488" t="s">
        <v>29</v>
      </c>
      <c r="D488" s="2">
        <v>27.5</v>
      </c>
      <c r="E488">
        <v>2.6</v>
      </c>
      <c r="F488">
        <v>35</v>
      </c>
      <c r="G488" s="1">
        <v>360</v>
      </c>
      <c r="H488" s="1">
        <v>832</v>
      </c>
      <c r="I488" s="1">
        <v>711</v>
      </c>
      <c r="J488" s="1">
        <v>155</v>
      </c>
      <c r="K488" s="1">
        <v>892</v>
      </c>
      <c r="L488" s="1">
        <v>532</v>
      </c>
      <c r="M488" s="1">
        <v>329</v>
      </c>
      <c r="N488" s="1">
        <v>717</v>
      </c>
      <c r="O488" s="1">
        <v>67</v>
      </c>
      <c r="P488" s="1">
        <v>665</v>
      </c>
      <c r="Q488" s="1">
        <v>881</v>
      </c>
      <c r="R488" s="1">
        <v>609</v>
      </c>
      <c r="S488" s="1">
        <f>SUM(ecommerce_sales_all_data[[#This Row],[sales_month_1]:[sales_month_12]])</f>
        <v>6750</v>
      </c>
      <c r="T488" s="3">
        <f t="shared" si="94"/>
        <v>9900</v>
      </c>
      <c r="U488" s="3">
        <f t="shared" si="95"/>
        <v>22880</v>
      </c>
      <c r="V488" s="3">
        <f t="shared" si="96"/>
        <v>19552.5</v>
      </c>
      <c r="W488" s="3">
        <f t="shared" si="97"/>
        <v>4262.5</v>
      </c>
      <c r="X488" s="3">
        <f t="shared" si="98"/>
        <v>24530</v>
      </c>
      <c r="Y488" s="3">
        <f t="shared" si="99"/>
        <v>14630</v>
      </c>
      <c r="Z488" s="3">
        <f t="shared" si="100"/>
        <v>9047.5</v>
      </c>
      <c r="AA488" s="3">
        <f t="shared" si="101"/>
        <v>19717.5</v>
      </c>
      <c r="AB488" s="3">
        <f t="shared" si="102"/>
        <v>1842.5</v>
      </c>
      <c r="AC488" s="3">
        <f t="shared" si="103"/>
        <v>18287.5</v>
      </c>
      <c r="AD488" s="3">
        <f t="shared" si="104"/>
        <v>24227.5</v>
      </c>
      <c r="AE488" s="3">
        <f t="shared" si="105"/>
        <v>16747.5</v>
      </c>
      <c r="AF488" s="3">
        <f>SUM(ecommerce_sales_all_data[[#This Row],[revenue_month_1]:[revenue_month_12]])</f>
        <v>185625</v>
      </c>
    </row>
    <row r="489" spans="1:32" x14ac:dyDescent="0.3">
      <c r="A489">
        <v>488</v>
      </c>
      <c r="B489" t="s">
        <v>512</v>
      </c>
      <c r="C489" t="s">
        <v>48</v>
      </c>
      <c r="D489" s="2">
        <v>144.08000000000001</v>
      </c>
      <c r="E489">
        <v>3.8</v>
      </c>
      <c r="F489">
        <v>977</v>
      </c>
      <c r="G489" s="1">
        <v>458</v>
      </c>
      <c r="H489" s="1">
        <v>92</v>
      </c>
      <c r="I489" s="1">
        <v>502</v>
      </c>
      <c r="J489" s="1">
        <v>507</v>
      </c>
      <c r="K489" s="1">
        <v>896</v>
      </c>
      <c r="L489" s="1">
        <v>91</v>
      </c>
      <c r="M489" s="1">
        <v>767</v>
      </c>
      <c r="N489" s="1">
        <v>998</v>
      </c>
      <c r="O489" s="1">
        <v>444</v>
      </c>
      <c r="P489" s="1">
        <v>661</v>
      </c>
      <c r="Q489" s="1">
        <v>145</v>
      </c>
      <c r="R489" s="1">
        <v>553</v>
      </c>
      <c r="S489" s="1">
        <f>SUM(ecommerce_sales_all_data[[#This Row],[sales_month_1]:[sales_month_12]])</f>
        <v>6114</v>
      </c>
      <c r="T489" s="3">
        <f t="shared" si="94"/>
        <v>65988.639999999999</v>
      </c>
      <c r="U489" s="3">
        <f t="shared" si="95"/>
        <v>13255.36</v>
      </c>
      <c r="V489" s="3">
        <f t="shared" si="96"/>
        <v>72328.160000000003</v>
      </c>
      <c r="W489" s="3">
        <f t="shared" si="97"/>
        <v>73048.560000000012</v>
      </c>
      <c r="X489" s="3">
        <f t="shared" si="98"/>
        <v>129095.68000000001</v>
      </c>
      <c r="Y489" s="3">
        <f t="shared" si="99"/>
        <v>13111.28</v>
      </c>
      <c r="Z489" s="3">
        <f t="shared" si="100"/>
        <v>110509.36000000002</v>
      </c>
      <c r="AA489" s="3">
        <f t="shared" si="101"/>
        <v>143791.84000000003</v>
      </c>
      <c r="AB489" s="3">
        <f t="shared" si="102"/>
        <v>63971.520000000004</v>
      </c>
      <c r="AC489" s="3">
        <f t="shared" si="103"/>
        <v>95236.88</v>
      </c>
      <c r="AD489" s="3">
        <f t="shared" si="104"/>
        <v>20891.600000000002</v>
      </c>
      <c r="AE489" s="3">
        <f t="shared" si="105"/>
        <v>79676.240000000005</v>
      </c>
      <c r="AF489" s="3">
        <f>SUM(ecommerce_sales_all_data[[#This Row],[revenue_month_1]:[revenue_month_12]])</f>
        <v>880905.12000000011</v>
      </c>
    </row>
    <row r="490" spans="1:32" x14ac:dyDescent="0.3">
      <c r="A490">
        <v>489</v>
      </c>
      <c r="B490" t="s">
        <v>513</v>
      </c>
      <c r="C490" t="s">
        <v>21</v>
      </c>
      <c r="D490" s="2">
        <v>475.45</v>
      </c>
      <c r="E490">
        <v>2.6</v>
      </c>
      <c r="F490">
        <v>482</v>
      </c>
      <c r="G490" s="1">
        <v>247</v>
      </c>
      <c r="H490" s="1">
        <v>504</v>
      </c>
      <c r="I490" s="1">
        <v>202</v>
      </c>
      <c r="J490" s="1">
        <v>412</v>
      </c>
      <c r="K490" s="1">
        <v>819</v>
      </c>
      <c r="L490" s="1">
        <v>126</v>
      </c>
      <c r="M490" s="1">
        <v>823</v>
      </c>
      <c r="N490" s="1">
        <v>823</v>
      </c>
      <c r="O490" s="1">
        <v>444</v>
      </c>
      <c r="P490" s="1">
        <v>374</v>
      </c>
      <c r="Q490" s="1">
        <v>835</v>
      </c>
      <c r="R490" s="1">
        <v>650</v>
      </c>
      <c r="S490" s="1">
        <f>SUM(ecommerce_sales_all_data[[#This Row],[sales_month_1]:[sales_month_12]])</f>
        <v>6259</v>
      </c>
      <c r="T490" s="3">
        <f t="shared" si="94"/>
        <v>117436.15</v>
      </c>
      <c r="U490" s="3">
        <f t="shared" si="95"/>
        <v>239626.8</v>
      </c>
      <c r="V490" s="3">
        <f t="shared" si="96"/>
        <v>96040.9</v>
      </c>
      <c r="W490" s="3">
        <f t="shared" si="97"/>
        <v>195885.4</v>
      </c>
      <c r="X490" s="3">
        <f t="shared" si="98"/>
        <v>389393.55</v>
      </c>
      <c r="Y490" s="3">
        <f t="shared" si="99"/>
        <v>59906.7</v>
      </c>
      <c r="Z490" s="3">
        <f t="shared" si="100"/>
        <v>391295.35</v>
      </c>
      <c r="AA490" s="3">
        <f t="shared" si="101"/>
        <v>391295.35</v>
      </c>
      <c r="AB490" s="3">
        <f t="shared" si="102"/>
        <v>211099.8</v>
      </c>
      <c r="AC490" s="3">
        <f t="shared" si="103"/>
        <v>177818.3</v>
      </c>
      <c r="AD490" s="3">
        <f t="shared" si="104"/>
        <v>397000.75</v>
      </c>
      <c r="AE490" s="3">
        <f t="shared" si="105"/>
        <v>309042.5</v>
      </c>
      <c r="AF490" s="3">
        <f>SUM(ecommerce_sales_all_data[[#This Row],[revenue_month_1]:[revenue_month_12]])</f>
        <v>2975841.5500000003</v>
      </c>
    </row>
    <row r="491" spans="1:32" x14ac:dyDescent="0.3">
      <c r="A491">
        <v>490</v>
      </c>
      <c r="B491" t="s">
        <v>514</v>
      </c>
      <c r="C491" t="s">
        <v>29</v>
      </c>
      <c r="D491" s="2">
        <v>445.68</v>
      </c>
      <c r="E491">
        <v>2.8</v>
      </c>
      <c r="F491">
        <v>728</v>
      </c>
      <c r="G491" s="1">
        <v>565</v>
      </c>
      <c r="H491" s="1">
        <v>597</v>
      </c>
      <c r="I491" s="1">
        <v>572</v>
      </c>
      <c r="J491" s="1">
        <v>527</v>
      </c>
      <c r="K491" s="1">
        <v>852</v>
      </c>
      <c r="L491" s="1">
        <v>79</v>
      </c>
      <c r="M491" s="1">
        <v>682</v>
      </c>
      <c r="N491" s="1">
        <v>359</v>
      </c>
      <c r="O491" s="1">
        <v>325</v>
      </c>
      <c r="P491" s="1">
        <v>569</v>
      </c>
      <c r="Q491" s="1">
        <v>638</v>
      </c>
      <c r="R491" s="1">
        <v>794</v>
      </c>
      <c r="S491" s="1">
        <f>SUM(ecommerce_sales_all_data[[#This Row],[sales_month_1]:[sales_month_12]])</f>
        <v>6559</v>
      </c>
      <c r="T491" s="3">
        <f t="shared" si="94"/>
        <v>251809.2</v>
      </c>
      <c r="U491" s="3">
        <f t="shared" si="95"/>
        <v>266070.96000000002</v>
      </c>
      <c r="V491" s="3">
        <f t="shared" si="96"/>
        <v>254928.96</v>
      </c>
      <c r="W491" s="3">
        <f t="shared" si="97"/>
        <v>234873.36000000002</v>
      </c>
      <c r="X491" s="3">
        <f t="shared" si="98"/>
        <v>379719.36</v>
      </c>
      <c r="Y491" s="3">
        <f t="shared" si="99"/>
        <v>35208.720000000001</v>
      </c>
      <c r="Z491" s="3">
        <f t="shared" si="100"/>
        <v>303953.76</v>
      </c>
      <c r="AA491" s="3">
        <f t="shared" si="101"/>
        <v>159999.12</v>
      </c>
      <c r="AB491" s="3">
        <f t="shared" si="102"/>
        <v>144846</v>
      </c>
      <c r="AC491" s="3">
        <f t="shared" si="103"/>
        <v>253591.92</v>
      </c>
      <c r="AD491" s="3">
        <f t="shared" si="104"/>
        <v>284343.84000000003</v>
      </c>
      <c r="AE491" s="3">
        <f t="shared" si="105"/>
        <v>353869.92</v>
      </c>
      <c r="AF491" s="3">
        <f>SUM(ecommerce_sales_all_data[[#This Row],[revenue_month_1]:[revenue_month_12]])</f>
        <v>2923215.1199999996</v>
      </c>
    </row>
    <row r="492" spans="1:32" x14ac:dyDescent="0.3">
      <c r="A492">
        <v>491</v>
      </c>
      <c r="B492" t="s">
        <v>515</v>
      </c>
      <c r="C492" t="s">
        <v>19</v>
      </c>
      <c r="D492" s="2">
        <v>230.55</v>
      </c>
      <c r="E492">
        <v>2</v>
      </c>
      <c r="F492">
        <v>480</v>
      </c>
      <c r="G492" s="1">
        <v>672</v>
      </c>
      <c r="H492" s="1">
        <v>335</v>
      </c>
      <c r="I492" s="1">
        <v>191</v>
      </c>
      <c r="J492" s="1">
        <v>354</v>
      </c>
      <c r="K492" s="1">
        <v>476</v>
      </c>
      <c r="L492" s="1">
        <v>823</v>
      </c>
      <c r="M492" s="1">
        <v>382</v>
      </c>
      <c r="N492" s="1">
        <v>384</v>
      </c>
      <c r="O492" s="1">
        <v>845</v>
      </c>
      <c r="P492" s="1">
        <v>62</v>
      </c>
      <c r="Q492" s="1">
        <v>456</v>
      </c>
      <c r="R492" s="1">
        <v>919</v>
      </c>
      <c r="S492" s="1">
        <f>SUM(ecommerce_sales_all_data[[#This Row],[sales_month_1]:[sales_month_12]])</f>
        <v>5899</v>
      </c>
      <c r="T492" s="3">
        <f t="shared" si="94"/>
        <v>154929.60000000001</v>
      </c>
      <c r="U492" s="3">
        <f t="shared" si="95"/>
        <v>77234.25</v>
      </c>
      <c r="V492" s="3">
        <f t="shared" si="96"/>
        <v>44035.05</v>
      </c>
      <c r="W492" s="3">
        <f t="shared" si="97"/>
        <v>81614.7</v>
      </c>
      <c r="X492" s="3">
        <f t="shared" si="98"/>
        <v>109741.8</v>
      </c>
      <c r="Y492" s="3">
        <f t="shared" si="99"/>
        <v>189742.65000000002</v>
      </c>
      <c r="Z492" s="3">
        <f t="shared" si="100"/>
        <v>88070.1</v>
      </c>
      <c r="AA492" s="3">
        <f t="shared" si="101"/>
        <v>88531.200000000012</v>
      </c>
      <c r="AB492" s="3">
        <f t="shared" si="102"/>
        <v>194814.75</v>
      </c>
      <c r="AC492" s="3">
        <f t="shared" si="103"/>
        <v>14294.1</v>
      </c>
      <c r="AD492" s="3">
        <f t="shared" si="104"/>
        <v>105130.8</v>
      </c>
      <c r="AE492" s="3">
        <f t="shared" si="105"/>
        <v>211875.45</v>
      </c>
      <c r="AF492" s="3">
        <f>SUM(ecommerce_sales_all_data[[#This Row],[revenue_month_1]:[revenue_month_12]])</f>
        <v>1360014.45</v>
      </c>
    </row>
    <row r="493" spans="1:32" x14ac:dyDescent="0.3">
      <c r="A493">
        <v>492</v>
      </c>
      <c r="B493" t="s">
        <v>516</v>
      </c>
      <c r="C493" t="s">
        <v>35</v>
      </c>
      <c r="D493" s="2">
        <v>311.97000000000003</v>
      </c>
      <c r="E493">
        <v>2.5</v>
      </c>
      <c r="F493">
        <v>65</v>
      </c>
      <c r="G493" s="1">
        <v>945</v>
      </c>
      <c r="H493" s="1">
        <v>424</v>
      </c>
      <c r="I493" s="1">
        <v>4</v>
      </c>
      <c r="J493" s="1">
        <v>558</v>
      </c>
      <c r="K493" s="1">
        <v>709</v>
      </c>
      <c r="L493" s="1">
        <v>237</v>
      </c>
      <c r="M493" s="1">
        <v>984</v>
      </c>
      <c r="N493" s="1">
        <v>55</v>
      </c>
      <c r="O493" s="1">
        <v>707</v>
      </c>
      <c r="P493" s="1">
        <v>503</v>
      </c>
      <c r="Q493" s="1">
        <v>134</v>
      </c>
      <c r="R493" s="1">
        <v>226</v>
      </c>
      <c r="S493" s="1">
        <f>SUM(ecommerce_sales_all_data[[#This Row],[sales_month_1]:[sales_month_12]])</f>
        <v>5486</v>
      </c>
      <c r="T493" s="3">
        <f t="shared" si="94"/>
        <v>294811.65000000002</v>
      </c>
      <c r="U493" s="3">
        <f t="shared" si="95"/>
        <v>132275.28</v>
      </c>
      <c r="V493" s="3">
        <f t="shared" si="96"/>
        <v>1247.8800000000001</v>
      </c>
      <c r="W493" s="3">
        <f t="shared" si="97"/>
        <v>174079.26</v>
      </c>
      <c r="X493" s="3">
        <f t="shared" si="98"/>
        <v>221186.73</v>
      </c>
      <c r="Y493" s="3">
        <f t="shared" si="99"/>
        <v>73936.89</v>
      </c>
      <c r="Z493" s="3">
        <f t="shared" si="100"/>
        <v>306978.48000000004</v>
      </c>
      <c r="AA493" s="3">
        <f t="shared" si="101"/>
        <v>17158.350000000002</v>
      </c>
      <c r="AB493" s="3">
        <f t="shared" si="102"/>
        <v>220562.79</v>
      </c>
      <c r="AC493" s="3">
        <f t="shared" si="103"/>
        <v>156920.91</v>
      </c>
      <c r="AD493" s="3">
        <f t="shared" si="104"/>
        <v>41803.980000000003</v>
      </c>
      <c r="AE493" s="3">
        <f t="shared" si="105"/>
        <v>70505.22</v>
      </c>
      <c r="AF493" s="3">
        <f>SUM(ecommerce_sales_all_data[[#This Row],[revenue_month_1]:[revenue_month_12]])</f>
        <v>1711467.4200000002</v>
      </c>
    </row>
    <row r="494" spans="1:32" x14ac:dyDescent="0.3">
      <c r="A494">
        <v>493</v>
      </c>
      <c r="B494" t="s">
        <v>517</v>
      </c>
      <c r="C494" t="s">
        <v>48</v>
      </c>
      <c r="D494" s="2">
        <v>142.30000000000001</v>
      </c>
      <c r="E494">
        <v>1.9</v>
      </c>
      <c r="F494">
        <v>8</v>
      </c>
      <c r="G494" s="1">
        <v>421</v>
      </c>
      <c r="H494" s="1">
        <v>498</v>
      </c>
      <c r="I494" s="1">
        <v>889</v>
      </c>
      <c r="J494" s="1">
        <v>762</v>
      </c>
      <c r="K494" s="1">
        <v>932</v>
      </c>
      <c r="L494" s="1">
        <v>982</v>
      </c>
      <c r="M494" s="1">
        <v>161</v>
      </c>
      <c r="N494" s="1">
        <v>117</v>
      </c>
      <c r="O494" s="1">
        <v>601</v>
      </c>
      <c r="P494" s="1">
        <v>667</v>
      </c>
      <c r="Q494" s="1">
        <v>625</v>
      </c>
      <c r="R494" s="1">
        <v>422</v>
      </c>
      <c r="S494" s="1">
        <f>SUM(ecommerce_sales_all_data[[#This Row],[sales_month_1]:[sales_month_12]])</f>
        <v>7077</v>
      </c>
      <c r="T494" s="3">
        <f t="shared" si="94"/>
        <v>59908.3</v>
      </c>
      <c r="U494" s="3">
        <f t="shared" si="95"/>
        <v>70865.400000000009</v>
      </c>
      <c r="V494" s="3">
        <f t="shared" si="96"/>
        <v>126504.70000000001</v>
      </c>
      <c r="W494" s="3">
        <f t="shared" si="97"/>
        <v>108432.6</v>
      </c>
      <c r="X494" s="3">
        <f t="shared" si="98"/>
        <v>132623.6</v>
      </c>
      <c r="Y494" s="3">
        <f t="shared" si="99"/>
        <v>139738.6</v>
      </c>
      <c r="Z494" s="3">
        <f t="shared" si="100"/>
        <v>22910.300000000003</v>
      </c>
      <c r="AA494" s="3">
        <f t="shared" si="101"/>
        <v>16649.100000000002</v>
      </c>
      <c r="AB494" s="3">
        <f t="shared" si="102"/>
        <v>85522.3</v>
      </c>
      <c r="AC494" s="3">
        <f t="shared" si="103"/>
        <v>94914.1</v>
      </c>
      <c r="AD494" s="3">
        <f t="shared" si="104"/>
        <v>88937.5</v>
      </c>
      <c r="AE494" s="3">
        <f t="shared" si="105"/>
        <v>60050.600000000006</v>
      </c>
      <c r="AF494" s="3">
        <f>SUM(ecommerce_sales_all_data[[#This Row],[revenue_month_1]:[revenue_month_12]])</f>
        <v>1007057.1</v>
      </c>
    </row>
    <row r="495" spans="1:32" x14ac:dyDescent="0.3">
      <c r="A495">
        <v>494</v>
      </c>
      <c r="B495" t="s">
        <v>518</v>
      </c>
      <c r="C495" t="s">
        <v>48</v>
      </c>
      <c r="D495" s="2">
        <v>98.12</v>
      </c>
      <c r="E495">
        <v>1.3</v>
      </c>
      <c r="F495">
        <v>301</v>
      </c>
      <c r="G495" s="1">
        <v>922</v>
      </c>
      <c r="H495" s="1">
        <v>363</v>
      </c>
      <c r="I495" s="1">
        <v>236</v>
      </c>
      <c r="J495" s="1">
        <v>186</v>
      </c>
      <c r="K495" s="1">
        <v>320</v>
      </c>
      <c r="L495" s="1">
        <v>371</v>
      </c>
      <c r="M495" s="1">
        <v>996</v>
      </c>
      <c r="N495" s="1">
        <v>899</v>
      </c>
      <c r="O495" s="1">
        <v>622</v>
      </c>
      <c r="P495" s="1">
        <v>448</v>
      </c>
      <c r="Q495" s="1">
        <v>263</v>
      </c>
      <c r="R495" s="1">
        <v>71</v>
      </c>
      <c r="S495" s="1">
        <f>SUM(ecommerce_sales_all_data[[#This Row],[sales_month_1]:[sales_month_12]])</f>
        <v>5697</v>
      </c>
      <c r="T495" s="3">
        <f t="shared" si="94"/>
        <v>90466.64</v>
      </c>
      <c r="U495" s="3">
        <f t="shared" si="95"/>
        <v>35617.560000000005</v>
      </c>
      <c r="V495" s="3">
        <f t="shared" si="96"/>
        <v>23156.32</v>
      </c>
      <c r="W495" s="3">
        <f t="shared" si="97"/>
        <v>18250.32</v>
      </c>
      <c r="X495" s="3">
        <f t="shared" si="98"/>
        <v>31398.400000000001</v>
      </c>
      <c r="Y495" s="3">
        <f t="shared" si="99"/>
        <v>36402.520000000004</v>
      </c>
      <c r="Z495" s="3">
        <f t="shared" si="100"/>
        <v>97727.52</v>
      </c>
      <c r="AA495" s="3">
        <f t="shared" si="101"/>
        <v>88209.88</v>
      </c>
      <c r="AB495" s="3">
        <f t="shared" si="102"/>
        <v>61030.64</v>
      </c>
      <c r="AC495" s="3">
        <f t="shared" si="103"/>
        <v>43957.760000000002</v>
      </c>
      <c r="AD495" s="3">
        <f t="shared" si="104"/>
        <v>25805.56</v>
      </c>
      <c r="AE495" s="3">
        <f t="shared" si="105"/>
        <v>6966.52</v>
      </c>
      <c r="AF495" s="3">
        <f>SUM(ecommerce_sales_all_data[[#This Row],[revenue_month_1]:[revenue_month_12]])</f>
        <v>558989.64000000013</v>
      </c>
    </row>
    <row r="496" spans="1:32" x14ac:dyDescent="0.3">
      <c r="A496">
        <v>495</v>
      </c>
      <c r="B496" t="s">
        <v>519</v>
      </c>
      <c r="C496" t="s">
        <v>29</v>
      </c>
      <c r="D496" s="2">
        <v>234.53</v>
      </c>
      <c r="E496">
        <v>3.4</v>
      </c>
      <c r="F496">
        <v>343</v>
      </c>
      <c r="G496" s="1">
        <v>737</v>
      </c>
      <c r="H496" s="1">
        <v>946</v>
      </c>
      <c r="I496" s="1">
        <v>692</v>
      </c>
      <c r="J496" s="1">
        <v>30</v>
      </c>
      <c r="K496" s="1">
        <v>178</v>
      </c>
      <c r="L496" s="1">
        <v>915</v>
      </c>
      <c r="M496" s="1">
        <v>285</v>
      </c>
      <c r="N496" s="1">
        <v>252</v>
      </c>
      <c r="O496" s="1">
        <v>879</v>
      </c>
      <c r="P496" s="1">
        <v>427</v>
      </c>
      <c r="Q496" s="1">
        <v>63</v>
      </c>
      <c r="R496" s="1">
        <v>242</v>
      </c>
      <c r="S496" s="1">
        <f>SUM(ecommerce_sales_all_data[[#This Row],[sales_month_1]:[sales_month_12]])</f>
        <v>5646</v>
      </c>
      <c r="T496" s="3">
        <f t="shared" si="94"/>
        <v>172848.61000000002</v>
      </c>
      <c r="U496" s="3">
        <f t="shared" si="95"/>
        <v>221865.38</v>
      </c>
      <c r="V496" s="3">
        <f t="shared" si="96"/>
        <v>162294.76</v>
      </c>
      <c r="W496" s="3">
        <f t="shared" si="97"/>
        <v>7035.9</v>
      </c>
      <c r="X496" s="3">
        <f t="shared" si="98"/>
        <v>41746.340000000004</v>
      </c>
      <c r="Y496" s="3">
        <f t="shared" si="99"/>
        <v>214594.95</v>
      </c>
      <c r="Z496" s="3">
        <f t="shared" si="100"/>
        <v>66841.05</v>
      </c>
      <c r="AA496" s="3">
        <f t="shared" si="101"/>
        <v>59101.56</v>
      </c>
      <c r="AB496" s="3">
        <f t="shared" si="102"/>
        <v>206151.87</v>
      </c>
      <c r="AC496" s="3">
        <f t="shared" si="103"/>
        <v>100144.31</v>
      </c>
      <c r="AD496" s="3">
        <f t="shared" si="104"/>
        <v>14775.39</v>
      </c>
      <c r="AE496" s="3">
        <f t="shared" si="105"/>
        <v>56756.26</v>
      </c>
      <c r="AF496" s="3">
        <f>SUM(ecommerce_sales_all_data[[#This Row],[revenue_month_1]:[revenue_month_12]])</f>
        <v>1324156.3799999999</v>
      </c>
    </row>
    <row r="497" spans="1:32" x14ac:dyDescent="0.3">
      <c r="A497">
        <v>496</v>
      </c>
      <c r="B497" t="s">
        <v>520</v>
      </c>
      <c r="C497" t="s">
        <v>35</v>
      </c>
      <c r="D497" s="2">
        <v>179.91</v>
      </c>
      <c r="E497">
        <v>3.7</v>
      </c>
      <c r="F497">
        <v>431</v>
      </c>
      <c r="G497" s="1">
        <v>14</v>
      </c>
      <c r="H497" s="1">
        <v>629</v>
      </c>
      <c r="I497" s="1">
        <v>310</v>
      </c>
      <c r="J497" s="1">
        <v>259</v>
      </c>
      <c r="K497" s="1">
        <v>896</v>
      </c>
      <c r="L497" s="1">
        <v>485</v>
      </c>
      <c r="M497" s="1">
        <v>70</v>
      </c>
      <c r="N497" s="1">
        <v>797</v>
      </c>
      <c r="O497" s="1">
        <v>358</v>
      </c>
      <c r="P497" s="1">
        <v>867</v>
      </c>
      <c r="Q497" s="1">
        <v>490</v>
      </c>
      <c r="R497" s="1">
        <v>529</v>
      </c>
      <c r="S497" s="1">
        <f>SUM(ecommerce_sales_all_data[[#This Row],[sales_month_1]:[sales_month_12]])</f>
        <v>5704</v>
      </c>
      <c r="T497" s="3">
        <f t="shared" si="94"/>
        <v>2518.7399999999998</v>
      </c>
      <c r="U497" s="3">
        <f t="shared" si="95"/>
        <v>113163.39</v>
      </c>
      <c r="V497" s="3">
        <f t="shared" si="96"/>
        <v>55772.1</v>
      </c>
      <c r="W497" s="3">
        <f t="shared" si="97"/>
        <v>46596.69</v>
      </c>
      <c r="X497" s="3">
        <f t="shared" si="98"/>
        <v>161199.35999999999</v>
      </c>
      <c r="Y497" s="3">
        <f t="shared" si="99"/>
        <v>87256.349999999991</v>
      </c>
      <c r="Z497" s="3">
        <f t="shared" si="100"/>
        <v>12593.699999999999</v>
      </c>
      <c r="AA497" s="3">
        <f t="shared" si="101"/>
        <v>143388.26999999999</v>
      </c>
      <c r="AB497" s="3">
        <f t="shared" si="102"/>
        <v>64407.78</v>
      </c>
      <c r="AC497" s="3">
        <f t="shared" si="103"/>
        <v>155981.97</v>
      </c>
      <c r="AD497" s="3">
        <f t="shared" si="104"/>
        <v>88155.9</v>
      </c>
      <c r="AE497" s="3">
        <f t="shared" si="105"/>
        <v>95172.39</v>
      </c>
      <c r="AF497" s="3">
        <f>SUM(ecommerce_sales_all_data[[#This Row],[revenue_month_1]:[revenue_month_12]])</f>
        <v>1026206.64</v>
      </c>
    </row>
    <row r="498" spans="1:32" x14ac:dyDescent="0.3">
      <c r="A498">
        <v>497</v>
      </c>
      <c r="B498" t="s">
        <v>521</v>
      </c>
      <c r="C498" t="s">
        <v>48</v>
      </c>
      <c r="D498" s="2">
        <v>293.91000000000003</v>
      </c>
      <c r="E498">
        <v>3.5</v>
      </c>
      <c r="F498">
        <v>424</v>
      </c>
      <c r="G498" s="1">
        <v>735</v>
      </c>
      <c r="H498" s="1">
        <v>744</v>
      </c>
      <c r="I498" s="1">
        <v>548</v>
      </c>
      <c r="J498" s="1">
        <v>420</v>
      </c>
      <c r="K498" s="1">
        <v>218</v>
      </c>
      <c r="L498" s="1">
        <v>693</v>
      </c>
      <c r="M498" s="1">
        <v>766</v>
      </c>
      <c r="N498" s="1">
        <v>779</v>
      </c>
      <c r="O498" s="1">
        <v>144</v>
      </c>
      <c r="P498" s="1">
        <v>426</v>
      </c>
      <c r="Q498" s="1">
        <v>646</v>
      </c>
      <c r="R498" s="1">
        <v>588</v>
      </c>
      <c r="S498" s="1">
        <f>SUM(ecommerce_sales_all_data[[#This Row],[sales_month_1]:[sales_month_12]])</f>
        <v>6707</v>
      </c>
      <c r="T498" s="3">
        <f t="shared" si="94"/>
        <v>216023.85</v>
      </c>
      <c r="U498" s="3">
        <f t="shared" si="95"/>
        <v>218669.04</v>
      </c>
      <c r="V498" s="3">
        <f t="shared" si="96"/>
        <v>161062.68000000002</v>
      </c>
      <c r="W498" s="3">
        <f t="shared" si="97"/>
        <v>123442.20000000001</v>
      </c>
      <c r="X498" s="3">
        <f t="shared" si="98"/>
        <v>64072.380000000005</v>
      </c>
      <c r="Y498" s="3">
        <f t="shared" si="99"/>
        <v>203679.63</v>
      </c>
      <c r="Z498" s="3">
        <f t="shared" si="100"/>
        <v>225135.06000000003</v>
      </c>
      <c r="AA498" s="3">
        <f t="shared" si="101"/>
        <v>228955.89</v>
      </c>
      <c r="AB498" s="3">
        <f t="shared" si="102"/>
        <v>42323.040000000001</v>
      </c>
      <c r="AC498" s="3">
        <f t="shared" si="103"/>
        <v>125205.66</v>
      </c>
      <c r="AD498" s="3">
        <f t="shared" si="104"/>
        <v>189865.86000000002</v>
      </c>
      <c r="AE498" s="3">
        <f t="shared" si="105"/>
        <v>172819.08000000002</v>
      </c>
      <c r="AF498" s="3">
        <f>SUM(ecommerce_sales_all_data[[#This Row],[revenue_month_1]:[revenue_month_12]])</f>
        <v>1971254.37</v>
      </c>
    </row>
    <row r="499" spans="1:32" x14ac:dyDescent="0.3">
      <c r="A499">
        <v>498</v>
      </c>
      <c r="B499" t="s">
        <v>522</v>
      </c>
      <c r="C499" t="s">
        <v>26</v>
      </c>
      <c r="D499" s="2">
        <v>43.48</v>
      </c>
      <c r="E499">
        <v>2.9</v>
      </c>
      <c r="F499">
        <v>332</v>
      </c>
      <c r="G499" s="1">
        <v>572</v>
      </c>
      <c r="H499" s="1">
        <v>198</v>
      </c>
      <c r="I499" s="1">
        <v>55</v>
      </c>
      <c r="J499" s="1">
        <v>528</v>
      </c>
      <c r="K499" s="1">
        <v>788</v>
      </c>
      <c r="L499" s="1">
        <v>24</v>
      </c>
      <c r="M499" s="1">
        <v>453</v>
      </c>
      <c r="N499" s="1">
        <v>802</v>
      </c>
      <c r="O499" s="1">
        <v>274</v>
      </c>
      <c r="P499" s="1">
        <v>420</v>
      </c>
      <c r="Q499" s="1">
        <v>40</v>
      </c>
      <c r="R499" s="1">
        <v>44</v>
      </c>
      <c r="S499" s="1">
        <f>SUM(ecommerce_sales_all_data[[#This Row],[sales_month_1]:[sales_month_12]])</f>
        <v>4198</v>
      </c>
      <c r="T499" s="3">
        <f t="shared" si="94"/>
        <v>24870.559999999998</v>
      </c>
      <c r="U499" s="3">
        <f t="shared" si="95"/>
        <v>8609.0399999999991</v>
      </c>
      <c r="V499" s="3">
        <f t="shared" si="96"/>
        <v>2391.3999999999996</v>
      </c>
      <c r="W499" s="3">
        <f t="shared" si="97"/>
        <v>22957.439999999999</v>
      </c>
      <c r="X499" s="3">
        <f t="shared" si="98"/>
        <v>34262.239999999998</v>
      </c>
      <c r="Y499" s="3">
        <f t="shared" si="99"/>
        <v>1043.52</v>
      </c>
      <c r="Z499" s="3">
        <f t="shared" si="100"/>
        <v>19696.439999999999</v>
      </c>
      <c r="AA499" s="3">
        <f t="shared" si="101"/>
        <v>34870.959999999999</v>
      </c>
      <c r="AB499" s="3">
        <f t="shared" si="102"/>
        <v>11913.519999999999</v>
      </c>
      <c r="AC499" s="3">
        <f t="shared" si="103"/>
        <v>18261.599999999999</v>
      </c>
      <c r="AD499" s="3">
        <f t="shared" si="104"/>
        <v>1739.1999999999998</v>
      </c>
      <c r="AE499" s="3">
        <f t="shared" si="105"/>
        <v>1913.12</v>
      </c>
      <c r="AF499" s="3">
        <f>SUM(ecommerce_sales_all_data[[#This Row],[revenue_month_1]:[revenue_month_12]])</f>
        <v>182529.04</v>
      </c>
    </row>
    <row r="500" spans="1:32" x14ac:dyDescent="0.3">
      <c r="A500">
        <v>499</v>
      </c>
      <c r="B500" t="s">
        <v>523</v>
      </c>
      <c r="C500" t="s">
        <v>21</v>
      </c>
      <c r="D500" s="2">
        <v>487.33</v>
      </c>
      <c r="E500">
        <v>2.5</v>
      </c>
      <c r="F500">
        <v>438</v>
      </c>
      <c r="G500" s="1">
        <v>121</v>
      </c>
      <c r="H500" s="1">
        <v>717</v>
      </c>
      <c r="I500" s="1">
        <v>442</v>
      </c>
      <c r="J500" s="1">
        <v>550</v>
      </c>
      <c r="K500" s="1">
        <v>948</v>
      </c>
      <c r="L500" s="1">
        <v>155</v>
      </c>
      <c r="M500" s="1">
        <v>885</v>
      </c>
      <c r="N500" s="1">
        <v>844</v>
      </c>
      <c r="O500" s="1">
        <v>508</v>
      </c>
      <c r="P500" s="1">
        <v>321</v>
      </c>
      <c r="Q500" s="1">
        <v>295</v>
      </c>
      <c r="R500" s="1">
        <v>471</v>
      </c>
      <c r="S500" s="1">
        <f>SUM(ecommerce_sales_all_data[[#This Row],[sales_month_1]:[sales_month_12]])</f>
        <v>6257</v>
      </c>
      <c r="T500" s="3">
        <f t="shared" si="94"/>
        <v>58966.93</v>
      </c>
      <c r="U500" s="3">
        <f t="shared" si="95"/>
        <v>349415.61</v>
      </c>
      <c r="V500" s="3">
        <f t="shared" si="96"/>
        <v>215399.86</v>
      </c>
      <c r="W500" s="3">
        <f t="shared" si="97"/>
        <v>268031.5</v>
      </c>
      <c r="X500" s="3">
        <f t="shared" si="98"/>
        <v>461988.83999999997</v>
      </c>
      <c r="Y500" s="3">
        <f t="shared" si="99"/>
        <v>75536.149999999994</v>
      </c>
      <c r="Z500" s="3">
        <f t="shared" si="100"/>
        <v>431287.05</v>
      </c>
      <c r="AA500" s="3">
        <f t="shared" si="101"/>
        <v>411306.51999999996</v>
      </c>
      <c r="AB500" s="3">
        <f t="shared" si="102"/>
        <v>247563.63999999998</v>
      </c>
      <c r="AC500" s="3">
        <f t="shared" si="103"/>
        <v>156432.93</v>
      </c>
      <c r="AD500" s="3">
        <f t="shared" si="104"/>
        <v>143762.35</v>
      </c>
      <c r="AE500" s="3">
        <f t="shared" si="105"/>
        <v>229532.43</v>
      </c>
      <c r="AF500" s="3">
        <f>SUM(ecommerce_sales_all_data[[#This Row],[revenue_month_1]:[revenue_month_12]])</f>
        <v>3049223.81</v>
      </c>
    </row>
    <row r="501" spans="1:32" x14ac:dyDescent="0.3">
      <c r="A501">
        <v>500</v>
      </c>
      <c r="B501" t="s">
        <v>524</v>
      </c>
      <c r="C501" t="s">
        <v>26</v>
      </c>
      <c r="D501" s="2">
        <v>493.17</v>
      </c>
      <c r="E501">
        <v>4.5</v>
      </c>
      <c r="F501">
        <v>588</v>
      </c>
      <c r="G501" s="1">
        <v>276</v>
      </c>
      <c r="H501" s="1">
        <v>412</v>
      </c>
      <c r="I501" s="1">
        <v>236</v>
      </c>
      <c r="J501" s="1">
        <v>303</v>
      </c>
      <c r="K501" s="1">
        <v>527</v>
      </c>
      <c r="L501" s="1">
        <v>516</v>
      </c>
      <c r="M501" s="1">
        <v>566</v>
      </c>
      <c r="N501" s="1">
        <v>179</v>
      </c>
      <c r="O501" s="1">
        <v>178</v>
      </c>
      <c r="P501" s="1">
        <v>912</v>
      </c>
      <c r="Q501" s="1">
        <v>2</v>
      </c>
      <c r="R501" s="1">
        <v>370</v>
      </c>
      <c r="S501" s="1">
        <f>SUM(ecommerce_sales_all_data[[#This Row],[sales_month_1]:[sales_month_12]])</f>
        <v>4477</v>
      </c>
      <c r="T501" s="3">
        <f t="shared" si="94"/>
        <v>136114.92000000001</v>
      </c>
      <c r="U501" s="3">
        <f t="shared" si="95"/>
        <v>203186.04</v>
      </c>
      <c r="V501" s="3">
        <f t="shared" si="96"/>
        <v>116388.12000000001</v>
      </c>
      <c r="W501" s="3">
        <f t="shared" si="97"/>
        <v>149430.51</v>
      </c>
      <c r="X501" s="3">
        <f t="shared" si="98"/>
        <v>259900.59</v>
      </c>
      <c r="Y501" s="3">
        <f t="shared" si="99"/>
        <v>254475.72</v>
      </c>
      <c r="Z501" s="3">
        <f t="shared" si="100"/>
        <v>279134.22000000003</v>
      </c>
      <c r="AA501" s="3">
        <f t="shared" si="101"/>
        <v>88277.430000000008</v>
      </c>
      <c r="AB501" s="3">
        <f t="shared" si="102"/>
        <v>87784.260000000009</v>
      </c>
      <c r="AC501" s="3">
        <f t="shared" si="103"/>
        <v>449771.04000000004</v>
      </c>
      <c r="AD501" s="3">
        <f t="shared" si="104"/>
        <v>986.34</v>
      </c>
      <c r="AE501" s="3">
        <f t="shared" si="105"/>
        <v>182472.9</v>
      </c>
      <c r="AF501" s="3">
        <f>SUM(ecommerce_sales_all_data[[#This Row],[revenue_month_1]:[revenue_month_12]])</f>
        <v>2207922.0900000003</v>
      </c>
    </row>
    <row r="502" spans="1:32" x14ac:dyDescent="0.3">
      <c r="A502">
        <v>501</v>
      </c>
      <c r="B502" t="s">
        <v>525</v>
      </c>
      <c r="C502" t="s">
        <v>23</v>
      </c>
      <c r="D502" s="2">
        <v>350.59</v>
      </c>
      <c r="E502">
        <v>3.1</v>
      </c>
      <c r="F502">
        <v>174</v>
      </c>
      <c r="G502" s="1">
        <v>557</v>
      </c>
      <c r="H502" s="1">
        <v>338</v>
      </c>
      <c r="I502" s="1">
        <v>869</v>
      </c>
      <c r="J502" s="1">
        <v>941</v>
      </c>
      <c r="K502" s="1">
        <v>491</v>
      </c>
      <c r="L502" s="1">
        <v>631</v>
      </c>
      <c r="M502" s="1">
        <v>834</v>
      </c>
      <c r="N502" s="1">
        <v>414</v>
      </c>
      <c r="O502" s="1">
        <v>752</v>
      </c>
      <c r="P502" s="1">
        <v>679</v>
      </c>
      <c r="Q502" s="1">
        <v>912</v>
      </c>
      <c r="R502" s="1">
        <v>854</v>
      </c>
      <c r="S502" s="1">
        <f>SUM(ecommerce_sales_all_data[[#This Row],[sales_month_1]:[sales_month_12]])</f>
        <v>8272</v>
      </c>
      <c r="T502" s="3">
        <f t="shared" si="94"/>
        <v>195278.62999999998</v>
      </c>
      <c r="U502" s="3">
        <f t="shared" si="95"/>
        <v>118499.42</v>
      </c>
      <c r="V502" s="3">
        <f t="shared" si="96"/>
        <v>304662.70999999996</v>
      </c>
      <c r="W502" s="3">
        <f t="shared" si="97"/>
        <v>329905.19</v>
      </c>
      <c r="X502" s="3">
        <f t="shared" si="98"/>
        <v>172139.68999999997</v>
      </c>
      <c r="Y502" s="3">
        <f t="shared" si="99"/>
        <v>221222.28999999998</v>
      </c>
      <c r="Z502" s="3">
        <f t="shared" si="100"/>
        <v>292392.06</v>
      </c>
      <c r="AA502" s="3">
        <f t="shared" si="101"/>
        <v>145144.25999999998</v>
      </c>
      <c r="AB502" s="3">
        <f t="shared" si="102"/>
        <v>263643.68</v>
      </c>
      <c r="AC502" s="3">
        <f t="shared" si="103"/>
        <v>238050.61</v>
      </c>
      <c r="AD502" s="3">
        <f t="shared" si="104"/>
        <v>319738.07999999996</v>
      </c>
      <c r="AE502" s="3">
        <f t="shared" si="105"/>
        <v>299403.86</v>
      </c>
      <c r="AF502" s="3">
        <f>SUM(ecommerce_sales_all_data[[#This Row],[revenue_month_1]:[revenue_month_12]])</f>
        <v>2900080.48</v>
      </c>
    </row>
    <row r="503" spans="1:32" x14ac:dyDescent="0.3">
      <c r="A503">
        <v>502</v>
      </c>
      <c r="B503" t="s">
        <v>526</v>
      </c>
      <c r="C503" t="s">
        <v>26</v>
      </c>
      <c r="D503" s="2">
        <v>270.37</v>
      </c>
      <c r="E503">
        <v>2.9</v>
      </c>
      <c r="F503">
        <v>559</v>
      </c>
      <c r="G503" s="1">
        <v>452</v>
      </c>
      <c r="H503" s="1">
        <v>658</v>
      </c>
      <c r="I503" s="1">
        <v>860</v>
      </c>
      <c r="J503" s="1">
        <v>985</v>
      </c>
      <c r="K503" s="1">
        <v>890</v>
      </c>
      <c r="L503" s="1">
        <v>788</v>
      </c>
      <c r="M503" s="1">
        <v>396</v>
      </c>
      <c r="N503" s="1">
        <v>869</v>
      </c>
      <c r="O503" s="1">
        <v>837</v>
      </c>
      <c r="P503" s="1">
        <v>165</v>
      </c>
      <c r="Q503" s="1">
        <v>705</v>
      </c>
      <c r="R503" s="1">
        <v>651</v>
      </c>
      <c r="S503" s="1">
        <f>SUM(ecommerce_sales_all_data[[#This Row],[sales_month_1]:[sales_month_12]])</f>
        <v>8256</v>
      </c>
      <c r="T503" s="3">
        <f t="shared" si="94"/>
        <v>122207.24</v>
      </c>
      <c r="U503" s="3">
        <f t="shared" si="95"/>
        <v>177903.46</v>
      </c>
      <c r="V503" s="3">
        <f t="shared" si="96"/>
        <v>232518.2</v>
      </c>
      <c r="W503" s="3">
        <f t="shared" si="97"/>
        <v>266314.45</v>
      </c>
      <c r="X503" s="3">
        <f t="shared" si="98"/>
        <v>240629.30000000002</v>
      </c>
      <c r="Y503" s="3">
        <f t="shared" si="99"/>
        <v>213051.56</v>
      </c>
      <c r="Z503" s="3">
        <f t="shared" si="100"/>
        <v>107066.52</v>
      </c>
      <c r="AA503" s="3">
        <f t="shared" si="101"/>
        <v>234951.53</v>
      </c>
      <c r="AB503" s="3">
        <f t="shared" si="102"/>
        <v>226299.69</v>
      </c>
      <c r="AC503" s="3">
        <f t="shared" si="103"/>
        <v>44611.05</v>
      </c>
      <c r="AD503" s="3">
        <f t="shared" si="104"/>
        <v>190610.85</v>
      </c>
      <c r="AE503" s="3">
        <f t="shared" si="105"/>
        <v>176010.87</v>
      </c>
      <c r="AF503" s="3">
        <f>SUM(ecommerce_sales_all_data[[#This Row],[revenue_month_1]:[revenue_month_12]])</f>
        <v>2232174.7200000002</v>
      </c>
    </row>
    <row r="504" spans="1:32" x14ac:dyDescent="0.3">
      <c r="A504">
        <v>503</v>
      </c>
      <c r="B504" t="s">
        <v>527</v>
      </c>
      <c r="C504" t="s">
        <v>35</v>
      </c>
      <c r="D504" s="2">
        <v>158.22</v>
      </c>
      <c r="E504">
        <v>1.1000000000000001</v>
      </c>
      <c r="F504">
        <v>527</v>
      </c>
      <c r="G504" s="1">
        <v>389</v>
      </c>
      <c r="H504" s="1">
        <v>961</v>
      </c>
      <c r="I504" s="1">
        <v>196</v>
      </c>
      <c r="J504" s="1">
        <v>943</v>
      </c>
      <c r="K504" s="1">
        <v>60</v>
      </c>
      <c r="L504" s="1">
        <v>529</v>
      </c>
      <c r="M504" s="1">
        <v>514</v>
      </c>
      <c r="N504" s="1">
        <v>234</v>
      </c>
      <c r="O504" s="1">
        <v>830</v>
      </c>
      <c r="P504" s="1">
        <v>596</v>
      </c>
      <c r="Q504" s="1">
        <v>974</v>
      </c>
      <c r="R504" s="1">
        <v>688</v>
      </c>
      <c r="S504" s="1">
        <f>SUM(ecommerce_sales_all_data[[#This Row],[sales_month_1]:[sales_month_12]])</f>
        <v>6914</v>
      </c>
      <c r="T504" s="3">
        <f t="shared" si="94"/>
        <v>61547.58</v>
      </c>
      <c r="U504" s="3">
        <f t="shared" si="95"/>
        <v>152049.42000000001</v>
      </c>
      <c r="V504" s="3">
        <f t="shared" si="96"/>
        <v>31011.119999999999</v>
      </c>
      <c r="W504" s="3">
        <f t="shared" si="97"/>
        <v>149201.46</v>
      </c>
      <c r="X504" s="3">
        <f t="shared" si="98"/>
        <v>9493.2000000000007</v>
      </c>
      <c r="Y504" s="3">
        <f t="shared" si="99"/>
        <v>83698.38</v>
      </c>
      <c r="Z504" s="3">
        <f t="shared" si="100"/>
        <v>81325.08</v>
      </c>
      <c r="AA504" s="3">
        <f t="shared" si="101"/>
        <v>37023.480000000003</v>
      </c>
      <c r="AB504" s="3">
        <f t="shared" si="102"/>
        <v>131322.6</v>
      </c>
      <c r="AC504" s="3">
        <f t="shared" si="103"/>
        <v>94299.12</v>
      </c>
      <c r="AD504" s="3">
        <f t="shared" si="104"/>
        <v>154106.28</v>
      </c>
      <c r="AE504" s="3">
        <f t="shared" si="105"/>
        <v>108855.36</v>
      </c>
      <c r="AF504" s="3">
        <f>SUM(ecommerce_sales_all_data[[#This Row],[revenue_month_1]:[revenue_month_12]])</f>
        <v>1093933.08</v>
      </c>
    </row>
    <row r="505" spans="1:32" x14ac:dyDescent="0.3">
      <c r="A505">
        <v>504</v>
      </c>
      <c r="B505" t="s">
        <v>528</v>
      </c>
      <c r="C505" t="s">
        <v>19</v>
      </c>
      <c r="D505" s="2">
        <v>407.83</v>
      </c>
      <c r="E505">
        <v>2.4</v>
      </c>
      <c r="F505">
        <v>873</v>
      </c>
      <c r="G505" s="1">
        <v>293</v>
      </c>
      <c r="H505" s="1">
        <v>936</v>
      </c>
      <c r="I505" s="1">
        <v>584</v>
      </c>
      <c r="J505" s="1">
        <v>38</v>
      </c>
      <c r="K505" s="1">
        <v>53</v>
      </c>
      <c r="L505" s="1">
        <v>942</v>
      </c>
      <c r="M505" s="1">
        <v>25</v>
      </c>
      <c r="N505" s="1">
        <v>854</v>
      </c>
      <c r="O505" s="1">
        <v>476</v>
      </c>
      <c r="P505" s="1">
        <v>956</v>
      </c>
      <c r="Q505" s="1">
        <v>109</v>
      </c>
      <c r="R505" s="1">
        <v>733</v>
      </c>
      <c r="S505" s="1">
        <f>SUM(ecommerce_sales_all_data[[#This Row],[sales_month_1]:[sales_month_12]])</f>
        <v>5999</v>
      </c>
      <c r="T505" s="3">
        <f t="shared" si="94"/>
        <v>119494.19</v>
      </c>
      <c r="U505" s="3">
        <f t="shared" si="95"/>
        <v>381728.88</v>
      </c>
      <c r="V505" s="3">
        <f t="shared" si="96"/>
        <v>238172.72</v>
      </c>
      <c r="W505" s="3">
        <f t="shared" si="97"/>
        <v>15497.539999999999</v>
      </c>
      <c r="X505" s="3">
        <f t="shared" si="98"/>
        <v>21614.989999999998</v>
      </c>
      <c r="Y505" s="3">
        <f t="shared" si="99"/>
        <v>384175.86</v>
      </c>
      <c r="Z505" s="3">
        <f t="shared" si="100"/>
        <v>10195.75</v>
      </c>
      <c r="AA505" s="3">
        <f t="shared" si="101"/>
        <v>348286.82</v>
      </c>
      <c r="AB505" s="3">
        <f t="shared" si="102"/>
        <v>194127.08</v>
      </c>
      <c r="AC505" s="3">
        <f t="shared" si="103"/>
        <v>389885.48</v>
      </c>
      <c r="AD505" s="3">
        <f t="shared" si="104"/>
        <v>44453.47</v>
      </c>
      <c r="AE505" s="3">
        <f t="shared" si="105"/>
        <v>298939.39</v>
      </c>
      <c r="AF505" s="3">
        <f>SUM(ecommerce_sales_all_data[[#This Row],[revenue_month_1]:[revenue_month_12]])</f>
        <v>2446572.1700000009</v>
      </c>
    </row>
    <row r="506" spans="1:32" x14ac:dyDescent="0.3">
      <c r="A506">
        <v>505</v>
      </c>
      <c r="B506" t="s">
        <v>529</v>
      </c>
      <c r="C506" t="s">
        <v>48</v>
      </c>
      <c r="D506" s="2">
        <v>343.94</v>
      </c>
      <c r="E506">
        <v>2.5</v>
      </c>
      <c r="F506">
        <v>659</v>
      </c>
      <c r="G506" s="1">
        <v>573</v>
      </c>
      <c r="H506" s="1">
        <v>428</v>
      </c>
      <c r="I506" s="1">
        <v>570</v>
      </c>
      <c r="J506" s="1">
        <v>488</v>
      </c>
      <c r="K506" s="1">
        <v>679</v>
      </c>
      <c r="L506" s="1">
        <v>709</v>
      </c>
      <c r="M506" s="1">
        <v>312</v>
      </c>
      <c r="N506" s="1">
        <v>707</v>
      </c>
      <c r="O506" s="1">
        <v>842</v>
      </c>
      <c r="P506" s="1">
        <v>648</v>
      </c>
      <c r="Q506" s="1">
        <v>220</v>
      </c>
      <c r="R506" s="1">
        <v>926</v>
      </c>
      <c r="S506" s="1">
        <f>SUM(ecommerce_sales_all_data[[#This Row],[sales_month_1]:[sales_month_12]])</f>
        <v>7102</v>
      </c>
      <c r="T506" s="3">
        <f t="shared" si="94"/>
        <v>197077.62</v>
      </c>
      <c r="U506" s="3">
        <f t="shared" si="95"/>
        <v>147206.32</v>
      </c>
      <c r="V506" s="3">
        <f t="shared" si="96"/>
        <v>196045.8</v>
      </c>
      <c r="W506" s="3">
        <f t="shared" si="97"/>
        <v>167842.72</v>
      </c>
      <c r="X506" s="3">
        <f t="shared" si="98"/>
        <v>233535.26</v>
      </c>
      <c r="Y506" s="3">
        <f t="shared" si="99"/>
        <v>243853.46</v>
      </c>
      <c r="Z506" s="3">
        <f t="shared" si="100"/>
        <v>107309.28</v>
      </c>
      <c r="AA506" s="3">
        <f t="shared" si="101"/>
        <v>243165.58</v>
      </c>
      <c r="AB506" s="3">
        <f t="shared" si="102"/>
        <v>289597.48</v>
      </c>
      <c r="AC506" s="3">
        <f t="shared" si="103"/>
        <v>222873.12</v>
      </c>
      <c r="AD506" s="3">
        <f t="shared" si="104"/>
        <v>75666.8</v>
      </c>
      <c r="AE506" s="3">
        <f t="shared" si="105"/>
        <v>318488.44</v>
      </c>
      <c r="AF506" s="3">
        <f>SUM(ecommerce_sales_all_data[[#This Row],[revenue_month_1]:[revenue_month_12]])</f>
        <v>2442661.88</v>
      </c>
    </row>
    <row r="507" spans="1:32" x14ac:dyDescent="0.3">
      <c r="A507">
        <v>506</v>
      </c>
      <c r="B507" t="s">
        <v>530</v>
      </c>
      <c r="C507" t="s">
        <v>35</v>
      </c>
      <c r="D507" s="2">
        <v>85.5</v>
      </c>
      <c r="E507">
        <v>2.6</v>
      </c>
      <c r="F507">
        <v>26</v>
      </c>
      <c r="G507" s="1">
        <v>597</v>
      </c>
      <c r="H507" s="1">
        <v>782</v>
      </c>
      <c r="I507" s="1">
        <v>751</v>
      </c>
      <c r="J507" s="1">
        <v>643</v>
      </c>
      <c r="K507" s="1">
        <v>537</v>
      </c>
      <c r="L507" s="1">
        <v>56</v>
      </c>
      <c r="M507" s="1">
        <v>125</v>
      </c>
      <c r="N507" s="1">
        <v>819</v>
      </c>
      <c r="O507" s="1">
        <v>975</v>
      </c>
      <c r="P507" s="1">
        <v>460</v>
      </c>
      <c r="Q507" s="1">
        <v>369</v>
      </c>
      <c r="R507" s="1">
        <v>91</v>
      </c>
      <c r="S507" s="1">
        <f>SUM(ecommerce_sales_all_data[[#This Row],[sales_month_1]:[sales_month_12]])</f>
        <v>6205</v>
      </c>
      <c r="T507" s="3">
        <f t="shared" si="94"/>
        <v>51043.5</v>
      </c>
      <c r="U507" s="3">
        <f t="shared" si="95"/>
        <v>66861</v>
      </c>
      <c r="V507" s="3">
        <f t="shared" si="96"/>
        <v>64210.5</v>
      </c>
      <c r="W507" s="3">
        <f t="shared" si="97"/>
        <v>54976.5</v>
      </c>
      <c r="X507" s="3">
        <f t="shared" si="98"/>
        <v>45913.5</v>
      </c>
      <c r="Y507" s="3">
        <f t="shared" si="99"/>
        <v>4788</v>
      </c>
      <c r="Z507" s="3">
        <f t="shared" si="100"/>
        <v>10687.5</v>
      </c>
      <c r="AA507" s="3">
        <f t="shared" si="101"/>
        <v>70024.5</v>
      </c>
      <c r="AB507" s="3">
        <f t="shared" si="102"/>
        <v>83362.5</v>
      </c>
      <c r="AC507" s="3">
        <f t="shared" si="103"/>
        <v>39330</v>
      </c>
      <c r="AD507" s="3">
        <f t="shared" si="104"/>
        <v>31549.5</v>
      </c>
      <c r="AE507" s="3">
        <f t="shared" si="105"/>
        <v>7780.5</v>
      </c>
      <c r="AF507" s="3">
        <f>SUM(ecommerce_sales_all_data[[#This Row],[revenue_month_1]:[revenue_month_12]])</f>
        <v>530527.5</v>
      </c>
    </row>
    <row r="508" spans="1:32" x14ac:dyDescent="0.3">
      <c r="A508">
        <v>507</v>
      </c>
      <c r="B508" t="s">
        <v>531</v>
      </c>
      <c r="C508" t="s">
        <v>48</v>
      </c>
      <c r="D508" s="2">
        <v>455.91</v>
      </c>
      <c r="E508">
        <v>3.3</v>
      </c>
      <c r="F508">
        <v>820</v>
      </c>
      <c r="G508" s="1">
        <v>445</v>
      </c>
      <c r="H508" s="1">
        <v>898</v>
      </c>
      <c r="I508" s="1">
        <v>513</v>
      </c>
      <c r="J508" s="1">
        <v>541</v>
      </c>
      <c r="K508" s="1">
        <v>847</v>
      </c>
      <c r="L508" s="1">
        <v>604</v>
      </c>
      <c r="M508" s="1">
        <v>407</v>
      </c>
      <c r="N508" s="1">
        <v>79</v>
      </c>
      <c r="O508" s="1">
        <v>413</v>
      </c>
      <c r="P508" s="1">
        <v>458</v>
      </c>
      <c r="Q508" s="1">
        <v>367</v>
      </c>
      <c r="R508" s="1">
        <v>21</v>
      </c>
      <c r="S508" s="1">
        <f>SUM(ecommerce_sales_all_data[[#This Row],[sales_month_1]:[sales_month_12]])</f>
        <v>5593</v>
      </c>
      <c r="T508" s="3">
        <f t="shared" si="94"/>
        <v>202879.95</v>
      </c>
      <c r="U508" s="3">
        <f t="shared" si="95"/>
        <v>409407.18000000005</v>
      </c>
      <c r="V508" s="3">
        <f t="shared" si="96"/>
        <v>233881.83000000002</v>
      </c>
      <c r="W508" s="3">
        <f t="shared" si="97"/>
        <v>246647.31000000003</v>
      </c>
      <c r="X508" s="3">
        <f t="shared" si="98"/>
        <v>386155.77</v>
      </c>
      <c r="Y508" s="3">
        <f t="shared" si="99"/>
        <v>275369.64</v>
      </c>
      <c r="Z508" s="3">
        <f t="shared" si="100"/>
        <v>185555.37000000002</v>
      </c>
      <c r="AA508" s="3">
        <f t="shared" si="101"/>
        <v>36016.89</v>
      </c>
      <c r="AB508" s="3">
        <f t="shared" si="102"/>
        <v>188290.83000000002</v>
      </c>
      <c r="AC508" s="3">
        <f t="shared" si="103"/>
        <v>208806.78</v>
      </c>
      <c r="AD508" s="3">
        <f t="shared" si="104"/>
        <v>167318.97</v>
      </c>
      <c r="AE508" s="3">
        <f t="shared" si="105"/>
        <v>9574.11</v>
      </c>
      <c r="AF508" s="3">
        <f>SUM(ecommerce_sales_all_data[[#This Row],[revenue_month_1]:[revenue_month_12]])</f>
        <v>2549904.63</v>
      </c>
    </row>
    <row r="509" spans="1:32" x14ac:dyDescent="0.3">
      <c r="A509">
        <v>508</v>
      </c>
      <c r="B509" t="s">
        <v>532</v>
      </c>
      <c r="C509" t="s">
        <v>19</v>
      </c>
      <c r="D509" s="2">
        <v>412.16</v>
      </c>
      <c r="E509">
        <v>3.1</v>
      </c>
      <c r="F509">
        <v>605</v>
      </c>
      <c r="G509" s="1">
        <v>209</v>
      </c>
      <c r="H509" s="1">
        <v>138</v>
      </c>
      <c r="I509" s="1">
        <v>448</v>
      </c>
      <c r="J509" s="1">
        <v>669</v>
      </c>
      <c r="K509" s="1">
        <v>987</v>
      </c>
      <c r="L509" s="1">
        <v>18</v>
      </c>
      <c r="M509" s="1">
        <v>564</v>
      </c>
      <c r="N509" s="1">
        <v>646</v>
      </c>
      <c r="O509" s="1">
        <v>152</v>
      </c>
      <c r="P509" s="1">
        <v>188</v>
      </c>
      <c r="Q509" s="1">
        <v>435</v>
      </c>
      <c r="R509" s="1">
        <v>171</v>
      </c>
      <c r="S509" s="1">
        <f>SUM(ecommerce_sales_all_data[[#This Row],[sales_month_1]:[sales_month_12]])</f>
        <v>4625</v>
      </c>
      <c r="T509" s="3">
        <f t="shared" si="94"/>
        <v>86141.440000000002</v>
      </c>
      <c r="U509" s="3">
        <f t="shared" si="95"/>
        <v>56878.080000000002</v>
      </c>
      <c r="V509" s="3">
        <f t="shared" si="96"/>
        <v>184647.68000000002</v>
      </c>
      <c r="W509" s="3">
        <f t="shared" si="97"/>
        <v>275735.04000000004</v>
      </c>
      <c r="X509" s="3">
        <f t="shared" si="98"/>
        <v>406801.92000000004</v>
      </c>
      <c r="Y509" s="3">
        <f t="shared" si="99"/>
        <v>7418.88</v>
      </c>
      <c r="Z509" s="3">
        <f t="shared" si="100"/>
        <v>232458.24000000002</v>
      </c>
      <c r="AA509" s="3">
        <f t="shared" si="101"/>
        <v>266255.36000000004</v>
      </c>
      <c r="AB509" s="3">
        <f t="shared" si="102"/>
        <v>62648.320000000007</v>
      </c>
      <c r="AC509" s="3">
        <f t="shared" si="103"/>
        <v>77486.080000000002</v>
      </c>
      <c r="AD509" s="3">
        <f t="shared" si="104"/>
        <v>179289.60000000001</v>
      </c>
      <c r="AE509" s="3">
        <f t="shared" si="105"/>
        <v>70479.360000000001</v>
      </c>
      <c r="AF509" s="3">
        <f>SUM(ecommerce_sales_all_data[[#This Row],[revenue_month_1]:[revenue_month_12]])</f>
        <v>1906240.0000000007</v>
      </c>
    </row>
    <row r="510" spans="1:32" x14ac:dyDescent="0.3">
      <c r="A510">
        <v>509</v>
      </c>
      <c r="B510" t="s">
        <v>533</v>
      </c>
      <c r="C510" t="s">
        <v>48</v>
      </c>
      <c r="D510" s="2">
        <v>475.15</v>
      </c>
      <c r="E510">
        <v>3.4</v>
      </c>
      <c r="F510">
        <v>406</v>
      </c>
      <c r="G510" s="1">
        <v>589</v>
      </c>
      <c r="H510" s="1">
        <v>692</v>
      </c>
      <c r="I510" s="1">
        <v>359</v>
      </c>
      <c r="J510" s="1">
        <v>277</v>
      </c>
      <c r="K510" s="1">
        <v>64</v>
      </c>
      <c r="L510" s="1">
        <v>383</v>
      </c>
      <c r="M510" s="1">
        <v>197</v>
      </c>
      <c r="N510" s="1">
        <v>21</v>
      </c>
      <c r="O510" s="1">
        <v>103</v>
      </c>
      <c r="P510" s="1">
        <v>463</v>
      </c>
      <c r="Q510" s="1">
        <v>917</v>
      </c>
      <c r="R510" s="1">
        <v>603</v>
      </c>
      <c r="S510" s="1">
        <f>SUM(ecommerce_sales_all_data[[#This Row],[sales_month_1]:[sales_month_12]])</f>
        <v>4668</v>
      </c>
      <c r="T510" s="3">
        <f t="shared" si="94"/>
        <v>279863.34999999998</v>
      </c>
      <c r="U510" s="3">
        <f t="shared" si="95"/>
        <v>328803.8</v>
      </c>
      <c r="V510" s="3">
        <f t="shared" si="96"/>
        <v>170578.85</v>
      </c>
      <c r="W510" s="3">
        <f t="shared" si="97"/>
        <v>131616.54999999999</v>
      </c>
      <c r="X510" s="3">
        <f t="shared" si="98"/>
        <v>30409.599999999999</v>
      </c>
      <c r="Y510" s="3">
        <f t="shared" si="99"/>
        <v>181982.44999999998</v>
      </c>
      <c r="Z510" s="3">
        <f t="shared" si="100"/>
        <v>93604.549999999988</v>
      </c>
      <c r="AA510" s="3">
        <f t="shared" si="101"/>
        <v>9978.15</v>
      </c>
      <c r="AB510" s="3">
        <f t="shared" si="102"/>
        <v>48940.45</v>
      </c>
      <c r="AC510" s="3">
        <f t="shared" si="103"/>
        <v>219994.44999999998</v>
      </c>
      <c r="AD510" s="3">
        <f t="shared" si="104"/>
        <v>435712.55</v>
      </c>
      <c r="AE510" s="3">
        <f t="shared" si="105"/>
        <v>286515.45</v>
      </c>
      <c r="AF510" s="3">
        <f>SUM(ecommerce_sales_all_data[[#This Row],[revenue_month_1]:[revenue_month_12]])</f>
        <v>2218000.1999999997</v>
      </c>
    </row>
    <row r="511" spans="1:32" x14ac:dyDescent="0.3">
      <c r="A511">
        <v>510</v>
      </c>
      <c r="B511" t="s">
        <v>534</v>
      </c>
      <c r="C511" t="s">
        <v>26</v>
      </c>
      <c r="D511" s="2">
        <v>364.23</v>
      </c>
      <c r="E511">
        <v>4.0999999999999996</v>
      </c>
      <c r="F511">
        <v>232</v>
      </c>
      <c r="G511" s="1">
        <v>713</v>
      </c>
      <c r="H511" s="1">
        <v>941</v>
      </c>
      <c r="I511" s="1">
        <v>699</v>
      </c>
      <c r="J511" s="1">
        <v>202</v>
      </c>
      <c r="K511" s="1">
        <v>611</v>
      </c>
      <c r="L511" s="1">
        <v>864</v>
      </c>
      <c r="M511" s="1">
        <v>810</v>
      </c>
      <c r="N511" s="1">
        <v>476</v>
      </c>
      <c r="O511" s="1">
        <v>74</v>
      </c>
      <c r="P511" s="1">
        <v>911</v>
      </c>
      <c r="Q511" s="1">
        <v>3</v>
      </c>
      <c r="R511" s="1">
        <v>191</v>
      </c>
      <c r="S511" s="1">
        <f>SUM(ecommerce_sales_all_data[[#This Row],[sales_month_1]:[sales_month_12]])</f>
        <v>6495</v>
      </c>
      <c r="T511" s="3">
        <f t="shared" si="94"/>
        <v>259695.99000000002</v>
      </c>
      <c r="U511" s="3">
        <f t="shared" si="95"/>
        <v>342740.43</v>
      </c>
      <c r="V511" s="3">
        <f t="shared" si="96"/>
        <v>254596.77000000002</v>
      </c>
      <c r="W511" s="3">
        <f t="shared" si="97"/>
        <v>73574.460000000006</v>
      </c>
      <c r="X511" s="3">
        <f t="shared" si="98"/>
        <v>222544.53</v>
      </c>
      <c r="Y511" s="3">
        <f t="shared" si="99"/>
        <v>314694.72000000003</v>
      </c>
      <c r="Z511" s="3">
        <f t="shared" si="100"/>
        <v>295026.3</v>
      </c>
      <c r="AA511" s="3">
        <f t="shared" si="101"/>
        <v>173373.48</v>
      </c>
      <c r="AB511" s="3">
        <f t="shared" si="102"/>
        <v>26953.02</v>
      </c>
      <c r="AC511" s="3">
        <f t="shared" si="103"/>
        <v>331813.53000000003</v>
      </c>
      <c r="AD511" s="3">
        <f t="shared" si="104"/>
        <v>1092.69</v>
      </c>
      <c r="AE511" s="3">
        <f t="shared" si="105"/>
        <v>69567.930000000008</v>
      </c>
      <c r="AF511" s="3">
        <f>SUM(ecommerce_sales_all_data[[#This Row],[revenue_month_1]:[revenue_month_12]])</f>
        <v>2365673.85</v>
      </c>
    </row>
    <row r="512" spans="1:32" x14ac:dyDescent="0.3">
      <c r="A512">
        <v>511</v>
      </c>
      <c r="B512" t="s">
        <v>535</v>
      </c>
      <c r="C512" t="s">
        <v>23</v>
      </c>
      <c r="D512" s="2">
        <v>308.64</v>
      </c>
      <c r="E512">
        <v>4.3</v>
      </c>
      <c r="F512">
        <v>533</v>
      </c>
      <c r="G512" s="1">
        <v>301</v>
      </c>
      <c r="H512" s="1">
        <v>541</v>
      </c>
      <c r="I512" s="1">
        <v>818</v>
      </c>
      <c r="J512" s="1">
        <v>65</v>
      </c>
      <c r="K512" s="1">
        <v>585</v>
      </c>
      <c r="L512" s="1">
        <v>192</v>
      </c>
      <c r="M512" s="1">
        <v>187</v>
      </c>
      <c r="N512" s="1">
        <v>842</v>
      </c>
      <c r="O512" s="1">
        <v>127</v>
      </c>
      <c r="P512" s="1">
        <v>378</v>
      </c>
      <c r="Q512" s="1">
        <v>243</v>
      </c>
      <c r="R512" s="1">
        <v>76</v>
      </c>
      <c r="S512" s="1">
        <f>SUM(ecommerce_sales_all_data[[#This Row],[sales_month_1]:[sales_month_12]])</f>
        <v>4355</v>
      </c>
      <c r="T512" s="3">
        <f t="shared" si="94"/>
        <v>92900.64</v>
      </c>
      <c r="U512" s="3">
        <f t="shared" si="95"/>
        <v>166974.24</v>
      </c>
      <c r="V512" s="3">
        <f t="shared" si="96"/>
        <v>252467.52</v>
      </c>
      <c r="W512" s="3">
        <f t="shared" si="97"/>
        <v>20061.599999999999</v>
      </c>
      <c r="X512" s="3">
        <f t="shared" si="98"/>
        <v>180554.4</v>
      </c>
      <c r="Y512" s="3">
        <f t="shared" si="99"/>
        <v>59258.879999999997</v>
      </c>
      <c r="Z512" s="3">
        <f t="shared" si="100"/>
        <v>57715.68</v>
      </c>
      <c r="AA512" s="3">
        <f t="shared" si="101"/>
        <v>259874.87999999998</v>
      </c>
      <c r="AB512" s="3">
        <f t="shared" si="102"/>
        <v>39197.279999999999</v>
      </c>
      <c r="AC512" s="3">
        <f t="shared" si="103"/>
        <v>116665.92</v>
      </c>
      <c r="AD512" s="3">
        <f t="shared" si="104"/>
        <v>74999.51999999999</v>
      </c>
      <c r="AE512" s="3">
        <f t="shared" si="105"/>
        <v>23456.639999999999</v>
      </c>
      <c r="AF512" s="3">
        <f>SUM(ecommerce_sales_all_data[[#This Row],[revenue_month_1]:[revenue_month_12]])</f>
        <v>1344127.2</v>
      </c>
    </row>
    <row r="513" spans="1:32" x14ac:dyDescent="0.3">
      <c r="A513">
        <v>512</v>
      </c>
      <c r="B513" t="s">
        <v>536</v>
      </c>
      <c r="C513" t="s">
        <v>29</v>
      </c>
      <c r="D513" s="2">
        <v>212.03</v>
      </c>
      <c r="E513">
        <v>3.9</v>
      </c>
      <c r="F513">
        <v>819</v>
      </c>
      <c r="G513" s="1">
        <v>908</v>
      </c>
      <c r="H513" s="1">
        <v>56</v>
      </c>
      <c r="I513" s="1">
        <v>29</v>
      </c>
      <c r="J513" s="1">
        <v>107</v>
      </c>
      <c r="K513" s="1">
        <v>703</v>
      </c>
      <c r="L513" s="1">
        <v>236</v>
      </c>
      <c r="M513" s="1">
        <v>697</v>
      </c>
      <c r="N513" s="1">
        <v>439</v>
      </c>
      <c r="O513" s="1">
        <v>710</v>
      </c>
      <c r="P513" s="1">
        <v>1</v>
      </c>
      <c r="Q513" s="1">
        <v>901</v>
      </c>
      <c r="R513" s="1">
        <v>280</v>
      </c>
      <c r="S513" s="1">
        <f>SUM(ecommerce_sales_all_data[[#This Row],[sales_month_1]:[sales_month_12]])</f>
        <v>5067</v>
      </c>
      <c r="T513" s="3">
        <f t="shared" si="94"/>
        <v>192523.24</v>
      </c>
      <c r="U513" s="3">
        <f t="shared" si="95"/>
        <v>11873.68</v>
      </c>
      <c r="V513" s="3">
        <f t="shared" si="96"/>
        <v>6148.87</v>
      </c>
      <c r="W513" s="3">
        <f t="shared" si="97"/>
        <v>22687.21</v>
      </c>
      <c r="X513" s="3">
        <f t="shared" si="98"/>
        <v>149057.09</v>
      </c>
      <c r="Y513" s="3">
        <f t="shared" si="99"/>
        <v>50039.08</v>
      </c>
      <c r="Z513" s="3">
        <f t="shared" si="100"/>
        <v>147784.91</v>
      </c>
      <c r="AA513" s="3">
        <f t="shared" si="101"/>
        <v>93081.17</v>
      </c>
      <c r="AB513" s="3">
        <f t="shared" si="102"/>
        <v>150541.29999999999</v>
      </c>
      <c r="AC513" s="3">
        <f t="shared" si="103"/>
        <v>212.03</v>
      </c>
      <c r="AD513" s="3">
        <f t="shared" si="104"/>
        <v>191039.03</v>
      </c>
      <c r="AE513" s="3">
        <f t="shared" si="105"/>
        <v>59368.4</v>
      </c>
      <c r="AF513" s="3">
        <f>SUM(ecommerce_sales_all_data[[#This Row],[revenue_month_1]:[revenue_month_12]])</f>
        <v>1074356.01</v>
      </c>
    </row>
    <row r="514" spans="1:32" x14ac:dyDescent="0.3">
      <c r="A514">
        <v>513</v>
      </c>
      <c r="B514" t="s">
        <v>537</v>
      </c>
      <c r="C514" t="s">
        <v>19</v>
      </c>
      <c r="D514" s="2">
        <v>466.7</v>
      </c>
      <c r="E514">
        <v>4.8</v>
      </c>
      <c r="F514">
        <v>550</v>
      </c>
      <c r="G514" s="1">
        <v>222</v>
      </c>
      <c r="H514" s="1">
        <v>231</v>
      </c>
      <c r="I514" s="1">
        <v>778</v>
      </c>
      <c r="J514" s="1">
        <v>267</v>
      </c>
      <c r="K514" s="1">
        <v>170</v>
      </c>
      <c r="L514" s="1">
        <v>386</v>
      </c>
      <c r="M514" s="1">
        <v>816</v>
      </c>
      <c r="N514" s="1">
        <v>736</v>
      </c>
      <c r="O514" s="1">
        <v>665</v>
      </c>
      <c r="P514" s="1">
        <v>617</v>
      </c>
      <c r="Q514" s="1">
        <v>165</v>
      </c>
      <c r="R514" s="1">
        <v>363</v>
      </c>
      <c r="S514" s="1">
        <f>SUM(ecommerce_sales_all_data[[#This Row],[sales_month_1]:[sales_month_12]])</f>
        <v>5416</v>
      </c>
      <c r="T514" s="3">
        <f t="shared" ref="T514:T577" si="106">G514*$D514</f>
        <v>103607.4</v>
      </c>
      <c r="U514" s="3">
        <f t="shared" ref="U514:U577" si="107">H514*$D514</f>
        <v>107807.7</v>
      </c>
      <c r="V514" s="3">
        <f t="shared" si="96"/>
        <v>363092.6</v>
      </c>
      <c r="W514" s="3">
        <f t="shared" si="97"/>
        <v>124608.9</v>
      </c>
      <c r="X514" s="3">
        <f t="shared" si="98"/>
        <v>79339</v>
      </c>
      <c r="Y514" s="3">
        <f t="shared" si="99"/>
        <v>180146.19999999998</v>
      </c>
      <c r="Z514" s="3">
        <f t="shared" si="100"/>
        <v>380827.2</v>
      </c>
      <c r="AA514" s="3">
        <f t="shared" si="101"/>
        <v>343491.2</v>
      </c>
      <c r="AB514" s="3">
        <f t="shared" si="102"/>
        <v>310355.5</v>
      </c>
      <c r="AC514" s="3">
        <f t="shared" si="103"/>
        <v>287953.89999999997</v>
      </c>
      <c r="AD514" s="3">
        <f t="shared" si="104"/>
        <v>77005.5</v>
      </c>
      <c r="AE514" s="3">
        <f t="shared" si="105"/>
        <v>169412.1</v>
      </c>
      <c r="AF514" s="3">
        <f>SUM(ecommerce_sales_all_data[[#This Row],[revenue_month_1]:[revenue_month_12]])</f>
        <v>2527647.2000000002</v>
      </c>
    </row>
    <row r="515" spans="1:32" x14ac:dyDescent="0.3">
      <c r="A515">
        <v>514</v>
      </c>
      <c r="B515" t="s">
        <v>538</v>
      </c>
      <c r="C515" t="s">
        <v>26</v>
      </c>
      <c r="D515" s="2">
        <v>433.7</v>
      </c>
      <c r="E515">
        <v>1.1000000000000001</v>
      </c>
      <c r="F515">
        <v>788</v>
      </c>
      <c r="G515" s="1">
        <v>733</v>
      </c>
      <c r="H515" s="1">
        <v>657</v>
      </c>
      <c r="I515" s="1">
        <v>987</v>
      </c>
      <c r="J515" s="1">
        <v>221</v>
      </c>
      <c r="K515" s="1">
        <v>272</v>
      </c>
      <c r="L515" s="1">
        <v>425</v>
      </c>
      <c r="M515" s="1">
        <v>809</v>
      </c>
      <c r="N515" s="1">
        <v>569</v>
      </c>
      <c r="O515" s="1">
        <v>567</v>
      </c>
      <c r="P515" s="1">
        <v>363</v>
      </c>
      <c r="Q515" s="1">
        <v>25</v>
      </c>
      <c r="R515" s="1">
        <v>178</v>
      </c>
      <c r="S515" s="1">
        <f>SUM(ecommerce_sales_all_data[[#This Row],[sales_month_1]:[sales_month_12]])</f>
        <v>5806</v>
      </c>
      <c r="T515" s="3">
        <f t="shared" si="106"/>
        <v>317902.09999999998</v>
      </c>
      <c r="U515" s="3">
        <f t="shared" si="107"/>
        <v>284940.89999999997</v>
      </c>
      <c r="V515" s="3">
        <f t="shared" ref="V515:V578" si="108">I515*$D515</f>
        <v>428061.89999999997</v>
      </c>
      <c r="W515" s="3">
        <f t="shared" ref="W515:W578" si="109">J515*$D515</f>
        <v>95847.7</v>
      </c>
      <c r="X515" s="3">
        <f t="shared" ref="X515:X578" si="110">K515*$D515</f>
        <v>117966.39999999999</v>
      </c>
      <c r="Y515" s="3">
        <f t="shared" ref="Y515:Y578" si="111">L515*$D515</f>
        <v>184322.5</v>
      </c>
      <c r="Z515" s="3">
        <f t="shared" ref="Z515:Z578" si="112">M515*$D515</f>
        <v>350863.3</v>
      </c>
      <c r="AA515" s="3">
        <f t="shared" ref="AA515:AA578" si="113">N515*$D515</f>
        <v>246775.3</v>
      </c>
      <c r="AB515" s="3">
        <f t="shared" ref="AB515:AB578" si="114">O515*$D515</f>
        <v>245907.9</v>
      </c>
      <c r="AC515" s="3">
        <f t="shared" ref="AC515:AC578" si="115">P515*$D515</f>
        <v>157433.1</v>
      </c>
      <c r="AD515" s="3">
        <f t="shared" ref="AD515:AD578" si="116">Q515*$D515</f>
        <v>10842.5</v>
      </c>
      <c r="AE515" s="3">
        <f t="shared" ref="AE515:AE578" si="117">R515*$D515</f>
        <v>77198.599999999991</v>
      </c>
      <c r="AF515" s="3">
        <f>SUM(ecommerce_sales_all_data[[#This Row],[revenue_month_1]:[revenue_month_12]])</f>
        <v>2518062.2000000002</v>
      </c>
    </row>
    <row r="516" spans="1:32" x14ac:dyDescent="0.3">
      <c r="A516">
        <v>515</v>
      </c>
      <c r="B516" t="s">
        <v>539</v>
      </c>
      <c r="C516" t="s">
        <v>35</v>
      </c>
      <c r="D516" s="2">
        <v>27.38</v>
      </c>
      <c r="E516">
        <v>1.8</v>
      </c>
      <c r="F516">
        <v>505</v>
      </c>
      <c r="G516" s="1">
        <v>2</v>
      </c>
      <c r="H516" s="1">
        <v>434</v>
      </c>
      <c r="I516" s="1">
        <v>107</v>
      </c>
      <c r="J516" s="1">
        <v>803</v>
      </c>
      <c r="K516" s="1">
        <v>888</v>
      </c>
      <c r="L516" s="1">
        <v>276</v>
      </c>
      <c r="M516" s="1">
        <v>715</v>
      </c>
      <c r="N516" s="1">
        <v>92</v>
      </c>
      <c r="O516" s="1">
        <v>789</v>
      </c>
      <c r="P516" s="1">
        <v>71</v>
      </c>
      <c r="Q516" s="1">
        <v>394</v>
      </c>
      <c r="R516" s="1">
        <v>237</v>
      </c>
      <c r="S516" s="1">
        <f>SUM(ecommerce_sales_all_data[[#This Row],[sales_month_1]:[sales_month_12]])</f>
        <v>4808</v>
      </c>
      <c r="T516" s="3">
        <f t="shared" si="106"/>
        <v>54.76</v>
      </c>
      <c r="U516" s="3">
        <f t="shared" si="107"/>
        <v>11882.92</v>
      </c>
      <c r="V516" s="3">
        <f t="shared" si="108"/>
        <v>2929.66</v>
      </c>
      <c r="W516" s="3">
        <f t="shared" si="109"/>
        <v>21986.14</v>
      </c>
      <c r="X516" s="3">
        <f t="shared" si="110"/>
        <v>24313.439999999999</v>
      </c>
      <c r="Y516" s="3">
        <f t="shared" si="111"/>
        <v>7556.88</v>
      </c>
      <c r="Z516" s="3">
        <f t="shared" si="112"/>
        <v>19576.7</v>
      </c>
      <c r="AA516" s="3">
        <f t="shared" si="113"/>
        <v>2518.96</v>
      </c>
      <c r="AB516" s="3">
        <f t="shared" si="114"/>
        <v>21602.82</v>
      </c>
      <c r="AC516" s="3">
        <f t="shared" si="115"/>
        <v>1943.98</v>
      </c>
      <c r="AD516" s="3">
        <f t="shared" si="116"/>
        <v>10787.72</v>
      </c>
      <c r="AE516" s="3">
        <f t="shared" si="117"/>
        <v>6489.0599999999995</v>
      </c>
      <c r="AF516" s="3">
        <f>SUM(ecommerce_sales_all_data[[#This Row],[revenue_month_1]:[revenue_month_12]])</f>
        <v>131643.04</v>
      </c>
    </row>
    <row r="517" spans="1:32" x14ac:dyDescent="0.3">
      <c r="A517">
        <v>516</v>
      </c>
      <c r="B517" t="s">
        <v>540</v>
      </c>
      <c r="C517" t="s">
        <v>26</v>
      </c>
      <c r="D517" s="2">
        <v>18.05</v>
      </c>
      <c r="E517">
        <v>1</v>
      </c>
      <c r="F517">
        <v>669</v>
      </c>
      <c r="G517" s="1">
        <v>989</v>
      </c>
      <c r="H517" s="1">
        <v>383</v>
      </c>
      <c r="I517" s="1">
        <v>843</v>
      </c>
      <c r="J517" s="1">
        <v>529</v>
      </c>
      <c r="K517" s="1">
        <v>698</v>
      </c>
      <c r="L517" s="1">
        <v>226</v>
      </c>
      <c r="M517" s="1">
        <v>483</v>
      </c>
      <c r="N517" s="1">
        <v>191</v>
      </c>
      <c r="O517" s="1">
        <v>344</v>
      </c>
      <c r="P517" s="1">
        <v>426</v>
      </c>
      <c r="Q517" s="1">
        <v>473</v>
      </c>
      <c r="R517" s="1">
        <v>134</v>
      </c>
      <c r="S517" s="1">
        <f>SUM(ecommerce_sales_all_data[[#This Row],[sales_month_1]:[sales_month_12]])</f>
        <v>5719</v>
      </c>
      <c r="T517" s="3">
        <f t="shared" si="106"/>
        <v>17851.45</v>
      </c>
      <c r="U517" s="3">
        <f t="shared" si="107"/>
        <v>6913.1500000000005</v>
      </c>
      <c r="V517" s="3">
        <f t="shared" si="108"/>
        <v>15216.150000000001</v>
      </c>
      <c r="W517" s="3">
        <f t="shared" si="109"/>
        <v>9548.4500000000007</v>
      </c>
      <c r="X517" s="3">
        <f t="shared" si="110"/>
        <v>12598.9</v>
      </c>
      <c r="Y517" s="3">
        <f t="shared" si="111"/>
        <v>4079.3</v>
      </c>
      <c r="Z517" s="3">
        <f t="shared" si="112"/>
        <v>8718.15</v>
      </c>
      <c r="AA517" s="3">
        <f t="shared" si="113"/>
        <v>3447.55</v>
      </c>
      <c r="AB517" s="3">
        <f t="shared" si="114"/>
        <v>6209.2</v>
      </c>
      <c r="AC517" s="3">
        <f t="shared" si="115"/>
        <v>7689.3</v>
      </c>
      <c r="AD517" s="3">
        <f t="shared" si="116"/>
        <v>8537.65</v>
      </c>
      <c r="AE517" s="3">
        <f t="shared" si="117"/>
        <v>2418.7000000000003</v>
      </c>
      <c r="AF517" s="3">
        <f>SUM(ecommerce_sales_all_data[[#This Row],[revenue_month_1]:[revenue_month_12]])</f>
        <v>103227.94999999998</v>
      </c>
    </row>
    <row r="518" spans="1:32" x14ac:dyDescent="0.3">
      <c r="A518">
        <v>517</v>
      </c>
      <c r="B518" t="s">
        <v>541</v>
      </c>
      <c r="C518" t="s">
        <v>26</v>
      </c>
      <c r="D518" s="2">
        <v>191.35</v>
      </c>
      <c r="E518">
        <v>3.6</v>
      </c>
      <c r="F518">
        <v>179</v>
      </c>
      <c r="G518" s="1">
        <v>517</v>
      </c>
      <c r="H518" s="1">
        <v>559</v>
      </c>
      <c r="I518" s="1">
        <v>934</v>
      </c>
      <c r="J518" s="1">
        <v>89</v>
      </c>
      <c r="K518" s="1">
        <v>534</v>
      </c>
      <c r="L518" s="1">
        <v>744</v>
      </c>
      <c r="M518" s="1">
        <v>449</v>
      </c>
      <c r="N518" s="1">
        <v>102</v>
      </c>
      <c r="O518" s="1">
        <v>530</v>
      </c>
      <c r="P518" s="1">
        <v>637</v>
      </c>
      <c r="Q518" s="1">
        <v>16</v>
      </c>
      <c r="R518" s="1">
        <v>876</v>
      </c>
      <c r="S518" s="1">
        <f>SUM(ecommerce_sales_all_data[[#This Row],[sales_month_1]:[sales_month_12]])</f>
        <v>5987</v>
      </c>
      <c r="T518" s="3">
        <f t="shared" si="106"/>
        <v>98927.95</v>
      </c>
      <c r="U518" s="3">
        <f t="shared" si="107"/>
        <v>106964.65</v>
      </c>
      <c r="V518" s="3">
        <f t="shared" si="108"/>
        <v>178720.9</v>
      </c>
      <c r="W518" s="3">
        <f t="shared" si="109"/>
        <v>17030.149999999998</v>
      </c>
      <c r="X518" s="3">
        <f t="shared" si="110"/>
        <v>102180.9</v>
      </c>
      <c r="Y518" s="3">
        <f t="shared" si="111"/>
        <v>142364.4</v>
      </c>
      <c r="Z518" s="3">
        <f t="shared" si="112"/>
        <v>85916.15</v>
      </c>
      <c r="AA518" s="3">
        <f t="shared" si="113"/>
        <v>19517.7</v>
      </c>
      <c r="AB518" s="3">
        <f t="shared" si="114"/>
        <v>101415.5</v>
      </c>
      <c r="AC518" s="3">
        <f t="shared" si="115"/>
        <v>121889.95</v>
      </c>
      <c r="AD518" s="3">
        <f t="shared" si="116"/>
        <v>3061.6</v>
      </c>
      <c r="AE518" s="3">
        <f t="shared" si="117"/>
        <v>167622.6</v>
      </c>
      <c r="AF518" s="3">
        <f>SUM(ecommerce_sales_all_data[[#This Row],[revenue_month_1]:[revenue_month_12]])</f>
        <v>1145612.45</v>
      </c>
    </row>
    <row r="519" spans="1:32" x14ac:dyDescent="0.3">
      <c r="A519">
        <v>518</v>
      </c>
      <c r="B519" t="s">
        <v>542</v>
      </c>
      <c r="C519" t="s">
        <v>29</v>
      </c>
      <c r="D519" s="2">
        <v>406.22</v>
      </c>
      <c r="E519">
        <v>4.5999999999999996</v>
      </c>
      <c r="F519">
        <v>132</v>
      </c>
      <c r="G519" s="1">
        <v>92</v>
      </c>
      <c r="H519" s="1">
        <v>193</v>
      </c>
      <c r="I519" s="1">
        <v>601</v>
      </c>
      <c r="J519" s="1">
        <v>692</v>
      </c>
      <c r="K519" s="1">
        <v>390</v>
      </c>
      <c r="L519" s="1">
        <v>551</v>
      </c>
      <c r="M519" s="1">
        <v>522</v>
      </c>
      <c r="N519" s="1">
        <v>395</v>
      </c>
      <c r="O519" s="1">
        <v>158</v>
      </c>
      <c r="P519" s="1">
        <v>169</v>
      </c>
      <c r="Q519" s="1">
        <v>727</v>
      </c>
      <c r="R519" s="1">
        <v>901</v>
      </c>
      <c r="S519" s="1">
        <f>SUM(ecommerce_sales_all_data[[#This Row],[sales_month_1]:[sales_month_12]])</f>
        <v>5391</v>
      </c>
      <c r="T519" s="3">
        <f t="shared" si="106"/>
        <v>37372.240000000005</v>
      </c>
      <c r="U519" s="3">
        <f t="shared" si="107"/>
        <v>78400.460000000006</v>
      </c>
      <c r="V519" s="3">
        <f t="shared" si="108"/>
        <v>244138.22000000003</v>
      </c>
      <c r="W519" s="3">
        <f t="shared" si="109"/>
        <v>281104.24</v>
      </c>
      <c r="X519" s="3">
        <f t="shared" si="110"/>
        <v>158425.80000000002</v>
      </c>
      <c r="Y519" s="3">
        <f t="shared" si="111"/>
        <v>223827.22</v>
      </c>
      <c r="Z519" s="3">
        <f t="shared" si="112"/>
        <v>212046.84000000003</v>
      </c>
      <c r="AA519" s="3">
        <f t="shared" si="113"/>
        <v>160456.90000000002</v>
      </c>
      <c r="AB519" s="3">
        <f t="shared" si="114"/>
        <v>64182.76</v>
      </c>
      <c r="AC519" s="3">
        <f t="shared" si="115"/>
        <v>68651.180000000008</v>
      </c>
      <c r="AD519" s="3">
        <f t="shared" si="116"/>
        <v>295321.94</v>
      </c>
      <c r="AE519" s="3">
        <f t="shared" si="117"/>
        <v>366004.22000000003</v>
      </c>
      <c r="AF519" s="3">
        <f>SUM(ecommerce_sales_all_data[[#This Row],[revenue_month_1]:[revenue_month_12]])</f>
        <v>2189932.02</v>
      </c>
    </row>
    <row r="520" spans="1:32" x14ac:dyDescent="0.3">
      <c r="A520">
        <v>519</v>
      </c>
      <c r="B520" t="s">
        <v>543</v>
      </c>
      <c r="C520" t="s">
        <v>21</v>
      </c>
      <c r="D520" s="2">
        <v>493.7</v>
      </c>
      <c r="E520">
        <v>2</v>
      </c>
      <c r="F520">
        <v>823</v>
      </c>
      <c r="G520" s="1">
        <v>519</v>
      </c>
      <c r="H520" s="1">
        <v>735</v>
      </c>
      <c r="I520" s="1">
        <v>716</v>
      </c>
      <c r="J520" s="1">
        <v>254</v>
      </c>
      <c r="K520" s="1">
        <v>939</v>
      </c>
      <c r="L520" s="1">
        <v>322</v>
      </c>
      <c r="M520" s="1">
        <v>870</v>
      </c>
      <c r="N520" s="1">
        <v>6</v>
      </c>
      <c r="O520" s="1">
        <v>537</v>
      </c>
      <c r="P520" s="1">
        <v>204</v>
      </c>
      <c r="Q520" s="1">
        <v>91</v>
      </c>
      <c r="R520" s="1">
        <v>279</v>
      </c>
      <c r="S520" s="1">
        <f>SUM(ecommerce_sales_all_data[[#This Row],[sales_month_1]:[sales_month_12]])</f>
        <v>5472</v>
      </c>
      <c r="T520" s="3">
        <f t="shared" si="106"/>
        <v>256230.3</v>
      </c>
      <c r="U520" s="3">
        <f t="shared" si="107"/>
        <v>362869.5</v>
      </c>
      <c r="V520" s="3">
        <f t="shared" si="108"/>
        <v>353489.2</v>
      </c>
      <c r="W520" s="3">
        <f t="shared" si="109"/>
        <v>125399.8</v>
      </c>
      <c r="X520" s="3">
        <f t="shared" si="110"/>
        <v>463584.3</v>
      </c>
      <c r="Y520" s="3">
        <f t="shared" si="111"/>
        <v>158971.4</v>
      </c>
      <c r="Z520" s="3">
        <f t="shared" si="112"/>
        <v>429519</v>
      </c>
      <c r="AA520" s="3">
        <f t="shared" si="113"/>
        <v>2962.2</v>
      </c>
      <c r="AB520" s="3">
        <f t="shared" si="114"/>
        <v>265116.89999999997</v>
      </c>
      <c r="AC520" s="3">
        <f t="shared" si="115"/>
        <v>100714.8</v>
      </c>
      <c r="AD520" s="3">
        <f t="shared" si="116"/>
        <v>44926.7</v>
      </c>
      <c r="AE520" s="3">
        <f t="shared" si="117"/>
        <v>137742.29999999999</v>
      </c>
      <c r="AF520" s="3">
        <f>SUM(ecommerce_sales_all_data[[#This Row],[revenue_month_1]:[revenue_month_12]])</f>
        <v>2701526.4</v>
      </c>
    </row>
    <row r="521" spans="1:32" x14ac:dyDescent="0.3">
      <c r="A521">
        <v>520</v>
      </c>
      <c r="B521" t="s">
        <v>544</v>
      </c>
      <c r="C521" t="s">
        <v>48</v>
      </c>
      <c r="D521" s="2">
        <v>79.459999999999994</v>
      </c>
      <c r="E521">
        <v>4.7</v>
      </c>
      <c r="F521">
        <v>455</v>
      </c>
      <c r="G521" s="1">
        <v>427</v>
      </c>
      <c r="H521" s="1">
        <v>647</v>
      </c>
      <c r="I521" s="1">
        <v>890</v>
      </c>
      <c r="J521" s="1">
        <v>454</v>
      </c>
      <c r="K521" s="1">
        <v>692</v>
      </c>
      <c r="L521" s="1">
        <v>152</v>
      </c>
      <c r="M521" s="1">
        <v>353</v>
      </c>
      <c r="N521" s="1">
        <v>639</v>
      </c>
      <c r="O521" s="1">
        <v>425</v>
      </c>
      <c r="P521" s="1">
        <v>824</v>
      </c>
      <c r="Q521" s="1">
        <v>482</v>
      </c>
      <c r="R521" s="1">
        <v>18</v>
      </c>
      <c r="S521" s="1">
        <f>SUM(ecommerce_sales_all_data[[#This Row],[sales_month_1]:[sales_month_12]])</f>
        <v>6003</v>
      </c>
      <c r="T521" s="3">
        <f t="shared" si="106"/>
        <v>33929.42</v>
      </c>
      <c r="U521" s="3">
        <f t="shared" si="107"/>
        <v>51410.619999999995</v>
      </c>
      <c r="V521" s="3">
        <f t="shared" si="108"/>
        <v>70719.399999999994</v>
      </c>
      <c r="W521" s="3">
        <f t="shared" si="109"/>
        <v>36074.839999999997</v>
      </c>
      <c r="X521" s="3">
        <f t="shared" si="110"/>
        <v>54986.319999999992</v>
      </c>
      <c r="Y521" s="3">
        <f t="shared" si="111"/>
        <v>12077.919999999998</v>
      </c>
      <c r="Z521" s="3">
        <f t="shared" si="112"/>
        <v>28049.379999999997</v>
      </c>
      <c r="AA521" s="3">
        <f t="shared" si="113"/>
        <v>50774.939999999995</v>
      </c>
      <c r="AB521" s="3">
        <f t="shared" si="114"/>
        <v>33770.5</v>
      </c>
      <c r="AC521" s="3">
        <f t="shared" si="115"/>
        <v>65475.039999999994</v>
      </c>
      <c r="AD521" s="3">
        <f t="shared" si="116"/>
        <v>38299.719999999994</v>
      </c>
      <c r="AE521" s="3">
        <f t="shared" si="117"/>
        <v>1430.28</v>
      </c>
      <c r="AF521" s="3">
        <f>SUM(ecommerce_sales_all_data[[#This Row],[revenue_month_1]:[revenue_month_12]])</f>
        <v>476998.37999999995</v>
      </c>
    </row>
    <row r="522" spans="1:32" x14ac:dyDescent="0.3">
      <c r="A522">
        <v>521</v>
      </c>
      <c r="B522" t="s">
        <v>545</v>
      </c>
      <c r="C522" t="s">
        <v>48</v>
      </c>
      <c r="D522" s="2">
        <v>299.08999999999997</v>
      </c>
      <c r="E522">
        <v>1.2</v>
      </c>
      <c r="F522">
        <v>348</v>
      </c>
      <c r="G522" s="1">
        <v>492</v>
      </c>
      <c r="H522" s="1">
        <v>533</v>
      </c>
      <c r="I522" s="1">
        <v>967</v>
      </c>
      <c r="J522" s="1">
        <v>252</v>
      </c>
      <c r="K522" s="1">
        <v>326</v>
      </c>
      <c r="L522" s="1">
        <v>638</v>
      </c>
      <c r="M522" s="1">
        <v>985</v>
      </c>
      <c r="N522" s="1">
        <v>566</v>
      </c>
      <c r="O522" s="1">
        <v>680</v>
      </c>
      <c r="P522" s="1">
        <v>336</v>
      </c>
      <c r="Q522" s="1">
        <v>542</v>
      </c>
      <c r="R522" s="1">
        <v>594</v>
      </c>
      <c r="S522" s="1">
        <f>SUM(ecommerce_sales_all_data[[#This Row],[sales_month_1]:[sales_month_12]])</f>
        <v>6911</v>
      </c>
      <c r="T522" s="3">
        <f t="shared" si="106"/>
        <v>147152.28</v>
      </c>
      <c r="U522" s="3">
        <f t="shared" si="107"/>
        <v>159414.97</v>
      </c>
      <c r="V522" s="3">
        <f t="shared" si="108"/>
        <v>289220.02999999997</v>
      </c>
      <c r="W522" s="3">
        <f t="shared" si="109"/>
        <v>75370.679999999993</v>
      </c>
      <c r="X522" s="3">
        <f t="shared" si="110"/>
        <v>97503.34</v>
      </c>
      <c r="Y522" s="3">
        <f t="shared" si="111"/>
        <v>190819.41999999998</v>
      </c>
      <c r="Z522" s="3">
        <f t="shared" si="112"/>
        <v>294603.64999999997</v>
      </c>
      <c r="AA522" s="3">
        <f t="shared" si="113"/>
        <v>169284.93999999997</v>
      </c>
      <c r="AB522" s="3">
        <f t="shared" si="114"/>
        <v>203381.19999999998</v>
      </c>
      <c r="AC522" s="3">
        <f t="shared" si="115"/>
        <v>100494.23999999999</v>
      </c>
      <c r="AD522" s="3">
        <f t="shared" si="116"/>
        <v>162106.78</v>
      </c>
      <c r="AE522" s="3">
        <f t="shared" si="117"/>
        <v>177659.46</v>
      </c>
      <c r="AF522" s="3">
        <f>SUM(ecommerce_sales_all_data[[#This Row],[revenue_month_1]:[revenue_month_12]])</f>
        <v>2067010.9899999998</v>
      </c>
    </row>
    <row r="523" spans="1:32" x14ac:dyDescent="0.3">
      <c r="A523">
        <v>522</v>
      </c>
      <c r="B523" t="s">
        <v>546</v>
      </c>
      <c r="C523" t="s">
        <v>35</v>
      </c>
      <c r="D523" s="2">
        <v>193.54</v>
      </c>
      <c r="E523">
        <v>4.7</v>
      </c>
      <c r="F523">
        <v>540</v>
      </c>
      <c r="G523" s="1">
        <v>234</v>
      </c>
      <c r="H523" s="1">
        <v>517</v>
      </c>
      <c r="I523" s="1">
        <v>958</v>
      </c>
      <c r="J523" s="1">
        <v>256</v>
      </c>
      <c r="K523" s="1">
        <v>107</v>
      </c>
      <c r="L523" s="1">
        <v>236</v>
      </c>
      <c r="M523" s="1">
        <v>657</v>
      </c>
      <c r="N523" s="1">
        <v>230</v>
      </c>
      <c r="O523" s="1">
        <v>995</v>
      </c>
      <c r="P523" s="1">
        <v>998</v>
      </c>
      <c r="Q523" s="1">
        <v>204</v>
      </c>
      <c r="R523" s="1">
        <v>739</v>
      </c>
      <c r="S523" s="1">
        <f>SUM(ecommerce_sales_all_data[[#This Row],[sales_month_1]:[sales_month_12]])</f>
        <v>6131</v>
      </c>
      <c r="T523" s="3">
        <f t="shared" si="106"/>
        <v>45288.36</v>
      </c>
      <c r="U523" s="3">
        <f t="shared" si="107"/>
        <v>100060.18</v>
      </c>
      <c r="V523" s="3">
        <f t="shared" si="108"/>
        <v>185411.31999999998</v>
      </c>
      <c r="W523" s="3">
        <f t="shared" si="109"/>
        <v>49546.239999999998</v>
      </c>
      <c r="X523" s="3">
        <f t="shared" si="110"/>
        <v>20708.78</v>
      </c>
      <c r="Y523" s="3">
        <f t="shared" si="111"/>
        <v>45675.439999999995</v>
      </c>
      <c r="Z523" s="3">
        <f t="shared" si="112"/>
        <v>127155.78</v>
      </c>
      <c r="AA523" s="3">
        <f t="shared" si="113"/>
        <v>44514.2</v>
      </c>
      <c r="AB523" s="3">
        <f t="shared" si="114"/>
        <v>192572.3</v>
      </c>
      <c r="AC523" s="3">
        <f t="shared" si="115"/>
        <v>193152.91999999998</v>
      </c>
      <c r="AD523" s="3">
        <f t="shared" si="116"/>
        <v>39482.159999999996</v>
      </c>
      <c r="AE523" s="3">
        <f t="shared" si="117"/>
        <v>143026.06</v>
      </c>
      <c r="AF523" s="3">
        <f>SUM(ecommerce_sales_all_data[[#This Row],[revenue_month_1]:[revenue_month_12]])</f>
        <v>1186593.7399999998</v>
      </c>
    </row>
    <row r="524" spans="1:32" x14ac:dyDescent="0.3">
      <c r="A524">
        <v>523</v>
      </c>
      <c r="B524" t="s">
        <v>547</v>
      </c>
      <c r="C524" t="s">
        <v>23</v>
      </c>
      <c r="D524" s="2">
        <v>485.11</v>
      </c>
      <c r="E524">
        <v>2.4</v>
      </c>
      <c r="F524">
        <v>772</v>
      </c>
      <c r="G524" s="1">
        <v>619</v>
      </c>
      <c r="H524" s="1">
        <v>715</v>
      </c>
      <c r="I524" s="1">
        <v>959</v>
      </c>
      <c r="J524" s="1">
        <v>382</v>
      </c>
      <c r="K524" s="1">
        <v>846</v>
      </c>
      <c r="L524" s="1">
        <v>997</v>
      </c>
      <c r="M524" s="1">
        <v>596</v>
      </c>
      <c r="N524" s="1">
        <v>873</v>
      </c>
      <c r="O524" s="1">
        <v>22</v>
      </c>
      <c r="P524" s="1">
        <v>471</v>
      </c>
      <c r="Q524" s="1">
        <v>501</v>
      </c>
      <c r="R524" s="1">
        <v>370</v>
      </c>
      <c r="S524" s="1">
        <f>SUM(ecommerce_sales_all_data[[#This Row],[sales_month_1]:[sales_month_12]])</f>
        <v>7351</v>
      </c>
      <c r="T524" s="3">
        <f t="shared" si="106"/>
        <v>300283.09000000003</v>
      </c>
      <c r="U524" s="3">
        <f t="shared" si="107"/>
        <v>346853.65</v>
      </c>
      <c r="V524" s="3">
        <f t="shared" si="108"/>
        <v>465220.49</v>
      </c>
      <c r="W524" s="3">
        <f t="shared" si="109"/>
        <v>185312.02000000002</v>
      </c>
      <c r="X524" s="3">
        <f t="shared" si="110"/>
        <v>410403.06</v>
      </c>
      <c r="Y524" s="3">
        <f t="shared" si="111"/>
        <v>483654.67000000004</v>
      </c>
      <c r="Z524" s="3">
        <f t="shared" si="112"/>
        <v>289125.56</v>
      </c>
      <c r="AA524" s="3">
        <f t="shared" si="113"/>
        <v>423501.03</v>
      </c>
      <c r="AB524" s="3">
        <f t="shared" si="114"/>
        <v>10672.42</v>
      </c>
      <c r="AC524" s="3">
        <f t="shared" si="115"/>
        <v>228486.81</v>
      </c>
      <c r="AD524" s="3">
        <f t="shared" si="116"/>
        <v>243040.11000000002</v>
      </c>
      <c r="AE524" s="3">
        <f t="shared" si="117"/>
        <v>179490.7</v>
      </c>
      <c r="AF524" s="3">
        <f>SUM(ecommerce_sales_all_data[[#This Row],[revenue_month_1]:[revenue_month_12]])</f>
        <v>3566043.6100000003</v>
      </c>
    </row>
    <row r="525" spans="1:32" x14ac:dyDescent="0.3">
      <c r="A525">
        <v>524</v>
      </c>
      <c r="B525" t="s">
        <v>548</v>
      </c>
      <c r="C525" t="s">
        <v>35</v>
      </c>
      <c r="D525" s="2">
        <v>421.85</v>
      </c>
      <c r="E525">
        <v>1.4</v>
      </c>
      <c r="F525">
        <v>406</v>
      </c>
      <c r="G525" s="1">
        <v>160</v>
      </c>
      <c r="H525" s="1">
        <v>750</v>
      </c>
      <c r="I525" s="1">
        <v>444</v>
      </c>
      <c r="J525" s="1">
        <v>441</v>
      </c>
      <c r="K525" s="1">
        <v>161</v>
      </c>
      <c r="L525" s="1">
        <v>54</v>
      </c>
      <c r="M525" s="1">
        <v>99</v>
      </c>
      <c r="N525" s="1">
        <v>573</v>
      </c>
      <c r="O525" s="1">
        <v>46</v>
      </c>
      <c r="P525" s="1">
        <v>194</v>
      </c>
      <c r="Q525" s="1">
        <v>930</v>
      </c>
      <c r="R525" s="1">
        <v>776</v>
      </c>
      <c r="S525" s="1">
        <f>SUM(ecommerce_sales_all_data[[#This Row],[sales_month_1]:[sales_month_12]])</f>
        <v>4628</v>
      </c>
      <c r="T525" s="3">
        <f t="shared" si="106"/>
        <v>67496</v>
      </c>
      <c r="U525" s="3">
        <f t="shared" si="107"/>
        <v>316387.5</v>
      </c>
      <c r="V525" s="3">
        <f t="shared" si="108"/>
        <v>187301.40000000002</v>
      </c>
      <c r="W525" s="3">
        <f t="shared" si="109"/>
        <v>186035.85</v>
      </c>
      <c r="X525" s="3">
        <f t="shared" si="110"/>
        <v>67917.850000000006</v>
      </c>
      <c r="Y525" s="3">
        <f t="shared" si="111"/>
        <v>22779.9</v>
      </c>
      <c r="Z525" s="3">
        <f t="shared" si="112"/>
        <v>41763.15</v>
      </c>
      <c r="AA525" s="3">
        <f t="shared" si="113"/>
        <v>241720.05000000002</v>
      </c>
      <c r="AB525" s="3">
        <f t="shared" si="114"/>
        <v>19405.100000000002</v>
      </c>
      <c r="AC525" s="3">
        <f t="shared" si="115"/>
        <v>81838.900000000009</v>
      </c>
      <c r="AD525" s="3">
        <f t="shared" si="116"/>
        <v>392320.5</v>
      </c>
      <c r="AE525" s="3">
        <f t="shared" si="117"/>
        <v>327355.60000000003</v>
      </c>
      <c r="AF525" s="3">
        <f>SUM(ecommerce_sales_all_data[[#This Row],[revenue_month_1]:[revenue_month_12]])</f>
        <v>1952321.8</v>
      </c>
    </row>
    <row r="526" spans="1:32" x14ac:dyDescent="0.3">
      <c r="A526">
        <v>525</v>
      </c>
      <c r="B526" t="s">
        <v>549</v>
      </c>
      <c r="C526" t="s">
        <v>21</v>
      </c>
      <c r="D526" s="2">
        <v>419.97</v>
      </c>
      <c r="E526">
        <v>2.9</v>
      </c>
      <c r="F526">
        <v>76</v>
      </c>
      <c r="G526" s="1">
        <v>720</v>
      </c>
      <c r="H526" s="1">
        <v>184</v>
      </c>
      <c r="I526" s="1">
        <v>892</v>
      </c>
      <c r="J526" s="1">
        <v>857</v>
      </c>
      <c r="K526" s="1">
        <v>813</v>
      </c>
      <c r="L526" s="1">
        <v>979</v>
      </c>
      <c r="M526" s="1">
        <v>615</v>
      </c>
      <c r="N526" s="1">
        <v>239</v>
      </c>
      <c r="O526" s="1">
        <v>524</v>
      </c>
      <c r="P526" s="1">
        <v>669</v>
      </c>
      <c r="Q526" s="1">
        <v>399</v>
      </c>
      <c r="R526" s="1">
        <v>111</v>
      </c>
      <c r="S526" s="1">
        <f>SUM(ecommerce_sales_all_data[[#This Row],[sales_month_1]:[sales_month_12]])</f>
        <v>7002</v>
      </c>
      <c r="T526" s="3">
        <f t="shared" si="106"/>
        <v>302378.40000000002</v>
      </c>
      <c r="U526" s="3">
        <f t="shared" si="107"/>
        <v>77274.48000000001</v>
      </c>
      <c r="V526" s="3">
        <f t="shared" si="108"/>
        <v>374613.24000000005</v>
      </c>
      <c r="W526" s="3">
        <f t="shared" si="109"/>
        <v>359914.29000000004</v>
      </c>
      <c r="X526" s="3">
        <f t="shared" si="110"/>
        <v>341435.61000000004</v>
      </c>
      <c r="Y526" s="3">
        <f t="shared" si="111"/>
        <v>411150.63</v>
      </c>
      <c r="Z526" s="3">
        <f t="shared" si="112"/>
        <v>258281.55000000002</v>
      </c>
      <c r="AA526" s="3">
        <f t="shared" si="113"/>
        <v>100372.83</v>
      </c>
      <c r="AB526" s="3">
        <f t="shared" si="114"/>
        <v>220064.28000000003</v>
      </c>
      <c r="AC526" s="3">
        <f t="shared" si="115"/>
        <v>280959.93</v>
      </c>
      <c r="AD526" s="3">
        <f t="shared" si="116"/>
        <v>167568.03</v>
      </c>
      <c r="AE526" s="3">
        <f t="shared" si="117"/>
        <v>46616.670000000006</v>
      </c>
      <c r="AF526" s="3">
        <f>SUM(ecommerce_sales_all_data[[#This Row],[revenue_month_1]:[revenue_month_12]])</f>
        <v>2940629.9400000004</v>
      </c>
    </row>
    <row r="527" spans="1:32" x14ac:dyDescent="0.3">
      <c r="A527">
        <v>526</v>
      </c>
      <c r="B527" t="s">
        <v>550</v>
      </c>
      <c r="C527" t="s">
        <v>48</v>
      </c>
      <c r="D527" s="2">
        <v>237</v>
      </c>
      <c r="E527">
        <v>2</v>
      </c>
      <c r="F527">
        <v>941</v>
      </c>
      <c r="G527" s="1">
        <v>751</v>
      </c>
      <c r="H527" s="1">
        <v>871</v>
      </c>
      <c r="I527" s="1">
        <v>437</v>
      </c>
      <c r="J527" s="1">
        <v>598</v>
      </c>
      <c r="K527" s="1">
        <v>451</v>
      </c>
      <c r="L527" s="1">
        <v>435</v>
      </c>
      <c r="M527" s="1">
        <v>947</v>
      </c>
      <c r="N527" s="1">
        <v>89</v>
      </c>
      <c r="O527" s="1">
        <v>728</v>
      </c>
      <c r="P527" s="1">
        <v>652</v>
      </c>
      <c r="Q527" s="1">
        <v>206</v>
      </c>
      <c r="R527" s="1">
        <v>762</v>
      </c>
      <c r="S527" s="1">
        <f>SUM(ecommerce_sales_all_data[[#This Row],[sales_month_1]:[sales_month_12]])</f>
        <v>6927</v>
      </c>
      <c r="T527" s="3">
        <f t="shared" si="106"/>
        <v>177987</v>
      </c>
      <c r="U527" s="3">
        <f t="shared" si="107"/>
        <v>206427</v>
      </c>
      <c r="V527" s="3">
        <f t="shared" si="108"/>
        <v>103569</v>
      </c>
      <c r="W527" s="3">
        <f t="shared" si="109"/>
        <v>141726</v>
      </c>
      <c r="X527" s="3">
        <f t="shared" si="110"/>
        <v>106887</v>
      </c>
      <c r="Y527" s="3">
        <f t="shared" si="111"/>
        <v>103095</v>
      </c>
      <c r="Z527" s="3">
        <f t="shared" si="112"/>
        <v>224439</v>
      </c>
      <c r="AA527" s="3">
        <f t="shared" si="113"/>
        <v>21093</v>
      </c>
      <c r="AB527" s="3">
        <f t="shared" si="114"/>
        <v>172536</v>
      </c>
      <c r="AC527" s="3">
        <f t="shared" si="115"/>
        <v>154524</v>
      </c>
      <c r="AD527" s="3">
        <f t="shared" si="116"/>
        <v>48822</v>
      </c>
      <c r="AE527" s="3">
        <f t="shared" si="117"/>
        <v>180594</v>
      </c>
      <c r="AF527" s="3">
        <f>SUM(ecommerce_sales_all_data[[#This Row],[revenue_month_1]:[revenue_month_12]])</f>
        <v>1641699</v>
      </c>
    </row>
    <row r="528" spans="1:32" x14ac:dyDescent="0.3">
      <c r="A528">
        <v>527</v>
      </c>
      <c r="B528" t="s">
        <v>551</v>
      </c>
      <c r="C528" t="s">
        <v>23</v>
      </c>
      <c r="D528" s="2">
        <v>210.34</v>
      </c>
      <c r="E528">
        <v>2.1</v>
      </c>
      <c r="F528">
        <v>579</v>
      </c>
      <c r="G528" s="1">
        <v>330</v>
      </c>
      <c r="H528" s="1">
        <v>291</v>
      </c>
      <c r="I528" s="1">
        <v>731</v>
      </c>
      <c r="J528" s="1">
        <v>89</v>
      </c>
      <c r="K528" s="1">
        <v>205</v>
      </c>
      <c r="L528" s="1">
        <v>683</v>
      </c>
      <c r="M528" s="1">
        <v>557</v>
      </c>
      <c r="N528" s="1">
        <v>231</v>
      </c>
      <c r="O528" s="1">
        <v>833</v>
      </c>
      <c r="P528" s="1">
        <v>274</v>
      </c>
      <c r="Q528" s="1">
        <v>618</v>
      </c>
      <c r="R528" s="1">
        <v>675</v>
      </c>
      <c r="S528" s="1">
        <f>SUM(ecommerce_sales_all_data[[#This Row],[sales_month_1]:[sales_month_12]])</f>
        <v>5517</v>
      </c>
      <c r="T528" s="3">
        <f t="shared" si="106"/>
        <v>69412.2</v>
      </c>
      <c r="U528" s="3">
        <f t="shared" si="107"/>
        <v>61208.94</v>
      </c>
      <c r="V528" s="3">
        <f t="shared" si="108"/>
        <v>153758.54</v>
      </c>
      <c r="W528" s="3">
        <f t="shared" si="109"/>
        <v>18720.260000000002</v>
      </c>
      <c r="X528" s="3">
        <f t="shared" si="110"/>
        <v>43119.7</v>
      </c>
      <c r="Y528" s="3">
        <f t="shared" si="111"/>
        <v>143662.22</v>
      </c>
      <c r="Z528" s="3">
        <f t="shared" si="112"/>
        <v>117159.38</v>
      </c>
      <c r="AA528" s="3">
        <f t="shared" si="113"/>
        <v>48588.54</v>
      </c>
      <c r="AB528" s="3">
        <f t="shared" si="114"/>
        <v>175213.22</v>
      </c>
      <c r="AC528" s="3">
        <f t="shared" si="115"/>
        <v>57633.16</v>
      </c>
      <c r="AD528" s="3">
        <f t="shared" si="116"/>
        <v>129990.12</v>
      </c>
      <c r="AE528" s="3">
        <f t="shared" si="117"/>
        <v>141979.5</v>
      </c>
      <c r="AF528" s="3">
        <f>SUM(ecommerce_sales_all_data[[#This Row],[revenue_month_1]:[revenue_month_12]])</f>
        <v>1160445.78</v>
      </c>
    </row>
    <row r="529" spans="1:32" x14ac:dyDescent="0.3">
      <c r="A529">
        <v>528</v>
      </c>
      <c r="B529" t="s">
        <v>552</v>
      </c>
      <c r="C529" t="s">
        <v>35</v>
      </c>
      <c r="D529" s="2">
        <v>140.34</v>
      </c>
      <c r="E529">
        <v>2.2000000000000002</v>
      </c>
      <c r="F529">
        <v>854</v>
      </c>
      <c r="G529" s="1">
        <v>332</v>
      </c>
      <c r="H529" s="1">
        <v>334</v>
      </c>
      <c r="I529" s="1">
        <v>889</v>
      </c>
      <c r="J529" s="1">
        <v>748</v>
      </c>
      <c r="K529" s="1">
        <v>589</v>
      </c>
      <c r="L529" s="1">
        <v>108</v>
      </c>
      <c r="M529" s="1">
        <v>555</v>
      </c>
      <c r="N529" s="1">
        <v>456</v>
      </c>
      <c r="O529" s="1">
        <v>705</v>
      </c>
      <c r="P529" s="1">
        <v>6</v>
      </c>
      <c r="Q529" s="1">
        <v>145</v>
      </c>
      <c r="R529" s="1">
        <v>869</v>
      </c>
      <c r="S529" s="1">
        <f>SUM(ecommerce_sales_all_data[[#This Row],[sales_month_1]:[sales_month_12]])</f>
        <v>5736</v>
      </c>
      <c r="T529" s="3">
        <f t="shared" si="106"/>
        <v>46592.880000000005</v>
      </c>
      <c r="U529" s="3">
        <f t="shared" si="107"/>
        <v>46873.56</v>
      </c>
      <c r="V529" s="3">
        <f t="shared" si="108"/>
        <v>124762.26000000001</v>
      </c>
      <c r="W529" s="3">
        <f t="shared" si="109"/>
        <v>104974.32</v>
      </c>
      <c r="X529" s="3">
        <f t="shared" si="110"/>
        <v>82660.259999999995</v>
      </c>
      <c r="Y529" s="3">
        <f t="shared" si="111"/>
        <v>15156.720000000001</v>
      </c>
      <c r="Z529" s="3">
        <f t="shared" si="112"/>
        <v>77888.7</v>
      </c>
      <c r="AA529" s="3">
        <f t="shared" si="113"/>
        <v>63995.040000000001</v>
      </c>
      <c r="AB529" s="3">
        <f t="shared" si="114"/>
        <v>98939.7</v>
      </c>
      <c r="AC529" s="3">
        <f t="shared" si="115"/>
        <v>842.04</v>
      </c>
      <c r="AD529" s="3">
        <f t="shared" si="116"/>
        <v>20349.3</v>
      </c>
      <c r="AE529" s="3">
        <f t="shared" si="117"/>
        <v>121955.46</v>
      </c>
      <c r="AF529" s="3">
        <f>SUM(ecommerce_sales_all_data[[#This Row],[revenue_month_1]:[revenue_month_12]])</f>
        <v>804990.24</v>
      </c>
    </row>
    <row r="530" spans="1:32" x14ac:dyDescent="0.3">
      <c r="A530">
        <v>529</v>
      </c>
      <c r="B530" t="s">
        <v>553</v>
      </c>
      <c r="C530" t="s">
        <v>23</v>
      </c>
      <c r="D530" s="2">
        <v>32.909999999999997</v>
      </c>
      <c r="E530">
        <v>4.2</v>
      </c>
      <c r="F530">
        <v>492</v>
      </c>
      <c r="G530" s="1">
        <v>49</v>
      </c>
      <c r="H530" s="1">
        <v>731</v>
      </c>
      <c r="I530" s="1">
        <v>605</v>
      </c>
      <c r="J530" s="1">
        <v>389</v>
      </c>
      <c r="K530" s="1">
        <v>15</v>
      </c>
      <c r="L530" s="1">
        <v>865</v>
      </c>
      <c r="M530" s="1">
        <v>277</v>
      </c>
      <c r="N530" s="1">
        <v>232</v>
      </c>
      <c r="O530" s="1">
        <v>143</v>
      </c>
      <c r="P530" s="1">
        <v>904</v>
      </c>
      <c r="Q530" s="1">
        <v>878</v>
      </c>
      <c r="R530" s="1">
        <v>679</v>
      </c>
      <c r="S530" s="1">
        <f>SUM(ecommerce_sales_all_data[[#This Row],[sales_month_1]:[sales_month_12]])</f>
        <v>5767</v>
      </c>
      <c r="T530" s="3">
        <f t="shared" si="106"/>
        <v>1612.59</v>
      </c>
      <c r="U530" s="3">
        <f t="shared" si="107"/>
        <v>24057.21</v>
      </c>
      <c r="V530" s="3">
        <f t="shared" si="108"/>
        <v>19910.55</v>
      </c>
      <c r="W530" s="3">
        <f t="shared" si="109"/>
        <v>12801.989999999998</v>
      </c>
      <c r="X530" s="3">
        <f t="shared" si="110"/>
        <v>493.65</v>
      </c>
      <c r="Y530" s="3">
        <f t="shared" si="111"/>
        <v>28467.149999999998</v>
      </c>
      <c r="Z530" s="3">
        <f t="shared" si="112"/>
        <v>9116.07</v>
      </c>
      <c r="AA530" s="3">
        <f t="shared" si="113"/>
        <v>7635.119999999999</v>
      </c>
      <c r="AB530" s="3">
        <f t="shared" si="114"/>
        <v>4706.1299999999992</v>
      </c>
      <c r="AC530" s="3">
        <f t="shared" si="115"/>
        <v>29750.639999999996</v>
      </c>
      <c r="AD530" s="3">
        <f t="shared" si="116"/>
        <v>28894.979999999996</v>
      </c>
      <c r="AE530" s="3">
        <f t="shared" si="117"/>
        <v>22345.89</v>
      </c>
      <c r="AF530" s="3">
        <f>SUM(ecommerce_sales_all_data[[#This Row],[revenue_month_1]:[revenue_month_12]])</f>
        <v>189791.96999999997</v>
      </c>
    </row>
    <row r="531" spans="1:32" x14ac:dyDescent="0.3">
      <c r="A531">
        <v>530</v>
      </c>
      <c r="B531" t="s">
        <v>554</v>
      </c>
      <c r="C531" t="s">
        <v>26</v>
      </c>
      <c r="D531" s="2">
        <v>433.04</v>
      </c>
      <c r="E531">
        <v>3.2</v>
      </c>
      <c r="F531">
        <v>194</v>
      </c>
      <c r="G531" s="1">
        <v>522</v>
      </c>
      <c r="H531" s="1">
        <v>115</v>
      </c>
      <c r="I531" s="1">
        <v>456</v>
      </c>
      <c r="J531" s="1">
        <v>581</v>
      </c>
      <c r="K531" s="1">
        <v>326</v>
      </c>
      <c r="L531" s="1">
        <v>980</v>
      </c>
      <c r="M531" s="1">
        <v>692</v>
      </c>
      <c r="N531" s="1">
        <v>353</v>
      </c>
      <c r="O531" s="1">
        <v>584</v>
      </c>
      <c r="P531" s="1">
        <v>978</v>
      </c>
      <c r="Q531" s="1">
        <v>100</v>
      </c>
      <c r="R531" s="1">
        <v>220</v>
      </c>
      <c r="S531" s="1">
        <f>SUM(ecommerce_sales_all_data[[#This Row],[sales_month_1]:[sales_month_12]])</f>
        <v>5907</v>
      </c>
      <c r="T531" s="3">
        <f t="shared" si="106"/>
        <v>226046.88</v>
      </c>
      <c r="U531" s="3">
        <f t="shared" si="107"/>
        <v>49799.600000000006</v>
      </c>
      <c r="V531" s="3">
        <f t="shared" si="108"/>
        <v>197466.24000000002</v>
      </c>
      <c r="W531" s="3">
        <f t="shared" si="109"/>
        <v>251596.24000000002</v>
      </c>
      <c r="X531" s="3">
        <f t="shared" si="110"/>
        <v>141171.04</v>
      </c>
      <c r="Y531" s="3">
        <f t="shared" si="111"/>
        <v>424379.2</v>
      </c>
      <c r="Z531" s="3">
        <f t="shared" si="112"/>
        <v>299663.68</v>
      </c>
      <c r="AA531" s="3">
        <f t="shared" si="113"/>
        <v>152863.12</v>
      </c>
      <c r="AB531" s="3">
        <f t="shared" si="114"/>
        <v>252895.36000000002</v>
      </c>
      <c r="AC531" s="3">
        <f t="shared" si="115"/>
        <v>423513.12</v>
      </c>
      <c r="AD531" s="3">
        <f t="shared" si="116"/>
        <v>43304</v>
      </c>
      <c r="AE531" s="3">
        <f t="shared" si="117"/>
        <v>95268.800000000003</v>
      </c>
      <c r="AF531" s="3">
        <f>SUM(ecommerce_sales_all_data[[#This Row],[revenue_month_1]:[revenue_month_12]])</f>
        <v>2557967.2799999998</v>
      </c>
    </row>
    <row r="532" spans="1:32" x14ac:dyDescent="0.3">
      <c r="A532">
        <v>531</v>
      </c>
      <c r="B532" t="s">
        <v>555</v>
      </c>
      <c r="C532" t="s">
        <v>19</v>
      </c>
      <c r="D532" s="2">
        <v>407.39</v>
      </c>
      <c r="E532">
        <v>2.2000000000000002</v>
      </c>
      <c r="F532">
        <v>984</v>
      </c>
      <c r="G532" s="1">
        <v>862</v>
      </c>
      <c r="H532" s="1">
        <v>824</v>
      </c>
      <c r="I532" s="1">
        <v>614</v>
      </c>
      <c r="J532" s="1">
        <v>43</v>
      </c>
      <c r="K532" s="1">
        <v>607</v>
      </c>
      <c r="L532" s="1">
        <v>183</v>
      </c>
      <c r="M532" s="1">
        <v>698</v>
      </c>
      <c r="N532" s="1">
        <v>332</v>
      </c>
      <c r="O532" s="1">
        <v>667</v>
      </c>
      <c r="P532" s="1">
        <v>565</v>
      </c>
      <c r="Q532" s="1">
        <v>879</v>
      </c>
      <c r="R532" s="1">
        <v>919</v>
      </c>
      <c r="S532" s="1">
        <f>SUM(ecommerce_sales_all_data[[#This Row],[sales_month_1]:[sales_month_12]])</f>
        <v>7193</v>
      </c>
      <c r="T532" s="3">
        <f t="shared" si="106"/>
        <v>351170.18</v>
      </c>
      <c r="U532" s="3">
        <f t="shared" si="107"/>
        <v>335689.36</v>
      </c>
      <c r="V532" s="3">
        <f t="shared" si="108"/>
        <v>250137.46</v>
      </c>
      <c r="W532" s="3">
        <f t="shared" si="109"/>
        <v>17517.77</v>
      </c>
      <c r="X532" s="3">
        <f t="shared" si="110"/>
        <v>247285.72999999998</v>
      </c>
      <c r="Y532" s="3">
        <f t="shared" si="111"/>
        <v>74552.37</v>
      </c>
      <c r="Z532" s="3">
        <f t="shared" si="112"/>
        <v>284358.21999999997</v>
      </c>
      <c r="AA532" s="3">
        <f t="shared" si="113"/>
        <v>135253.47999999998</v>
      </c>
      <c r="AB532" s="3">
        <f t="shared" si="114"/>
        <v>271729.13</v>
      </c>
      <c r="AC532" s="3">
        <f t="shared" si="115"/>
        <v>230175.35</v>
      </c>
      <c r="AD532" s="3">
        <f t="shared" si="116"/>
        <v>358095.81</v>
      </c>
      <c r="AE532" s="3">
        <f t="shared" si="117"/>
        <v>374391.41</v>
      </c>
      <c r="AF532" s="3">
        <f>SUM(ecommerce_sales_all_data[[#This Row],[revenue_month_1]:[revenue_month_12]])</f>
        <v>2930356.2700000005</v>
      </c>
    </row>
    <row r="533" spans="1:32" x14ac:dyDescent="0.3">
      <c r="A533">
        <v>532</v>
      </c>
      <c r="B533" t="s">
        <v>556</v>
      </c>
      <c r="C533" t="s">
        <v>26</v>
      </c>
      <c r="D533" s="2">
        <v>499.86</v>
      </c>
      <c r="E533">
        <v>3.4</v>
      </c>
      <c r="F533">
        <v>162</v>
      </c>
      <c r="G533" s="1">
        <v>667</v>
      </c>
      <c r="H533" s="1">
        <v>48</v>
      </c>
      <c r="I533" s="1">
        <v>734</v>
      </c>
      <c r="J533" s="1">
        <v>711</v>
      </c>
      <c r="K533" s="1">
        <v>658</v>
      </c>
      <c r="L533" s="1">
        <v>950</v>
      </c>
      <c r="M533" s="1">
        <v>989</v>
      </c>
      <c r="N533" s="1">
        <v>438</v>
      </c>
      <c r="O533" s="1">
        <v>588</v>
      </c>
      <c r="P533" s="1">
        <v>615</v>
      </c>
      <c r="Q533" s="1">
        <v>829</v>
      </c>
      <c r="R533" s="1">
        <v>303</v>
      </c>
      <c r="S533" s="1">
        <f>SUM(ecommerce_sales_all_data[[#This Row],[sales_month_1]:[sales_month_12]])</f>
        <v>7530</v>
      </c>
      <c r="T533" s="3">
        <f t="shared" si="106"/>
        <v>333406.62</v>
      </c>
      <c r="U533" s="3">
        <f t="shared" si="107"/>
        <v>23993.279999999999</v>
      </c>
      <c r="V533" s="3">
        <f t="shared" si="108"/>
        <v>366897.24</v>
      </c>
      <c r="W533" s="3">
        <f t="shared" si="109"/>
        <v>355400.46</v>
      </c>
      <c r="X533" s="3">
        <f t="shared" si="110"/>
        <v>328907.88</v>
      </c>
      <c r="Y533" s="3">
        <f t="shared" si="111"/>
        <v>474867</v>
      </c>
      <c r="Z533" s="3">
        <f t="shared" si="112"/>
        <v>494361.54000000004</v>
      </c>
      <c r="AA533" s="3">
        <f t="shared" si="113"/>
        <v>218938.68</v>
      </c>
      <c r="AB533" s="3">
        <f t="shared" si="114"/>
        <v>293917.68</v>
      </c>
      <c r="AC533" s="3">
        <f t="shared" si="115"/>
        <v>307413.90000000002</v>
      </c>
      <c r="AD533" s="3">
        <f t="shared" si="116"/>
        <v>414383.94</v>
      </c>
      <c r="AE533" s="3">
        <f t="shared" si="117"/>
        <v>151457.58000000002</v>
      </c>
      <c r="AF533" s="3">
        <f>SUM(ecommerce_sales_all_data[[#This Row],[revenue_month_1]:[revenue_month_12]])</f>
        <v>3763945.8000000003</v>
      </c>
    </row>
    <row r="534" spans="1:32" x14ac:dyDescent="0.3">
      <c r="A534">
        <v>533</v>
      </c>
      <c r="B534" t="s">
        <v>557</v>
      </c>
      <c r="C534" t="s">
        <v>29</v>
      </c>
      <c r="D534" s="2">
        <v>498.34</v>
      </c>
      <c r="E534">
        <v>3.9</v>
      </c>
      <c r="F534">
        <v>347</v>
      </c>
      <c r="G534" s="1">
        <v>491</v>
      </c>
      <c r="H534" s="1">
        <v>684</v>
      </c>
      <c r="I534" s="1">
        <v>697</v>
      </c>
      <c r="J534" s="1">
        <v>663</v>
      </c>
      <c r="K534" s="1">
        <v>1</v>
      </c>
      <c r="L534" s="1">
        <v>367</v>
      </c>
      <c r="M534" s="1">
        <v>625</v>
      </c>
      <c r="N534" s="1">
        <v>374</v>
      </c>
      <c r="O534" s="1">
        <v>418</v>
      </c>
      <c r="P534" s="1">
        <v>853</v>
      </c>
      <c r="Q534" s="1">
        <v>879</v>
      </c>
      <c r="R534" s="1">
        <v>702</v>
      </c>
      <c r="S534" s="1">
        <f>SUM(ecommerce_sales_all_data[[#This Row],[sales_month_1]:[sales_month_12]])</f>
        <v>6754</v>
      </c>
      <c r="T534" s="3">
        <f t="shared" si="106"/>
        <v>244684.93999999997</v>
      </c>
      <c r="U534" s="3">
        <f t="shared" si="107"/>
        <v>340864.56</v>
      </c>
      <c r="V534" s="3">
        <f t="shared" si="108"/>
        <v>347342.98</v>
      </c>
      <c r="W534" s="3">
        <f t="shared" si="109"/>
        <v>330399.42</v>
      </c>
      <c r="X534" s="3">
        <f t="shared" si="110"/>
        <v>498.34</v>
      </c>
      <c r="Y534" s="3">
        <f t="shared" si="111"/>
        <v>182890.78</v>
      </c>
      <c r="Z534" s="3">
        <f t="shared" si="112"/>
        <v>311462.5</v>
      </c>
      <c r="AA534" s="3">
        <f t="shared" si="113"/>
        <v>186379.16</v>
      </c>
      <c r="AB534" s="3">
        <f t="shared" si="114"/>
        <v>208306.12</v>
      </c>
      <c r="AC534" s="3">
        <f t="shared" si="115"/>
        <v>425084.01999999996</v>
      </c>
      <c r="AD534" s="3">
        <f t="shared" si="116"/>
        <v>438040.86</v>
      </c>
      <c r="AE534" s="3">
        <f t="shared" si="117"/>
        <v>349834.68</v>
      </c>
      <c r="AF534" s="3">
        <f>SUM(ecommerce_sales_all_data[[#This Row],[revenue_month_1]:[revenue_month_12]])</f>
        <v>3365788.36</v>
      </c>
    </row>
    <row r="535" spans="1:32" x14ac:dyDescent="0.3">
      <c r="A535">
        <v>534</v>
      </c>
      <c r="B535" t="s">
        <v>558</v>
      </c>
      <c r="C535" t="s">
        <v>48</v>
      </c>
      <c r="D535" s="2">
        <v>279.94</v>
      </c>
      <c r="E535">
        <v>2.1</v>
      </c>
      <c r="F535">
        <v>951</v>
      </c>
      <c r="G535" s="1">
        <v>581</v>
      </c>
      <c r="H535" s="1">
        <v>81</v>
      </c>
      <c r="I535" s="1">
        <v>980</v>
      </c>
      <c r="J535" s="1">
        <v>597</v>
      </c>
      <c r="K535" s="1">
        <v>9</v>
      </c>
      <c r="L535" s="1">
        <v>982</v>
      </c>
      <c r="M535" s="1">
        <v>490</v>
      </c>
      <c r="N535" s="1">
        <v>291</v>
      </c>
      <c r="O535" s="1">
        <v>680</v>
      </c>
      <c r="P535" s="1">
        <v>849</v>
      </c>
      <c r="Q535" s="1">
        <v>240</v>
      </c>
      <c r="R535" s="1">
        <v>324</v>
      </c>
      <c r="S535" s="1">
        <f>SUM(ecommerce_sales_all_data[[#This Row],[sales_month_1]:[sales_month_12]])</f>
        <v>6104</v>
      </c>
      <c r="T535" s="3">
        <f t="shared" si="106"/>
        <v>162645.13999999998</v>
      </c>
      <c r="U535" s="3">
        <f t="shared" si="107"/>
        <v>22675.14</v>
      </c>
      <c r="V535" s="3">
        <f t="shared" si="108"/>
        <v>274341.2</v>
      </c>
      <c r="W535" s="3">
        <f t="shared" si="109"/>
        <v>167124.18</v>
      </c>
      <c r="X535" s="3">
        <f t="shared" si="110"/>
        <v>2519.46</v>
      </c>
      <c r="Y535" s="3">
        <f t="shared" si="111"/>
        <v>274901.08</v>
      </c>
      <c r="Z535" s="3">
        <f t="shared" si="112"/>
        <v>137170.6</v>
      </c>
      <c r="AA535" s="3">
        <f t="shared" si="113"/>
        <v>81462.539999999994</v>
      </c>
      <c r="AB535" s="3">
        <f t="shared" si="114"/>
        <v>190359.2</v>
      </c>
      <c r="AC535" s="3">
        <f t="shared" si="115"/>
        <v>237669.06</v>
      </c>
      <c r="AD535" s="3">
        <f t="shared" si="116"/>
        <v>67185.600000000006</v>
      </c>
      <c r="AE535" s="3">
        <f t="shared" si="117"/>
        <v>90700.56</v>
      </c>
      <c r="AF535" s="3">
        <f>SUM(ecommerce_sales_all_data[[#This Row],[revenue_month_1]:[revenue_month_12]])</f>
        <v>1708753.76</v>
      </c>
    </row>
    <row r="536" spans="1:32" x14ac:dyDescent="0.3">
      <c r="A536">
        <v>535</v>
      </c>
      <c r="B536" t="s">
        <v>559</v>
      </c>
      <c r="C536" t="s">
        <v>23</v>
      </c>
      <c r="D536" s="2">
        <v>385.65</v>
      </c>
      <c r="E536">
        <v>2.7</v>
      </c>
      <c r="F536">
        <v>361</v>
      </c>
      <c r="G536" s="1">
        <v>680</v>
      </c>
      <c r="H536" s="1">
        <v>833</v>
      </c>
      <c r="I536" s="1">
        <v>695</v>
      </c>
      <c r="J536" s="1">
        <v>18</v>
      </c>
      <c r="K536" s="1">
        <v>433</v>
      </c>
      <c r="L536" s="1">
        <v>197</v>
      </c>
      <c r="M536" s="1">
        <v>254</v>
      </c>
      <c r="N536" s="1">
        <v>344</v>
      </c>
      <c r="O536" s="1">
        <v>972</v>
      </c>
      <c r="P536" s="1">
        <v>572</v>
      </c>
      <c r="Q536" s="1">
        <v>1000</v>
      </c>
      <c r="R536" s="1">
        <v>436</v>
      </c>
      <c r="S536" s="1">
        <f>SUM(ecommerce_sales_all_data[[#This Row],[sales_month_1]:[sales_month_12]])</f>
        <v>6434</v>
      </c>
      <c r="T536" s="3">
        <f t="shared" si="106"/>
        <v>262242</v>
      </c>
      <c r="U536" s="3">
        <f t="shared" si="107"/>
        <v>321246.44999999995</v>
      </c>
      <c r="V536" s="3">
        <f t="shared" si="108"/>
        <v>268026.75</v>
      </c>
      <c r="W536" s="3">
        <f t="shared" si="109"/>
        <v>6941.7</v>
      </c>
      <c r="X536" s="3">
        <f t="shared" si="110"/>
        <v>166986.44999999998</v>
      </c>
      <c r="Y536" s="3">
        <f t="shared" si="111"/>
        <v>75973.049999999988</v>
      </c>
      <c r="Z536" s="3">
        <f t="shared" si="112"/>
        <v>97955.099999999991</v>
      </c>
      <c r="AA536" s="3">
        <f t="shared" si="113"/>
        <v>132663.6</v>
      </c>
      <c r="AB536" s="3">
        <f t="shared" si="114"/>
        <v>374851.8</v>
      </c>
      <c r="AC536" s="3">
        <f t="shared" si="115"/>
        <v>220591.8</v>
      </c>
      <c r="AD536" s="3">
        <f t="shared" si="116"/>
        <v>385650</v>
      </c>
      <c r="AE536" s="3">
        <f t="shared" si="117"/>
        <v>168143.4</v>
      </c>
      <c r="AF536" s="3">
        <f>SUM(ecommerce_sales_all_data[[#This Row],[revenue_month_1]:[revenue_month_12]])</f>
        <v>2481272.1</v>
      </c>
    </row>
    <row r="537" spans="1:32" x14ac:dyDescent="0.3">
      <c r="A537">
        <v>536</v>
      </c>
      <c r="B537" t="s">
        <v>560</v>
      </c>
      <c r="C537" t="s">
        <v>35</v>
      </c>
      <c r="D537" s="2">
        <v>472.66</v>
      </c>
      <c r="E537">
        <v>1.5</v>
      </c>
      <c r="F537">
        <v>769</v>
      </c>
      <c r="G537" s="1">
        <v>271</v>
      </c>
      <c r="H537" s="1">
        <v>332</v>
      </c>
      <c r="I537" s="1">
        <v>494</v>
      </c>
      <c r="J537" s="1">
        <v>100</v>
      </c>
      <c r="K537" s="1">
        <v>124</v>
      </c>
      <c r="L537" s="1">
        <v>370</v>
      </c>
      <c r="M537" s="1">
        <v>380</v>
      </c>
      <c r="N537" s="1">
        <v>663</v>
      </c>
      <c r="O537" s="1">
        <v>798</v>
      </c>
      <c r="P537" s="1">
        <v>598</v>
      </c>
      <c r="Q537" s="1">
        <v>922</v>
      </c>
      <c r="R537" s="1">
        <v>437</v>
      </c>
      <c r="S537" s="1">
        <f>SUM(ecommerce_sales_all_data[[#This Row],[sales_month_1]:[sales_month_12]])</f>
        <v>5489</v>
      </c>
      <c r="T537" s="3">
        <f t="shared" si="106"/>
        <v>128090.86</v>
      </c>
      <c r="U537" s="3">
        <f t="shared" si="107"/>
        <v>156923.12</v>
      </c>
      <c r="V537" s="3">
        <f t="shared" si="108"/>
        <v>233494.04</v>
      </c>
      <c r="W537" s="3">
        <f t="shared" si="109"/>
        <v>47266</v>
      </c>
      <c r="X537" s="3">
        <f t="shared" si="110"/>
        <v>58609.840000000004</v>
      </c>
      <c r="Y537" s="3">
        <f t="shared" si="111"/>
        <v>174884.2</v>
      </c>
      <c r="Z537" s="3">
        <f t="shared" si="112"/>
        <v>179610.80000000002</v>
      </c>
      <c r="AA537" s="3">
        <f t="shared" si="113"/>
        <v>313373.58</v>
      </c>
      <c r="AB537" s="3">
        <f t="shared" si="114"/>
        <v>377182.68</v>
      </c>
      <c r="AC537" s="3">
        <f t="shared" si="115"/>
        <v>282650.68</v>
      </c>
      <c r="AD537" s="3">
        <f t="shared" si="116"/>
        <v>435792.52</v>
      </c>
      <c r="AE537" s="3">
        <f t="shared" si="117"/>
        <v>206552.42</v>
      </c>
      <c r="AF537" s="3">
        <f>SUM(ecommerce_sales_all_data[[#This Row],[revenue_month_1]:[revenue_month_12]])</f>
        <v>2594430.7400000002</v>
      </c>
    </row>
    <row r="538" spans="1:32" x14ac:dyDescent="0.3">
      <c r="A538">
        <v>537</v>
      </c>
      <c r="B538" t="s">
        <v>561</v>
      </c>
      <c r="C538" t="s">
        <v>19</v>
      </c>
      <c r="D538" s="2">
        <v>425.58</v>
      </c>
      <c r="E538">
        <v>1.7</v>
      </c>
      <c r="F538">
        <v>584</v>
      </c>
      <c r="G538" s="1">
        <v>579</v>
      </c>
      <c r="H538" s="1">
        <v>556</v>
      </c>
      <c r="I538" s="1">
        <v>673</v>
      </c>
      <c r="J538" s="1">
        <v>913</v>
      </c>
      <c r="K538" s="1">
        <v>80</v>
      </c>
      <c r="L538" s="1">
        <v>372</v>
      </c>
      <c r="M538" s="1">
        <v>891</v>
      </c>
      <c r="N538" s="1">
        <v>427</v>
      </c>
      <c r="O538" s="1">
        <v>84</v>
      </c>
      <c r="P538" s="1">
        <v>769</v>
      </c>
      <c r="Q538" s="1">
        <v>758</v>
      </c>
      <c r="R538" s="1">
        <v>169</v>
      </c>
      <c r="S538" s="1">
        <f>SUM(ecommerce_sales_all_data[[#This Row],[sales_month_1]:[sales_month_12]])</f>
        <v>6271</v>
      </c>
      <c r="T538" s="3">
        <f t="shared" si="106"/>
        <v>246410.81999999998</v>
      </c>
      <c r="U538" s="3">
        <f t="shared" si="107"/>
        <v>236622.47999999998</v>
      </c>
      <c r="V538" s="3">
        <f t="shared" si="108"/>
        <v>286415.33999999997</v>
      </c>
      <c r="W538" s="3">
        <f t="shared" si="109"/>
        <v>388554.54</v>
      </c>
      <c r="X538" s="3">
        <f t="shared" si="110"/>
        <v>34046.400000000001</v>
      </c>
      <c r="Y538" s="3">
        <f t="shared" si="111"/>
        <v>158315.75999999998</v>
      </c>
      <c r="Z538" s="3">
        <f t="shared" si="112"/>
        <v>379191.77999999997</v>
      </c>
      <c r="AA538" s="3">
        <f t="shared" si="113"/>
        <v>181722.66</v>
      </c>
      <c r="AB538" s="3">
        <f t="shared" si="114"/>
        <v>35748.720000000001</v>
      </c>
      <c r="AC538" s="3">
        <f t="shared" si="115"/>
        <v>327271.01999999996</v>
      </c>
      <c r="AD538" s="3">
        <f t="shared" si="116"/>
        <v>322589.64</v>
      </c>
      <c r="AE538" s="3">
        <f t="shared" si="117"/>
        <v>71923.02</v>
      </c>
      <c r="AF538" s="3">
        <f>SUM(ecommerce_sales_all_data[[#This Row],[revenue_month_1]:[revenue_month_12]])</f>
        <v>2668812.1799999997</v>
      </c>
    </row>
    <row r="539" spans="1:32" x14ac:dyDescent="0.3">
      <c r="A539">
        <v>538</v>
      </c>
      <c r="B539" t="s">
        <v>562</v>
      </c>
      <c r="C539" t="s">
        <v>35</v>
      </c>
      <c r="D539" s="2">
        <v>127.44</v>
      </c>
      <c r="E539">
        <v>3.7</v>
      </c>
      <c r="F539">
        <v>87</v>
      </c>
      <c r="G539" s="1">
        <v>866</v>
      </c>
      <c r="H539" s="1">
        <v>334</v>
      </c>
      <c r="I539" s="1">
        <v>246</v>
      </c>
      <c r="J539" s="1">
        <v>606</v>
      </c>
      <c r="K539" s="1">
        <v>484</v>
      </c>
      <c r="L539" s="1">
        <v>972</v>
      </c>
      <c r="M539" s="1">
        <v>541</v>
      </c>
      <c r="N539" s="1">
        <v>656</v>
      </c>
      <c r="O539" s="1">
        <v>415</v>
      </c>
      <c r="P539" s="1">
        <v>177</v>
      </c>
      <c r="Q539" s="1">
        <v>162</v>
      </c>
      <c r="R539" s="1">
        <v>374</v>
      </c>
      <c r="S539" s="1">
        <f>SUM(ecommerce_sales_all_data[[#This Row],[sales_month_1]:[sales_month_12]])</f>
        <v>5833</v>
      </c>
      <c r="T539" s="3">
        <f t="shared" si="106"/>
        <v>110363.04</v>
      </c>
      <c r="U539" s="3">
        <f t="shared" si="107"/>
        <v>42564.959999999999</v>
      </c>
      <c r="V539" s="3">
        <f t="shared" si="108"/>
        <v>31350.239999999998</v>
      </c>
      <c r="W539" s="3">
        <f t="shared" si="109"/>
        <v>77228.639999999999</v>
      </c>
      <c r="X539" s="3">
        <f t="shared" si="110"/>
        <v>61680.959999999999</v>
      </c>
      <c r="Y539" s="3">
        <f t="shared" si="111"/>
        <v>123871.67999999999</v>
      </c>
      <c r="Z539" s="3">
        <f t="shared" si="112"/>
        <v>68945.039999999994</v>
      </c>
      <c r="AA539" s="3">
        <f t="shared" si="113"/>
        <v>83600.639999999999</v>
      </c>
      <c r="AB539" s="3">
        <f t="shared" si="114"/>
        <v>52887.6</v>
      </c>
      <c r="AC539" s="3">
        <f t="shared" si="115"/>
        <v>22556.880000000001</v>
      </c>
      <c r="AD539" s="3">
        <f t="shared" si="116"/>
        <v>20645.28</v>
      </c>
      <c r="AE539" s="3">
        <f t="shared" si="117"/>
        <v>47662.559999999998</v>
      </c>
      <c r="AF539" s="3">
        <f>SUM(ecommerce_sales_all_data[[#This Row],[revenue_month_1]:[revenue_month_12]])</f>
        <v>743357.52</v>
      </c>
    </row>
    <row r="540" spans="1:32" x14ac:dyDescent="0.3">
      <c r="A540">
        <v>539</v>
      </c>
      <c r="B540" t="s">
        <v>563</v>
      </c>
      <c r="C540" t="s">
        <v>48</v>
      </c>
      <c r="D540" s="2">
        <v>228.02</v>
      </c>
      <c r="E540">
        <v>1.7</v>
      </c>
      <c r="F540">
        <v>934</v>
      </c>
      <c r="G540" s="1">
        <v>251</v>
      </c>
      <c r="H540" s="1">
        <v>531</v>
      </c>
      <c r="I540" s="1">
        <v>542</v>
      </c>
      <c r="J540" s="1">
        <v>765</v>
      </c>
      <c r="K540" s="1">
        <v>651</v>
      </c>
      <c r="L540" s="1">
        <v>496</v>
      </c>
      <c r="M540" s="1">
        <v>263</v>
      </c>
      <c r="N540" s="1">
        <v>129</v>
      </c>
      <c r="O540" s="1">
        <v>693</v>
      </c>
      <c r="P540" s="1">
        <v>241</v>
      </c>
      <c r="Q540" s="1">
        <v>883</v>
      </c>
      <c r="R540" s="1">
        <v>556</v>
      </c>
      <c r="S540" s="1">
        <f>SUM(ecommerce_sales_all_data[[#This Row],[sales_month_1]:[sales_month_12]])</f>
        <v>6001</v>
      </c>
      <c r="T540" s="3">
        <f t="shared" si="106"/>
        <v>57233.020000000004</v>
      </c>
      <c r="U540" s="3">
        <f t="shared" si="107"/>
        <v>121078.62000000001</v>
      </c>
      <c r="V540" s="3">
        <f t="shared" si="108"/>
        <v>123586.84000000001</v>
      </c>
      <c r="W540" s="3">
        <f t="shared" si="109"/>
        <v>174435.30000000002</v>
      </c>
      <c r="X540" s="3">
        <f t="shared" si="110"/>
        <v>148441.02000000002</v>
      </c>
      <c r="Y540" s="3">
        <f t="shared" si="111"/>
        <v>113097.92</v>
      </c>
      <c r="Z540" s="3">
        <f t="shared" si="112"/>
        <v>59969.26</v>
      </c>
      <c r="AA540" s="3">
        <f t="shared" si="113"/>
        <v>29414.58</v>
      </c>
      <c r="AB540" s="3">
        <f t="shared" si="114"/>
        <v>158017.86000000002</v>
      </c>
      <c r="AC540" s="3">
        <f t="shared" si="115"/>
        <v>54952.82</v>
      </c>
      <c r="AD540" s="3">
        <f t="shared" si="116"/>
        <v>201341.66</v>
      </c>
      <c r="AE540" s="3">
        <f t="shared" si="117"/>
        <v>126779.12000000001</v>
      </c>
      <c r="AF540" s="3">
        <f>SUM(ecommerce_sales_all_data[[#This Row],[revenue_month_1]:[revenue_month_12]])</f>
        <v>1368348.02</v>
      </c>
    </row>
    <row r="541" spans="1:32" x14ac:dyDescent="0.3">
      <c r="A541">
        <v>540</v>
      </c>
      <c r="B541" t="s">
        <v>564</v>
      </c>
      <c r="C541" t="s">
        <v>23</v>
      </c>
      <c r="D541" s="2">
        <v>68.930000000000007</v>
      </c>
      <c r="E541">
        <v>3.1</v>
      </c>
      <c r="F541">
        <v>262</v>
      </c>
      <c r="G541" s="1">
        <v>559</v>
      </c>
      <c r="H541" s="1">
        <v>959</v>
      </c>
      <c r="I541" s="1">
        <v>563</v>
      </c>
      <c r="J541" s="1">
        <v>356</v>
      </c>
      <c r="K541" s="1">
        <v>837</v>
      </c>
      <c r="L541" s="1">
        <v>598</v>
      </c>
      <c r="M541" s="1">
        <v>609</v>
      </c>
      <c r="N541" s="1">
        <v>140</v>
      </c>
      <c r="O541" s="1">
        <v>481</v>
      </c>
      <c r="P541" s="1">
        <v>202</v>
      </c>
      <c r="Q541" s="1">
        <v>172</v>
      </c>
      <c r="R541" s="1">
        <v>380</v>
      </c>
      <c r="S541" s="1">
        <f>SUM(ecommerce_sales_all_data[[#This Row],[sales_month_1]:[sales_month_12]])</f>
        <v>5856</v>
      </c>
      <c r="T541" s="3">
        <f t="shared" si="106"/>
        <v>38531.870000000003</v>
      </c>
      <c r="U541" s="3">
        <f t="shared" si="107"/>
        <v>66103.87000000001</v>
      </c>
      <c r="V541" s="3">
        <f t="shared" si="108"/>
        <v>38807.590000000004</v>
      </c>
      <c r="W541" s="3">
        <f t="shared" si="109"/>
        <v>24539.08</v>
      </c>
      <c r="X541" s="3">
        <f t="shared" si="110"/>
        <v>57694.41</v>
      </c>
      <c r="Y541" s="3">
        <f t="shared" si="111"/>
        <v>41220.140000000007</v>
      </c>
      <c r="Z541" s="3">
        <f t="shared" si="112"/>
        <v>41978.37</v>
      </c>
      <c r="AA541" s="3">
        <f t="shared" si="113"/>
        <v>9650.2000000000007</v>
      </c>
      <c r="AB541" s="3">
        <f t="shared" si="114"/>
        <v>33155.33</v>
      </c>
      <c r="AC541" s="3">
        <f t="shared" si="115"/>
        <v>13923.86</v>
      </c>
      <c r="AD541" s="3">
        <f t="shared" si="116"/>
        <v>11855.960000000001</v>
      </c>
      <c r="AE541" s="3">
        <f t="shared" si="117"/>
        <v>26193.4</v>
      </c>
      <c r="AF541" s="3">
        <f>SUM(ecommerce_sales_all_data[[#This Row],[revenue_month_1]:[revenue_month_12]])</f>
        <v>403654.08000000007</v>
      </c>
    </row>
    <row r="542" spans="1:32" x14ac:dyDescent="0.3">
      <c r="A542">
        <v>541</v>
      </c>
      <c r="B542" t="s">
        <v>565</v>
      </c>
      <c r="C542" t="s">
        <v>23</v>
      </c>
      <c r="D542" s="2">
        <v>477.26</v>
      </c>
      <c r="E542">
        <v>3.8</v>
      </c>
      <c r="F542">
        <v>214</v>
      </c>
      <c r="G542" s="1">
        <v>695</v>
      </c>
      <c r="H542" s="1">
        <v>220</v>
      </c>
      <c r="I542" s="1">
        <v>856</v>
      </c>
      <c r="J542" s="1">
        <v>541</v>
      </c>
      <c r="K542" s="1">
        <v>149</v>
      </c>
      <c r="L542" s="1">
        <v>200</v>
      </c>
      <c r="M542" s="1">
        <v>824</v>
      </c>
      <c r="N542" s="1">
        <v>414</v>
      </c>
      <c r="O542" s="1">
        <v>455</v>
      </c>
      <c r="P542" s="1">
        <v>542</v>
      </c>
      <c r="Q542" s="1">
        <v>501</v>
      </c>
      <c r="R542" s="1">
        <v>985</v>
      </c>
      <c r="S542" s="1">
        <f>SUM(ecommerce_sales_all_data[[#This Row],[sales_month_1]:[sales_month_12]])</f>
        <v>6382</v>
      </c>
      <c r="T542" s="3">
        <f t="shared" si="106"/>
        <v>331695.7</v>
      </c>
      <c r="U542" s="3">
        <f t="shared" si="107"/>
        <v>104997.2</v>
      </c>
      <c r="V542" s="3">
        <f t="shared" si="108"/>
        <v>408534.56</v>
      </c>
      <c r="W542" s="3">
        <f t="shared" si="109"/>
        <v>258197.66</v>
      </c>
      <c r="X542" s="3">
        <f t="shared" si="110"/>
        <v>71111.740000000005</v>
      </c>
      <c r="Y542" s="3">
        <f t="shared" si="111"/>
        <v>95452</v>
      </c>
      <c r="Z542" s="3">
        <f t="shared" si="112"/>
        <v>393262.24</v>
      </c>
      <c r="AA542" s="3">
        <f t="shared" si="113"/>
        <v>197585.63999999998</v>
      </c>
      <c r="AB542" s="3">
        <f t="shared" si="114"/>
        <v>217153.3</v>
      </c>
      <c r="AC542" s="3">
        <f t="shared" si="115"/>
        <v>258674.91999999998</v>
      </c>
      <c r="AD542" s="3">
        <f t="shared" si="116"/>
        <v>239107.26</v>
      </c>
      <c r="AE542" s="3">
        <f t="shared" si="117"/>
        <v>470101.1</v>
      </c>
      <c r="AF542" s="3">
        <f>SUM(ecommerce_sales_all_data[[#This Row],[revenue_month_1]:[revenue_month_12]])</f>
        <v>3045873.32</v>
      </c>
    </row>
    <row r="543" spans="1:32" x14ac:dyDescent="0.3">
      <c r="A543">
        <v>542</v>
      </c>
      <c r="B543" t="s">
        <v>566</v>
      </c>
      <c r="C543" t="s">
        <v>26</v>
      </c>
      <c r="D543" s="2">
        <v>305.06</v>
      </c>
      <c r="E543">
        <v>1.4</v>
      </c>
      <c r="F543">
        <v>665</v>
      </c>
      <c r="G543" s="1">
        <v>831</v>
      </c>
      <c r="H543" s="1">
        <v>634</v>
      </c>
      <c r="I543" s="1">
        <v>587</v>
      </c>
      <c r="J543" s="1">
        <v>760</v>
      </c>
      <c r="K543" s="1">
        <v>799</v>
      </c>
      <c r="L543" s="1">
        <v>848</v>
      </c>
      <c r="M543" s="1">
        <v>878</v>
      </c>
      <c r="N543" s="1">
        <v>92</v>
      </c>
      <c r="O543" s="1">
        <v>826</v>
      </c>
      <c r="P543" s="1">
        <v>800</v>
      </c>
      <c r="Q543" s="1">
        <v>546</v>
      </c>
      <c r="R543" s="1">
        <v>13</v>
      </c>
      <c r="S543" s="1">
        <f>SUM(ecommerce_sales_all_data[[#This Row],[sales_month_1]:[sales_month_12]])</f>
        <v>7614</v>
      </c>
      <c r="T543" s="3">
        <f t="shared" si="106"/>
        <v>253504.86000000002</v>
      </c>
      <c r="U543" s="3">
        <f t="shared" si="107"/>
        <v>193408.04</v>
      </c>
      <c r="V543" s="3">
        <f t="shared" si="108"/>
        <v>179070.22</v>
      </c>
      <c r="W543" s="3">
        <f t="shared" si="109"/>
        <v>231845.6</v>
      </c>
      <c r="X543" s="3">
        <f t="shared" si="110"/>
        <v>243742.94</v>
      </c>
      <c r="Y543" s="3">
        <f t="shared" si="111"/>
        <v>258690.88</v>
      </c>
      <c r="Z543" s="3">
        <f t="shared" si="112"/>
        <v>267842.68</v>
      </c>
      <c r="AA543" s="3">
        <f t="shared" si="113"/>
        <v>28065.52</v>
      </c>
      <c r="AB543" s="3">
        <f t="shared" si="114"/>
        <v>251979.56</v>
      </c>
      <c r="AC543" s="3">
        <f t="shared" si="115"/>
        <v>244048</v>
      </c>
      <c r="AD543" s="3">
        <f t="shared" si="116"/>
        <v>166562.76</v>
      </c>
      <c r="AE543" s="3">
        <f t="shared" si="117"/>
        <v>3965.78</v>
      </c>
      <c r="AF543" s="3">
        <f>SUM(ecommerce_sales_all_data[[#This Row],[revenue_month_1]:[revenue_month_12]])</f>
        <v>2322726.8399999994</v>
      </c>
    </row>
    <row r="544" spans="1:32" x14ac:dyDescent="0.3">
      <c r="A544">
        <v>543</v>
      </c>
      <c r="B544" t="s">
        <v>567</v>
      </c>
      <c r="C544" t="s">
        <v>19</v>
      </c>
      <c r="D544" s="2">
        <v>118.18</v>
      </c>
      <c r="E544">
        <v>3.3</v>
      </c>
      <c r="F544">
        <v>722</v>
      </c>
      <c r="G544" s="1">
        <v>698</v>
      </c>
      <c r="H544" s="1">
        <v>745</v>
      </c>
      <c r="I544" s="1">
        <v>896</v>
      </c>
      <c r="J544" s="1">
        <v>937</v>
      </c>
      <c r="K544" s="1">
        <v>872</v>
      </c>
      <c r="L544" s="1">
        <v>508</v>
      </c>
      <c r="M544" s="1">
        <v>328</v>
      </c>
      <c r="N544" s="1">
        <v>625</v>
      </c>
      <c r="O544" s="1">
        <v>296</v>
      </c>
      <c r="P544" s="1">
        <v>461</v>
      </c>
      <c r="Q544" s="1">
        <v>283</v>
      </c>
      <c r="R544" s="1">
        <v>742</v>
      </c>
      <c r="S544" s="1">
        <f>SUM(ecommerce_sales_all_data[[#This Row],[sales_month_1]:[sales_month_12]])</f>
        <v>7391</v>
      </c>
      <c r="T544" s="3">
        <f t="shared" si="106"/>
        <v>82489.64</v>
      </c>
      <c r="U544" s="3">
        <f t="shared" si="107"/>
        <v>88044.1</v>
      </c>
      <c r="V544" s="3">
        <f t="shared" si="108"/>
        <v>105889.28</v>
      </c>
      <c r="W544" s="3">
        <f t="shared" si="109"/>
        <v>110734.66</v>
      </c>
      <c r="X544" s="3">
        <f t="shared" si="110"/>
        <v>103052.96</v>
      </c>
      <c r="Y544" s="3">
        <f t="shared" si="111"/>
        <v>60035.44</v>
      </c>
      <c r="Z544" s="3">
        <f t="shared" si="112"/>
        <v>38763.040000000001</v>
      </c>
      <c r="AA544" s="3">
        <f t="shared" si="113"/>
        <v>73862.5</v>
      </c>
      <c r="AB544" s="3">
        <f t="shared" si="114"/>
        <v>34981.279999999999</v>
      </c>
      <c r="AC544" s="3">
        <f t="shared" si="115"/>
        <v>54480.98</v>
      </c>
      <c r="AD544" s="3">
        <f t="shared" si="116"/>
        <v>33444.94</v>
      </c>
      <c r="AE544" s="3">
        <f t="shared" si="117"/>
        <v>87689.560000000012</v>
      </c>
      <c r="AF544" s="3">
        <f>SUM(ecommerce_sales_all_data[[#This Row],[revenue_month_1]:[revenue_month_12]])</f>
        <v>873468.38000000012</v>
      </c>
    </row>
    <row r="545" spans="1:32" x14ac:dyDescent="0.3">
      <c r="A545">
        <v>544</v>
      </c>
      <c r="B545" t="s">
        <v>568</v>
      </c>
      <c r="C545" t="s">
        <v>19</v>
      </c>
      <c r="D545" s="2">
        <v>337.49</v>
      </c>
      <c r="E545">
        <v>2</v>
      </c>
      <c r="F545">
        <v>913</v>
      </c>
      <c r="G545" s="1">
        <v>89</v>
      </c>
      <c r="H545" s="1">
        <v>732</v>
      </c>
      <c r="I545" s="1">
        <v>438</v>
      </c>
      <c r="J545" s="1">
        <v>32</v>
      </c>
      <c r="K545" s="1">
        <v>339</v>
      </c>
      <c r="L545" s="1">
        <v>321</v>
      </c>
      <c r="M545" s="1">
        <v>114</v>
      </c>
      <c r="N545" s="1">
        <v>283</v>
      </c>
      <c r="O545" s="1">
        <v>111</v>
      </c>
      <c r="P545" s="1">
        <v>79</v>
      </c>
      <c r="Q545" s="1">
        <v>358</v>
      </c>
      <c r="R545" s="1">
        <v>668</v>
      </c>
      <c r="S545" s="1">
        <f>SUM(ecommerce_sales_all_data[[#This Row],[sales_month_1]:[sales_month_12]])</f>
        <v>3564</v>
      </c>
      <c r="T545" s="3">
        <f t="shared" si="106"/>
        <v>30036.61</v>
      </c>
      <c r="U545" s="3">
        <f t="shared" si="107"/>
        <v>247042.68</v>
      </c>
      <c r="V545" s="3">
        <f t="shared" si="108"/>
        <v>147820.62</v>
      </c>
      <c r="W545" s="3">
        <f t="shared" si="109"/>
        <v>10799.68</v>
      </c>
      <c r="X545" s="3">
        <f t="shared" si="110"/>
        <v>114409.11</v>
      </c>
      <c r="Y545" s="3">
        <f t="shared" si="111"/>
        <v>108334.29000000001</v>
      </c>
      <c r="Z545" s="3">
        <f t="shared" si="112"/>
        <v>38473.86</v>
      </c>
      <c r="AA545" s="3">
        <f t="shared" si="113"/>
        <v>95509.67</v>
      </c>
      <c r="AB545" s="3">
        <f t="shared" si="114"/>
        <v>37461.39</v>
      </c>
      <c r="AC545" s="3">
        <f t="shared" si="115"/>
        <v>26661.71</v>
      </c>
      <c r="AD545" s="3">
        <f t="shared" si="116"/>
        <v>120821.42</v>
      </c>
      <c r="AE545" s="3">
        <f t="shared" si="117"/>
        <v>225443.32</v>
      </c>
      <c r="AF545" s="3">
        <f>SUM(ecommerce_sales_all_data[[#This Row],[revenue_month_1]:[revenue_month_12]])</f>
        <v>1202814.3600000001</v>
      </c>
    </row>
    <row r="546" spans="1:32" x14ac:dyDescent="0.3">
      <c r="A546">
        <v>545</v>
      </c>
      <c r="B546" t="s">
        <v>569</v>
      </c>
      <c r="C546" t="s">
        <v>48</v>
      </c>
      <c r="D546" s="2">
        <v>310.97000000000003</v>
      </c>
      <c r="E546">
        <v>4.9000000000000004</v>
      </c>
      <c r="F546">
        <v>573</v>
      </c>
      <c r="G546" s="1">
        <v>445</v>
      </c>
      <c r="H546" s="1">
        <v>322</v>
      </c>
      <c r="I546" s="1">
        <v>277</v>
      </c>
      <c r="J546" s="1">
        <v>969</v>
      </c>
      <c r="K546" s="1">
        <v>128</v>
      </c>
      <c r="L546" s="1">
        <v>274</v>
      </c>
      <c r="M546" s="1">
        <v>275</v>
      </c>
      <c r="N546" s="1">
        <v>955</v>
      </c>
      <c r="O546" s="1">
        <v>961</v>
      </c>
      <c r="P546" s="1">
        <v>522</v>
      </c>
      <c r="Q546" s="1">
        <v>380</v>
      </c>
      <c r="R546" s="1">
        <v>499</v>
      </c>
      <c r="S546" s="1">
        <f>SUM(ecommerce_sales_all_data[[#This Row],[sales_month_1]:[sales_month_12]])</f>
        <v>6007</v>
      </c>
      <c r="T546" s="3">
        <f t="shared" si="106"/>
        <v>138381.65000000002</v>
      </c>
      <c r="U546" s="3">
        <f t="shared" si="107"/>
        <v>100132.34000000001</v>
      </c>
      <c r="V546" s="3">
        <f t="shared" si="108"/>
        <v>86138.69</v>
      </c>
      <c r="W546" s="3">
        <f t="shared" si="109"/>
        <v>301329.93000000005</v>
      </c>
      <c r="X546" s="3">
        <f t="shared" si="110"/>
        <v>39804.160000000003</v>
      </c>
      <c r="Y546" s="3">
        <f t="shared" si="111"/>
        <v>85205.780000000013</v>
      </c>
      <c r="Z546" s="3">
        <f t="shared" si="112"/>
        <v>85516.750000000015</v>
      </c>
      <c r="AA546" s="3">
        <f t="shared" si="113"/>
        <v>296976.35000000003</v>
      </c>
      <c r="AB546" s="3">
        <f t="shared" si="114"/>
        <v>298842.17000000004</v>
      </c>
      <c r="AC546" s="3">
        <f t="shared" si="115"/>
        <v>162326.34000000003</v>
      </c>
      <c r="AD546" s="3">
        <f t="shared" si="116"/>
        <v>118168.6</v>
      </c>
      <c r="AE546" s="3">
        <f t="shared" si="117"/>
        <v>155174.03000000003</v>
      </c>
      <c r="AF546" s="3">
        <f>SUM(ecommerce_sales_all_data[[#This Row],[revenue_month_1]:[revenue_month_12]])</f>
        <v>1867996.7900000005</v>
      </c>
    </row>
    <row r="547" spans="1:32" x14ac:dyDescent="0.3">
      <c r="A547">
        <v>546</v>
      </c>
      <c r="B547" t="s">
        <v>570</v>
      </c>
      <c r="C547" t="s">
        <v>23</v>
      </c>
      <c r="D547" s="2">
        <v>182.29</v>
      </c>
      <c r="E547">
        <v>2.9</v>
      </c>
      <c r="F547">
        <v>780</v>
      </c>
      <c r="G547" s="1">
        <v>331</v>
      </c>
      <c r="H547" s="1">
        <v>850</v>
      </c>
      <c r="I547" s="1">
        <v>551</v>
      </c>
      <c r="J547" s="1">
        <v>228</v>
      </c>
      <c r="K547" s="1">
        <v>437</v>
      </c>
      <c r="L547" s="1">
        <v>210</v>
      </c>
      <c r="M547" s="1">
        <v>487</v>
      </c>
      <c r="N547" s="1">
        <v>922</v>
      </c>
      <c r="O547" s="1">
        <v>229</v>
      </c>
      <c r="P547" s="1">
        <v>416</v>
      </c>
      <c r="Q547" s="1">
        <v>869</v>
      </c>
      <c r="R547" s="1">
        <v>645</v>
      </c>
      <c r="S547" s="1">
        <f>SUM(ecommerce_sales_all_data[[#This Row],[sales_month_1]:[sales_month_12]])</f>
        <v>6175</v>
      </c>
      <c r="T547" s="3">
        <f t="shared" si="106"/>
        <v>60337.99</v>
      </c>
      <c r="U547" s="3">
        <f t="shared" si="107"/>
        <v>154946.5</v>
      </c>
      <c r="V547" s="3">
        <f t="shared" si="108"/>
        <v>100441.79</v>
      </c>
      <c r="W547" s="3">
        <f t="shared" si="109"/>
        <v>41562.119999999995</v>
      </c>
      <c r="X547" s="3">
        <f t="shared" si="110"/>
        <v>79660.73</v>
      </c>
      <c r="Y547" s="3">
        <f t="shared" si="111"/>
        <v>38280.9</v>
      </c>
      <c r="Z547" s="3">
        <f t="shared" si="112"/>
        <v>88775.23</v>
      </c>
      <c r="AA547" s="3">
        <f t="shared" si="113"/>
        <v>168071.38</v>
      </c>
      <c r="AB547" s="3">
        <f t="shared" si="114"/>
        <v>41744.409999999996</v>
      </c>
      <c r="AC547" s="3">
        <f t="shared" si="115"/>
        <v>75832.639999999999</v>
      </c>
      <c r="AD547" s="3">
        <f t="shared" si="116"/>
        <v>158410.00999999998</v>
      </c>
      <c r="AE547" s="3">
        <f t="shared" si="117"/>
        <v>117577.04999999999</v>
      </c>
      <c r="AF547" s="3">
        <f>SUM(ecommerce_sales_all_data[[#This Row],[revenue_month_1]:[revenue_month_12]])</f>
        <v>1125640.75</v>
      </c>
    </row>
    <row r="548" spans="1:32" x14ac:dyDescent="0.3">
      <c r="A548">
        <v>547</v>
      </c>
      <c r="B548" t="s">
        <v>571</v>
      </c>
      <c r="C548" t="s">
        <v>19</v>
      </c>
      <c r="D548" s="2">
        <v>61.21</v>
      </c>
      <c r="E548">
        <v>4.2</v>
      </c>
      <c r="F548">
        <v>262</v>
      </c>
      <c r="G548" s="1">
        <v>138</v>
      </c>
      <c r="H548" s="1">
        <v>2</v>
      </c>
      <c r="I548" s="1">
        <v>612</v>
      </c>
      <c r="J548" s="1">
        <v>523</v>
      </c>
      <c r="K548" s="1">
        <v>750</v>
      </c>
      <c r="L548" s="1">
        <v>503</v>
      </c>
      <c r="M548" s="1">
        <v>280</v>
      </c>
      <c r="N548" s="1">
        <v>654</v>
      </c>
      <c r="O548" s="1">
        <v>95</v>
      </c>
      <c r="P548" s="1">
        <v>765</v>
      </c>
      <c r="Q548" s="1">
        <v>904</v>
      </c>
      <c r="R548" s="1">
        <v>390</v>
      </c>
      <c r="S548" s="1">
        <f>SUM(ecommerce_sales_all_data[[#This Row],[sales_month_1]:[sales_month_12]])</f>
        <v>5616</v>
      </c>
      <c r="T548" s="3">
        <f t="shared" si="106"/>
        <v>8446.98</v>
      </c>
      <c r="U548" s="3">
        <f t="shared" si="107"/>
        <v>122.42</v>
      </c>
      <c r="V548" s="3">
        <f t="shared" si="108"/>
        <v>37460.520000000004</v>
      </c>
      <c r="W548" s="3">
        <f t="shared" si="109"/>
        <v>32012.83</v>
      </c>
      <c r="X548" s="3">
        <f t="shared" si="110"/>
        <v>45907.5</v>
      </c>
      <c r="Y548" s="3">
        <f t="shared" si="111"/>
        <v>30788.63</v>
      </c>
      <c r="Z548" s="3">
        <f t="shared" si="112"/>
        <v>17138.8</v>
      </c>
      <c r="AA548" s="3">
        <f t="shared" si="113"/>
        <v>40031.340000000004</v>
      </c>
      <c r="AB548" s="3">
        <f t="shared" si="114"/>
        <v>5814.95</v>
      </c>
      <c r="AC548" s="3">
        <f t="shared" si="115"/>
        <v>46825.65</v>
      </c>
      <c r="AD548" s="3">
        <f t="shared" si="116"/>
        <v>55333.840000000004</v>
      </c>
      <c r="AE548" s="3">
        <f t="shared" si="117"/>
        <v>23871.9</v>
      </c>
      <c r="AF548" s="3">
        <f>SUM(ecommerce_sales_all_data[[#This Row],[revenue_month_1]:[revenue_month_12]])</f>
        <v>343755.36000000004</v>
      </c>
    </row>
    <row r="549" spans="1:32" x14ac:dyDescent="0.3">
      <c r="A549">
        <v>548</v>
      </c>
      <c r="B549" t="s">
        <v>572</v>
      </c>
      <c r="C549" t="s">
        <v>19</v>
      </c>
      <c r="D549" s="2">
        <v>337.43</v>
      </c>
      <c r="E549">
        <v>3.2</v>
      </c>
      <c r="F549">
        <v>730</v>
      </c>
      <c r="G549" s="1">
        <v>356</v>
      </c>
      <c r="H549" s="1">
        <v>693</v>
      </c>
      <c r="I549" s="1">
        <v>110</v>
      </c>
      <c r="J549" s="1">
        <v>629</v>
      </c>
      <c r="K549" s="1">
        <v>500</v>
      </c>
      <c r="L549" s="1">
        <v>902</v>
      </c>
      <c r="M549" s="1">
        <v>274</v>
      </c>
      <c r="N549" s="1">
        <v>222</v>
      </c>
      <c r="O549" s="1">
        <v>949</v>
      </c>
      <c r="P549" s="1">
        <v>383</v>
      </c>
      <c r="Q549" s="1">
        <v>971</v>
      </c>
      <c r="R549" s="1">
        <v>548</v>
      </c>
      <c r="S549" s="1">
        <f>SUM(ecommerce_sales_all_data[[#This Row],[sales_month_1]:[sales_month_12]])</f>
        <v>6537</v>
      </c>
      <c r="T549" s="3">
        <f t="shared" si="106"/>
        <v>120125.08</v>
      </c>
      <c r="U549" s="3">
        <f t="shared" si="107"/>
        <v>233838.99</v>
      </c>
      <c r="V549" s="3">
        <f t="shared" si="108"/>
        <v>37117.300000000003</v>
      </c>
      <c r="W549" s="3">
        <f t="shared" si="109"/>
        <v>212243.47</v>
      </c>
      <c r="X549" s="3">
        <f t="shared" si="110"/>
        <v>168715</v>
      </c>
      <c r="Y549" s="3">
        <f t="shared" si="111"/>
        <v>304361.86</v>
      </c>
      <c r="Z549" s="3">
        <f t="shared" si="112"/>
        <v>92455.82</v>
      </c>
      <c r="AA549" s="3">
        <f t="shared" si="113"/>
        <v>74909.460000000006</v>
      </c>
      <c r="AB549" s="3">
        <f t="shared" si="114"/>
        <v>320221.07</v>
      </c>
      <c r="AC549" s="3">
        <f t="shared" si="115"/>
        <v>129235.69</v>
      </c>
      <c r="AD549" s="3">
        <f t="shared" si="116"/>
        <v>327644.53000000003</v>
      </c>
      <c r="AE549" s="3">
        <f t="shared" si="117"/>
        <v>184911.64</v>
      </c>
      <c r="AF549" s="3">
        <f>SUM(ecommerce_sales_all_data[[#This Row],[revenue_month_1]:[revenue_month_12]])</f>
        <v>2205779.91</v>
      </c>
    </row>
    <row r="550" spans="1:32" x14ac:dyDescent="0.3">
      <c r="A550">
        <v>549</v>
      </c>
      <c r="B550" t="s">
        <v>573</v>
      </c>
      <c r="C550" t="s">
        <v>35</v>
      </c>
      <c r="D550" s="2">
        <v>262.55</v>
      </c>
      <c r="E550">
        <v>1.2</v>
      </c>
      <c r="F550">
        <v>283</v>
      </c>
      <c r="G550" s="1">
        <v>600</v>
      </c>
      <c r="H550" s="1">
        <v>205</v>
      </c>
      <c r="I550" s="1">
        <v>384</v>
      </c>
      <c r="J550" s="1">
        <v>861</v>
      </c>
      <c r="K550" s="1">
        <v>57</v>
      </c>
      <c r="L550" s="1">
        <v>117</v>
      </c>
      <c r="M550" s="1">
        <v>772</v>
      </c>
      <c r="N550" s="1">
        <v>743</v>
      </c>
      <c r="O550" s="1">
        <v>679</v>
      </c>
      <c r="P550" s="1">
        <v>390</v>
      </c>
      <c r="Q550" s="1">
        <v>910</v>
      </c>
      <c r="R550" s="1">
        <v>564</v>
      </c>
      <c r="S550" s="1">
        <f>SUM(ecommerce_sales_all_data[[#This Row],[sales_month_1]:[sales_month_12]])</f>
        <v>6282</v>
      </c>
      <c r="T550" s="3">
        <f t="shared" si="106"/>
        <v>157530</v>
      </c>
      <c r="U550" s="3">
        <f t="shared" si="107"/>
        <v>53822.75</v>
      </c>
      <c r="V550" s="3">
        <f t="shared" si="108"/>
        <v>100819.20000000001</v>
      </c>
      <c r="W550" s="3">
        <f t="shared" si="109"/>
        <v>226055.55000000002</v>
      </c>
      <c r="X550" s="3">
        <f t="shared" si="110"/>
        <v>14965.35</v>
      </c>
      <c r="Y550" s="3">
        <f t="shared" si="111"/>
        <v>30718.350000000002</v>
      </c>
      <c r="Z550" s="3">
        <f t="shared" si="112"/>
        <v>202688.6</v>
      </c>
      <c r="AA550" s="3">
        <f t="shared" si="113"/>
        <v>195074.65</v>
      </c>
      <c r="AB550" s="3">
        <f t="shared" si="114"/>
        <v>178271.45</v>
      </c>
      <c r="AC550" s="3">
        <f t="shared" si="115"/>
        <v>102394.5</v>
      </c>
      <c r="AD550" s="3">
        <f t="shared" si="116"/>
        <v>238920.5</v>
      </c>
      <c r="AE550" s="3">
        <f t="shared" si="117"/>
        <v>148078.20000000001</v>
      </c>
      <c r="AF550" s="3">
        <f>SUM(ecommerce_sales_all_data[[#This Row],[revenue_month_1]:[revenue_month_12]])</f>
        <v>1649339.0999999999</v>
      </c>
    </row>
    <row r="551" spans="1:32" x14ac:dyDescent="0.3">
      <c r="A551">
        <v>550</v>
      </c>
      <c r="B551" t="s">
        <v>574</v>
      </c>
      <c r="C551" t="s">
        <v>48</v>
      </c>
      <c r="D551" s="2">
        <v>387.3</v>
      </c>
      <c r="E551">
        <v>3.5</v>
      </c>
      <c r="F551">
        <v>648</v>
      </c>
      <c r="G551" s="1">
        <v>273</v>
      </c>
      <c r="H551" s="1">
        <v>831</v>
      </c>
      <c r="I551" s="1">
        <v>832</v>
      </c>
      <c r="J551" s="1">
        <v>154</v>
      </c>
      <c r="K551" s="1">
        <v>197</v>
      </c>
      <c r="L551" s="1">
        <v>702</v>
      </c>
      <c r="M551" s="1">
        <v>842</v>
      </c>
      <c r="N551" s="1">
        <v>462</v>
      </c>
      <c r="O551" s="1">
        <v>377</v>
      </c>
      <c r="P551" s="1">
        <v>895</v>
      </c>
      <c r="Q551" s="1">
        <v>532</v>
      </c>
      <c r="R551" s="1">
        <v>529</v>
      </c>
      <c r="S551" s="1">
        <f>SUM(ecommerce_sales_all_data[[#This Row],[sales_month_1]:[sales_month_12]])</f>
        <v>6626</v>
      </c>
      <c r="T551" s="3">
        <f t="shared" si="106"/>
        <v>105732.90000000001</v>
      </c>
      <c r="U551" s="3">
        <f t="shared" si="107"/>
        <v>321846.3</v>
      </c>
      <c r="V551" s="3">
        <f t="shared" si="108"/>
        <v>322233.60000000003</v>
      </c>
      <c r="W551" s="3">
        <f t="shared" si="109"/>
        <v>59644.200000000004</v>
      </c>
      <c r="X551" s="3">
        <f t="shared" si="110"/>
        <v>76298.100000000006</v>
      </c>
      <c r="Y551" s="3">
        <f t="shared" si="111"/>
        <v>271884.60000000003</v>
      </c>
      <c r="Z551" s="3">
        <f t="shared" si="112"/>
        <v>326106.60000000003</v>
      </c>
      <c r="AA551" s="3">
        <f t="shared" si="113"/>
        <v>178932.6</v>
      </c>
      <c r="AB551" s="3">
        <f t="shared" si="114"/>
        <v>146012.1</v>
      </c>
      <c r="AC551" s="3">
        <f t="shared" si="115"/>
        <v>346633.5</v>
      </c>
      <c r="AD551" s="3">
        <f t="shared" si="116"/>
        <v>206043.6</v>
      </c>
      <c r="AE551" s="3">
        <f t="shared" si="117"/>
        <v>204881.7</v>
      </c>
      <c r="AF551" s="3">
        <f>SUM(ecommerce_sales_all_data[[#This Row],[revenue_month_1]:[revenue_month_12]])</f>
        <v>2566249.8000000003</v>
      </c>
    </row>
    <row r="552" spans="1:32" x14ac:dyDescent="0.3">
      <c r="A552">
        <v>551</v>
      </c>
      <c r="B552" t="s">
        <v>575</v>
      </c>
      <c r="C552" t="s">
        <v>26</v>
      </c>
      <c r="D552" s="2">
        <v>262.48</v>
      </c>
      <c r="E552">
        <v>4.8</v>
      </c>
      <c r="F552">
        <v>467</v>
      </c>
      <c r="G552" s="1">
        <v>18</v>
      </c>
      <c r="H552" s="1">
        <v>39</v>
      </c>
      <c r="I552" s="1">
        <v>760</v>
      </c>
      <c r="J552" s="1">
        <v>422</v>
      </c>
      <c r="K552" s="1">
        <v>210</v>
      </c>
      <c r="L552" s="1">
        <v>553</v>
      </c>
      <c r="M552" s="1">
        <v>718</v>
      </c>
      <c r="N552" s="1">
        <v>544</v>
      </c>
      <c r="O552" s="1">
        <v>155</v>
      </c>
      <c r="P552" s="1">
        <v>798</v>
      </c>
      <c r="Q552" s="1">
        <v>819</v>
      </c>
      <c r="R552" s="1">
        <v>982</v>
      </c>
      <c r="S552" s="1">
        <f>SUM(ecommerce_sales_all_data[[#This Row],[sales_month_1]:[sales_month_12]])</f>
        <v>6018</v>
      </c>
      <c r="T552" s="3">
        <f t="shared" si="106"/>
        <v>4724.6400000000003</v>
      </c>
      <c r="U552" s="3">
        <f t="shared" si="107"/>
        <v>10236.720000000001</v>
      </c>
      <c r="V552" s="3">
        <f t="shared" si="108"/>
        <v>199484.80000000002</v>
      </c>
      <c r="W552" s="3">
        <f t="shared" si="109"/>
        <v>110766.56000000001</v>
      </c>
      <c r="X552" s="3">
        <f t="shared" si="110"/>
        <v>55120.800000000003</v>
      </c>
      <c r="Y552" s="3">
        <f t="shared" si="111"/>
        <v>145151.44</v>
      </c>
      <c r="Z552" s="3">
        <f t="shared" si="112"/>
        <v>188460.64</v>
      </c>
      <c r="AA552" s="3">
        <f t="shared" si="113"/>
        <v>142789.12</v>
      </c>
      <c r="AB552" s="3">
        <f t="shared" si="114"/>
        <v>40684.400000000001</v>
      </c>
      <c r="AC552" s="3">
        <f t="shared" si="115"/>
        <v>209459.04</v>
      </c>
      <c r="AD552" s="3">
        <f t="shared" si="116"/>
        <v>214971.12000000002</v>
      </c>
      <c r="AE552" s="3">
        <f t="shared" si="117"/>
        <v>257755.36000000002</v>
      </c>
      <c r="AF552" s="3">
        <f>SUM(ecommerce_sales_all_data[[#This Row],[revenue_month_1]:[revenue_month_12]])</f>
        <v>1579604.6400000001</v>
      </c>
    </row>
    <row r="553" spans="1:32" x14ac:dyDescent="0.3">
      <c r="A553">
        <v>552</v>
      </c>
      <c r="B553" t="s">
        <v>576</v>
      </c>
      <c r="C553" t="s">
        <v>35</v>
      </c>
      <c r="D553" s="2">
        <v>426.83</v>
      </c>
      <c r="E553">
        <v>3.4</v>
      </c>
      <c r="F553">
        <v>380</v>
      </c>
      <c r="G553" s="1">
        <v>982</v>
      </c>
      <c r="H553" s="1">
        <v>58</v>
      </c>
      <c r="I553" s="1">
        <v>190</v>
      </c>
      <c r="J553" s="1">
        <v>904</v>
      </c>
      <c r="K553" s="1">
        <v>913</v>
      </c>
      <c r="L553" s="1">
        <v>41</v>
      </c>
      <c r="M553" s="1">
        <v>895</v>
      </c>
      <c r="N553" s="1">
        <v>275</v>
      </c>
      <c r="O553" s="1">
        <v>420</v>
      </c>
      <c r="P553" s="1">
        <v>687</v>
      </c>
      <c r="Q553" s="1">
        <v>162</v>
      </c>
      <c r="R553" s="1">
        <v>491</v>
      </c>
      <c r="S553" s="1">
        <f>SUM(ecommerce_sales_all_data[[#This Row],[sales_month_1]:[sales_month_12]])</f>
        <v>6018</v>
      </c>
      <c r="T553" s="3">
        <f t="shared" si="106"/>
        <v>419147.06</v>
      </c>
      <c r="U553" s="3">
        <f t="shared" si="107"/>
        <v>24756.14</v>
      </c>
      <c r="V553" s="3">
        <f t="shared" si="108"/>
        <v>81097.7</v>
      </c>
      <c r="W553" s="3">
        <f t="shared" si="109"/>
        <v>385854.32</v>
      </c>
      <c r="X553" s="3">
        <f t="shared" si="110"/>
        <v>389695.79</v>
      </c>
      <c r="Y553" s="3">
        <f t="shared" si="111"/>
        <v>17500.03</v>
      </c>
      <c r="Z553" s="3">
        <f t="shared" si="112"/>
        <v>382012.85</v>
      </c>
      <c r="AA553" s="3">
        <f t="shared" si="113"/>
        <v>117378.25</v>
      </c>
      <c r="AB553" s="3">
        <f t="shared" si="114"/>
        <v>179268.6</v>
      </c>
      <c r="AC553" s="3">
        <f t="shared" si="115"/>
        <v>293232.20999999996</v>
      </c>
      <c r="AD553" s="3">
        <f t="shared" si="116"/>
        <v>69146.459999999992</v>
      </c>
      <c r="AE553" s="3">
        <f t="shared" si="117"/>
        <v>209573.53</v>
      </c>
      <c r="AF553" s="3">
        <f>SUM(ecommerce_sales_all_data[[#This Row],[revenue_month_1]:[revenue_month_12]])</f>
        <v>2568662.94</v>
      </c>
    </row>
    <row r="554" spans="1:32" x14ac:dyDescent="0.3">
      <c r="A554">
        <v>553</v>
      </c>
      <c r="B554" t="s">
        <v>577</v>
      </c>
      <c r="C554" t="s">
        <v>35</v>
      </c>
      <c r="D554" s="2">
        <v>278.19</v>
      </c>
      <c r="E554">
        <v>4.3</v>
      </c>
      <c r="F554">
        <v>362</v>
      </c>
      <c r="G554" s="1">
        <v>310</v>
      </c>
      <c r="H554" s="1">
        <v>950</v>
      </c>
      <c r="I554" s="1">
        <v>489</v>
      </c>
      <c r="J554" s="1">
        <v>245</v>
      </c>
      <c r="K554" s="1">
        <v>901</v>
      </c>
      <c r="L554" s="1">
        <v>314</v>
      </c>
      <c r="M554" s="1">
        <v>327</v>
      </c>
      <c r="N554" s="1">
        <v>681</v>
      </c>
      <c r="O554" s="1">
        <v>104</v>
      </c>
      <c r="P554" s="1">
        <v>125</v>
      </c>
      <c r="Q554" s="1">
        <v>608</v>
      </c>
      <c r="R554" s="1">
        <v>549</v>
      </c>
      <c r="S554" s="1">
        <f>SUM(ecommerce_sales_all_data[[#This Row],[sales_month_1]:[sales_month_12]])</f>
        <v>5603</v>
      </c>
      <c r="T554" s="3">
        <f t="shared" si="106"/>
        <v>86238.9</v>
      </c>
      <c r="U554" s="3">
        <f t="shared" si="107"/>
        <v>264280.5</v>
      </c>
      <c r="V554" s="3">
        <f t="shared" si="108"/>
        <v>136034.91</v>
      </c>
      <c r="W554" s="3">
        <f t="shared" si="109"/>
        <v>68156.55</v>
      </c>
      <c r="X554" s="3">
        <f t="shared" si="110"/>
        <v>250649.19</v>
      </c>
      <c r="Y554" s="3">
        <f t="shared" si="111"/>
        <v>87351.66</v>
      </c>
      <c r="Z554" s="3">
        <f t="shared" si="112"/>
        <v>90968.13</v>
      </c>
      <c r="AA554" s="3">
        <f t="shared" si="113"/>
        <v>189447.38999999998</v>
      </c>
      <c r="AB554" s="3">
        <f t="shared" si="114"/>
        <v>28931.759999999998</v>
      </c>
      <c r="AC554" s="3">
        <f t="shared" si="115"/>
        <v>34773.75</v>
      </c>
      <c r="AD554" s="3">
        <f t="shared" si="116"/>
        <v>169139.52</v>
      </c>
      <c r="AE554" s="3">
        <f t="shared" si="117"/>
        <v>152726.31</v>
      </c>
      <c r="AF554" s="3">
        <f>SUM(ecommerce_sales_all_data[[#This Row],[revenue_month_1]:[revenue_month_12]])</f>
        <v>1558698.57</v>
      </c>
    </row>
    <row r="555" spans="1:32" x14ac:dyDescent="0.3">
      <c r="A555">
        <v>554</v>
      </c>
      <c r="B555" t="s">
        <v>578</v>
      </c>
      <c r="C555" t="s">
        <v>21</v>
      </c>
      <c r="D555" s="2">
        <v>282.66000000000003</v>
      </c>
      <c r="E555">
        <v>4.5</v>
      </c>
      <c r="F555">
        <v>449</v>
      </c>
      <c r="G555" s="1">
        <v>869</v>
      </c>
      <c r="H555" s="1">
        <v>573</v>
      </c>
      <c r="I555" s="1">
        <v>693</v>
      </c>
      <c r="J555" s="1">
        <v>404</v>
      </c>
      <c r="K555" s="1">
        <v>44</v>
      </c>
      <c r="L555" s="1">
        <v>787</v>
      </c>
      <c r="M555" s="1">
        <v>210</v>
      </c>
      <c r="N555" s="1">
        <v>139</v>
      </c>
      <c r="O555" s="1">
        <v>704</v>
      </c>
      <c r="P555" s="1">
        <v>493</v>
      </c>
      <c r="Q555" s="1">
        <v>306</v>
      </c>
      <c r="R555" s="1">
        <v>698</v>
      </c>
      <c r="S555" s="1">
        <f>SUM(ecommerce_sales_all_data[[#This Row],[sales_month_1]:[sales_month_12]])</f>
        <v>5920</v>
      </c>
      <c r="T555" s="3">
        <f t="shared" si="106"/>
        <v>245631.54</v>
      </c>
      <c r="U555" s="3">
        <f t="shared" si="107"/>
        <v>161964.18000000002</v>
      </c>
      <c r="V555" s="3">
        <f t="shared" si="108"/>
        <v>195883.38</v>
      </c>
      <c r="W555" s="3">
        <f t="shared" si="109"/>
        <v>114194.64000000001</v>
      </c>
      <c r="X555" s="3">
        <f t="shared" si="110"/>
        <v>12437.04</v>
      </c>
      <c r="Y555" s="3">
        <f t="shared" si="111"/>
        <v>222453.42</v>
      </c>
      <c r="Z555" s="3">
        <f t="shared" si="112"/>
        <v>59358.600000000006</v>
      </c>
      <c r="AA555" s="3">
        <f t="shared" si="113"/>
        <v>39289.740000000005</v>
      </c>
      <c r="AB555" s="3">
        <f t="shared" si="114"/>
        <v>198992.64000000001</v>
      </c>
      <c r="AC555" s="3">
        <f t="shared" si="115"/>
        <v>139351.38</v>
      </c>
      <c r="AD555" s="3">
        <f t="shared" si="116"/>
        <v>86493.96</v>
      </c>
      <c r="AE555" s="3">
        <f t="shared" si="117"/>
        <v>197296.68000000002</v>
      </c>
      <c r="AF555" s="3">
        <f>SUM(ecommerce_sales_all_data[[#This Row],[revenue_month_1]:[revenue_month_12]])</f>
        <v>1673347.2</v>
      </c>
    </row>
    <row r="556" spans="1:32" x14ac:dyDescent="0.3">
      <c r="A556">
        <v>555</v>
      </c>
      <c r="B556" t="s">
        <v>579</v>
      </c>
      <c r="C556" t="s">
        <v>29</v>
      </c>
      <c r="D556" s="2">
        <v>438.94</v>
      </c>
      <c r="E556">
        <v>1.9</v>
      </c>
      <c r="F556">
        <v>441</v>
      </c>
      <c r="G556" s="1">
        <v>885</v>
      </c>
      <c r="H556" s="1">
        <v>643</v>
      </c>
      <c r="I556" s="1">
        <v>425</v>
      </c>
      <c r="J556" s="1">
        <v>843</v>
      </c>
      <c r="K556" s="1">
        <v>96</v>
      </c>
      <c r="L556" s="1">
        <v>328</v>
      </c>
      <c r="M556" s="1">
        <v>726</v>
      </c>
      <c r="N556" s="1">
        <v>356</v>
      </c>
      <c r="O556" s="1">
        <v>1000</v>
      </c>
      <c r="P556" s="1">
        <v>46</v>
      </c>
      <c r="Q556" s="1">
        <v>338</v>
      </c>
      <c r="R556" s="1">
        <v>384</v>
      </c>
      <c r="S556" s="1">
        <f>SUM(ecommerce_sales_all_data[[#This Row],[sales_month_1]:[sales_month_12]])</f>
        <v>6070</v>
      </c>
      <c r="T556" s="3">
        <f t="shared" si="106"/>
        <v>388461.9</v>
      </c>
      <c r="U556" s="3">
        <f t="shared" si="107"/>
        <v>282238.42</v>
      </c>
      <c r="V556" s="3">
        <f t="shared" si="108"/>
        <v>186549.5</v>
      </c>
      <c r="W556" s="3">
        <f t="shared" si="109"/>
        <v>370026.42</v>
      </c>
      <c r="X556" s="3">
        <f t="shared" si="110"/>
        <v>42138.239999999998</v>
      </c>
      <c r="Y556" s="3">
        <f t="shared" si="111"/>
        <v>143972.32</v>
      </c>
      <c r="Z556" s="3">
        <f t="shared" si="112"/>
        <v>318670.44</v>
      </c>
      <c r="AA556" s="3">
        <f t="shared" si="113"/>
        <v>156262.63999999998</v>
      </c>
      <c r="AB556" s="3">
        <f t="shared" si="114"/>
        <v>438940</v>
      </c>
      <c r="AC556" s="3">
        <f t="shared" si="115"/>
        <v>20191.240000000002</v>
      </c>
      <c r="AD556" s="3">
        <f t="shared" si="116"/>
        <v>148361.72</v>
      </c>
      <c r="AE556" s="3">
        <f t="shared" si="117"/>
        <v>168552.95999999999</v>
      </c>
      <c r="AF556" s="3">
        <f>SUM(ecommerce_sales_all_data[[#This Row],[revenue_month_1]:[revenue_month_12]])</f>
        <v>2664365.8000000003</v>
      </c>
    </row>
    <row r="557" spans="1:32" x14ac:dyDescent="0.3">
      <c r="A557">
        <v>556</v>
      </c>
      <c r="B557" t="s">
        <v>580</v>
      </c>
      <c r="C557" t="s">
        <v>21</v>
      </c>
      <c r="D557" s="2">
        <v>204.72</v>
      </c>
      <c r="E557">
        <v>1.8</v>
      </c>
      <c r="F557">
        <v>93</v>
      </c>
      <c r="G557" s="1">
        <v>977</v>
      </c>
      <c r="H557" s="1">
        <v>506</v>
      </c>
      <c r="I557" s="1">
        <v>404</v>
      </c>
      <c r="J557" s="1">
        <v>758</v>
      </c>
      <c r="K557" s="1">
        <v>278</v>
      </c>
      <c r="L557" s="1">
        <v>16</v>
      </c>
      <c r="M557" s="1">
        <v>922</v>
      </c>
      <c r="N557" s="1">
        <v>712</v>
      </c>
      <c r="O557" s="1">
        <v>329</v>
      </c>
      <c r="P557" s="1">
        <v>717</v>
      </c>
      <c r="Q557" s="1">
        <v>54</v>
      </c>
      <c r="R557" s="1">
        <v>195</v>
      </c>
      <c r="S557" s="1">
        <f>SUM(ecommerce_sales_all_data[[#This Row],[sales_month_1]:[sales_month_12]])</f>
        <v>5868</v>
      </c>
      <c r="T557" s="3">
        <f t="shared" si="106"/>
        <v>200011.44</v>
      </c>
      <c r="U557" s="3">
        <f t="shared" si="107"/>
        <v>103588.31999999999</v>
      </c>
      <c r="V557" s="3">
        <f t="shared" si="108"/>
        <v>82706.880000000005</v>
      </c>
      <c r="W557" s="3">
        <f t="shared" si="109"/>
        <v>155177.76</v>
      </c>
      <c r="X557" s="3">
        <f t="shared" si="110"/>
        <v>56912.159999999996</v>
      </c>
      <c r="Y557" s="3">
        <f t="shared" si="111"/>
        <v>3275.52</v>
      </c>
      <c r="Z557" s="3">
        <f t="shared" si="112"/>
        <v>188751.84</v>
      </c>
      <c r="AA557" s="3">
        <f t="shared" si="113"/>
        <v>145760.63999999998</v>
      </c>
      <c r="AB557" s="3">
        <f t="shared" si="114"/>
        <v>67352.88</v>
      </c>
      <c r="AC557" s="3">
        <f t="shared" si="115"/>
        <v>146784.24</v>
      </c>
      <c r="AD557" s="3">
        <f t="shared" si="116"/>
        <v>11054.88</v>
      </c>
      <c r="AE557" s="3">
        <f t="shared" si="117"/>
        <v>39920.400000000001</v>
      </c>
      <c r="AF557" s="3">
        <f>SUM(ecommerce_sales_all_data[[#This Row],[revenue_month_1]:[revenue_month_12]])</f>
        <v>1201296.96</v>
      </c>
    </row>
    <row r="558" spans="1:32" x14ac:dyDescent="0.3">
      <c r="A558">
        <v>557</v>
      </c>
      <c r="B558" t="s">
        <v>581</v>
      </c>
      <c r="C558" t="s">
        <v>19</v>
      </c>
      <c r="D558" s="2">
        <v>71.34</v>
      </c>
      <c r="E558">
        <v>3.4</v>
      </c>
      <c r="F558">
        <v>621</v>
      </c>
      <c r="G558" s="1">
        <v>153</v>
      </c>
      <c r="H558" s="1">
        <v>571</v>
      </c>
      <c r="I558" s="1">
        <v>334</v>
      </c>
      <c r="J558" s="1">
        <v>540</v>
      </c>
      <c r="K558" s="1">
        <v>534</v>
      </c>
      <c r="L558" s="1">
        <v>282</v>
      </c>
      <c r="M558" s="1">
        <v>551</v>
      </c>
      <c r="N558" s="1">
        <v>22</v>
      </c>
      <c r="O558" s="1">
        <v>438</v>
      </c>
      <c r="P558" s="1">
        <v>475</v>
      </c>
      <c r="Q558" s="1">
        <v>982</v>
      </c>
      <c r="R558" s="1">
        <v>754</v>
      </c>
      <c r="S558" s="1">
        <f>SUM(ecommerce_sales_all_data[[#This Row],[sales_month_1]:[sales_month_12]])</f>
        <v>5636</v>
      </c>
      <c r="T558" s="3">
        <f t="shared" si="106"/>
        <v>10915.02</v>
      </c>
      <c r="U558" s="3">
        <f t="shared" si="107"/>
        <v>40735.14</v>
      </c>
      <c r="V558" s="3">
        <f t="shared" si="108"/>
        <v>23827.56</v>
      </c>
      <c r="W558" s="3">
        <f t="shared" si="109"/>
        <v>38523.599999999999</v>
      </c>
      <c r="X558" s="3">
        <f t="shared" si="110"/>
        <v>38095.560000000005</v>
      </c>
      <c r="Y558" s="3">
        <f t="shared" si="111"/>
        <v>20117.88</v>
      </c>
      <c r="Z558" s="3">
        <f t="shared" si="112"/>
        <v>39308.340000000004</v>
      </c>
      <c r="AA558" s="3">
        <f t="shared" si="113"/>
        <v>1569.48</v>
      </c>
      <c r="AB558" s="3">
        <f t="shared" si="114"/>
        <v>31246.920000000002</v>
      </c>
      <c r="AC558" s="3">
        <f t="shared" si="115"/>
        <v>33886.5</v>
      </c>
      <c r="AD558" s="3">
        <f t="shared" si="116"/>
        <v>70055.88</v>
      </c>
      <c r="AE558" s="3">
        <f t="shared" si="117"/>
        <v>53790.36</v>
      </c>
      <c r="AF558" s="3">
        <f>SUM(ecommerce_sales_all_data[[#This Row],[revenue_month_1]:[revenue_month_12]])</f>
        <v>402072.24</v>
      </c>
    </row>
    <row r="559" spans="1:32" x14ac:dyDescent="0.3">
      <c r="A559">
        <v>558</v>
      </c>
      <c r="B559" t="s">
        <v>582</v>
      </c>
      <c r="C559" t="s">
        <v>23</v>
      </c>
      <c r="D559" s="2">
        <v>19.25</v>
      </c>
      <c r="E559">
        <v>2.6</v>
      </c>
      <c r="F559">
        <v>753</v>
      </c>
      <c r="G559" s="1">
        <v>389</v>
      </c>
      <c r="H559" s="1">
        <v>883</v>
      </c>
      <c r="I559" s="1">
        <v>208</v>
      </c>
      <c r="J559" s="1">
        <v>160</v>
      </c>
      <c r="K559" s="1">
        <v>409</v>
      </c>
      <c r="L559" s="1">
        <v>942</v>
      </c>
      <c r="M559" s="1">
        <v>991</v>
      </c>
      <c r="N559" s="1">
        <v>967</v>
      </c>
      <c r="O559" s="1">
        <v>131</v>
      </c>
      <c r="P559" s="1">
        <v>948</v>
      </c>
      <c r="Q559" s="1">
        <v>332</v>
      </c>
      <c r="R559" s="1">
        <v>299</v>
      </c>
      <c r="S559" s="1">
        <f>SUM(ecommerce_sales_all_data[[#This Row],[sales_month_1]:[sales_month_12]])</f>
        <v>6659</v>
      </c>
      <c r="T559" s="3">
        <f t="shared" si="106"/>
        <v>7488.25</v>
      </c>
      <c r="U559" s="3">
        <f t="shared" si="107"/>
        <v>16997.75</v>
      </c>
      <c r="V559" s="3">
        <f t="shared" si="108"/>
        <v>4004</v>
      </c>
      <c r="W559" s="3">
        <f t="shared" si="109"/>
        <v>3080</v>
      </c>
      <c r="X559" s="3">
        <f t="shared" si="110"/>
        <v>7873.25</v>
      </c>
      <c r="Y559" s="3">
        <f t="shared" si="111"/>
        <v>18133.5</v>
      </c>
      <c r="Z559" s="3">
        <f t="shared" si="112"/>
        <v>19076.75</v>
      </c>
      <c r="AA559" s="3">
        <f t="shared" si="113"/>
        <v>18614.75</v>
      </c>
      <c r="AB559" s="3">
        <f t="shared" si="114"/>
        <v>2521.75</v>
      </c>
      <c r="AC559" s="3">
        <f t="shared" si="115"/>
        <v>18249</v>
      </c>
      <c r="AD559" s="3">
        <f t="shared" si="116"/>
        <v>6391</v>
      </c>
      <c r="AE559" s="3">
        <f t="shared" si="117"/>
        <v>5755.75</v>
      </c>
      <c r="AF559" s="3">
        <f>SUM(ecommerce_sales_all_data[[#This Row],[revenue_month_1]:[revenue_month_12]])</f>
        <v>128185.75</v>
      </c>
    </row>
    <row r="560" spans="1:32" x14ac:dyDescent="0.3">
      <c r="A560">
        <v>559</v>
      </c>
      <c r="B560" t="s">
        <v>583</v>
      </c>
      <c r="C560" t="s">
        <v>29</v>
      </c>
      <c r="D560" s="2">
        <v>378.79</v>
      </c>
      <c r="E560">
        <v>4.4000000000000004</v>
      </c>
      <c r="F560">
        <v>867</v>
      </c>
      <c r="G560" s="1">
        <v>259</v>
      </c>
      <c r="H560" s="1">
        <v>842</v>
      </c>
      <c r="I560" s="1">
        <v>21</v>
      </c>
      <c r="J560" s="1">
        <v>746</v>
      </c>
      <c r="K560" s="1">
        <v>460</v>
      </c>
      <c r="L560" s="1">
        <v>257</v>
      </c>
      <c r="M560" s="1">
        <v>25</v>
      </c>
      <c r="N560" s="1">
        <v>735</v>
      </c>
      <c r="O560" s="1">
        <v>866</v>
      </c>
      <c r="P560" s="1">
        <v>618</v>
      </c>
      <c r="Q560" s="1">
        <v>126</v>
      </c>
      <c r="R560" s="1">
        <v>814</v>
      </c>
      <c r="S560" s="1">
        <f>SUM(ecommerce_sales_all_data[[#This Row],[sales_month_1]:[sales_month_12]])</f>
        <v>5769</v>
      </c>
      <c r="T560" s="3">
        <f t="shared" si="106"/>
        <v>98106.61</v>
      </c>
      <c r="U560" s="3">
        <f t="shared" si="107"/>
        <v>318941.18</v>
      </c>
      <c r="V560" s="3">
        <f t="shared" si="108"/>
        <v>7954.59</v>
      </c>
      <c r="W560" s="3">
        <f t="shared" si="109"/>
        <v>282577.34000000003</v>
      </c>
      <c r="X560" s="3">
        <f t="shared" si="110"/>
        <v>174243.40000000002</v>
      </c>
      <c r="Y560" s="3">
        <f t="shared" si="111"/>
        <v>97349.03</v>
      </c>
      <c r="Z560" s="3">
        <f t="shared" si="112"/>
        <v>9469.75</v>
      </c>
      <c r="AA560" s="3">
        <f t="shared" si="113"/>
        <v>278410.65000000002</v>
      </c>
      <c r="AB560" s="3">
        <f t="shared" si="114"/>
        <v>328032.14</v>
      </c>
      <c r="AC560" s="3">
        <f t="shared" si="115"/>
        <v>234092.22</v>
      </c>
      <c r="AD560" s="3">
        <f t="shared" si="116"/>
        <v>47727.54</v>
      </c>
      <c r="AE560" s="3">
        <f t="shared" si="117"/>
        <v>308335.06</v>
      </c>
      <c r="AF560" s="3">
        <f>SUM(ecommerce_sales_all_data[[#This Row],[revenue_month_1]:[revenue_month_12]])</f>
        <v>2185239.5099999998</v>
      </c>
    </row>
    <row r="561" spans="1:32" x14ac:dyDescent="0.3">
      <c r="A561">
        <v>560</v>
      </c>
      <c r="B561" t="s">
        <v>584</v>
      </c>
      <c r="C561" t="s">
        <v>29</v>
      </c>
      <c r="D561" s="2">
        <v>312.05</v>
      </c>
      <c r="E561">
        <v>4.5999999999999996</v>
      </c>
      <c r="F561">
        <v>424</v>
      </c>
      <c r="G561" s="1">
        <v>619</v>
      </c>
      <c r="H561" s="1">
        <v>121</v>
      </c>
      <c r="I561" s="1">
        <v>677</v>
      </c>
      <c r="J561" s="1">
        <v>701</v>
      </c>
      <c r="K561" s="1">
        <v>390</v>
      </c>
      <c r="L561" s="1">
        <v>574</v>
      </c>
      <c r="M561" s="1">
        <v>26</v>
      </c>
      <c r="N561" s="1">
        <v>879</v>
      </c>
      <c r="O561" s="1">
        <v>381</v>
      </c>
      <c r="P561" s="1">
        <v>463</v>
      </c>
      <c r="Q561" s="1">
        <v>939</v>
      </c>
      <c r="R561" s="1">
        <v>546</v>
      </c>
      <c r="S561" s="1">
        <f>SUM(ecommerce_sales_all_data[[#This Row],[sales_month_1]:[sales_month_12]])</f>
        <v>6316</v>
      </c>
      <c r="T561" s="3">
        <f t="shared" si="106"/>
        <v>193158.95</v>
      </c>
      <c r="U561" s="3">
        <f t="shared" si="107"/>
        <v>37758.050000000003</v>
      </c>
      <c r="V561" s="3">
        <f t="shared" si="108"/>
        <v>211257.85</v>
      </c>
      <c r="W561" s="3">
        <f t="shared" si="109"/>
        <v>218747.05000000002</v>
      </c>
      <c r="X561" s="3">
        <f t="shared" si="110"/>
        <v>121699.5</v>
      </c>
      <c r="Y561" s="3">
        <f t="shared" si="111"/>
        <v>179116.7</v>
      </c>
      <c r="Z561" s="3">
        <f t="shared" si="112"/>
        <v>8113.3</v>
      </c>
      <c r="AA561" s="3">
        <f t="shared" si="113"/>
        <v>274291.95</v>
      </c>
      <c r="AB561" s="3">
        <f t="shared" si="114"/>
        <v>118891.05</v>
      </c>
      <c r="AC561" s="3">
        <f t="shared" si="115"/>
        <v>144479.15</v>
      </c>
      <c r="AD561" s="3">
        <f t="shared" si="116"/>
        <v>293014.95</v>
      </c>
      <c r="AE561" s="3">
        <f t="shared" si="117"/>
        <v>170379.30000000002</v>
      </c>
      <c r="AF561" s="3">
        <f>SUM(ecommerce_sales_all_data[[#This Row],[revenue_month_1]:[revenue_month_12]])</f>
        <v>1970907.8</v>
      </c>
    </row>
    <row r="562" spans="1:32" x14ac:dyDescent="0.3">
      <c r="A562">
        <v>561</v>
      </c>
      <c r="B562" t="s">
        <v>585</v>
      </c>
      <c r="C562" t="s">
        <v>23</v>
      </c>
      <c r="D562" s="2">
        <v>353.52</v>
      </c>
      <c r="E562">
        <v>2.4</v>
      </c>
      <c r="F562">
        <v>142</v>
      </c>
      <c r="G562" s="1">
        <v>882</v>
      </c>
      <c r="H562" s="1">
        <v>478</v>
      </c>
      <c r="I562" s="1">
        <v>610</v>
      </c>
      <c r="J562" s="1">
        <v>116</v>
      </c>
      <c r="K562" s="1">
        <v>846</v>
      </c>
      <c r="L562" s="1">
        <v>573</v>
      </c>
      <c r="M562" s="1">
        <v>701</v>
      </c>
      <c r="N562" s="1">
        <v>269</v>
      </c>
      <c r="O562" s="1">
        <v>137</v>
      </c>
      <c r="P562" s="1">
        <v>786</v>
      </c>
      <c r="Q562" s="1">
        <v>704</v>
      </c>
      <c r="R562" s="1">
        <v>726</v>
      </c>
      <c r="S562" s="1">
        <f>SUM(ecommerce_sales_all_data[[#This Row],[sales_month_1]:[sales_month_12]])</f>
        <v>6828</v>
      </c>
      <c r="T562" s="3">
        <f t="shared" si="106"/>
        <v>311804.63999999996</v>
      </c>
      <c r="U562" s="3">
        <f t="shared" si="107"/>
        <v>168982.56</v>
      </c>
      <c r="V562" s="3">
        <f t="shared" si="108"/>
        <v>215647.19999999998</v>
      </c>
      <c r="W562" s="3">
        <f t="shared" si="109"/>
        <v>41008.32</v>
      </c>
      <c r="X562" s="3">
        <f t="shared" si="110"/>
        <v>299077.92</v>
      </c>
      <c r="Y562" s="3">
        <f t="shared" si="111"/>
        <v>202566.96</v>
      </c>
      <c r="Z562" s="3">
        <f t="shared" si="112"/>
        <v>247817.52</v>
      </c>
      <c r="AA562" s="3">
        <f t="shared" si="113"/>
        <v>95096.87999999999</v>
      </c>
      <c r="AB562" s="3">
        <f t="shared" si="114"/>
        <v>48432.24</v>
      </c>
      <c r="AC562" s="3">
        <f t="shared" si="115"/>
        <v>277866.71999999997</v>
      </c>
      <c r="AD562" s="3">
        <f t="shared" si="116"/>
        <v>248878.07999999999</v>
      </c>
      <c r="AE562" s="3">
        <f t="shared" si="117"/>
        <v>256655.52</v>
      </c>
      <c r="AF562" s="3">
        <f>SUM(ecommerce_sales_all_data[[#This Row],[revenue_month_1]:[revenue_month_12]])</f>
        <v>2413834.5599999996</v>
      </c>
    </row>
    <row r="563" spans="1:32" x14ac:dyDescent="0.3">
      <c r="A563">
        <v>562</v>
      </c>
      <c r="B563" t="s">
        <v>586</v>
      </c>
      <c r="C563" t="s">
        <v>29</v>
      </c>
      <c r="D563" s="2">
        <v>110.42</v>
      </c>
      <c r="E563">
        <v>1.9</v>
      </c>
      <c r="F563">
        <v>291</v>
      </c>
      <c r="G563" s="1">
        <v>796</v>
      </c>
      <c r="H563" s="1">
        <v>618</v>
      </c>
      <c r="I563" s="1">
        <v>207</v>
      </c>
      <c r="J563" s="1">
        <v>270</v>
      </c>
      <c r="K563" s="1">
        <v>43</v>
      </c>
      <c r="L563" s="1">
        <v>611</v>
      </c>
      <c r="M563" s="1">
        <v>82</v>
      </c>
      <c r="N563" s="1">
        <v>858</v>
      </c>
      <c r="O563" s="1">
        <v>942</v>
      </c>
      <c r="P563" s="1">
        <v>848</v>
      </c>
      <c r="Q563" s="1">
        <v>242</v>
      </c>
      <c r="R563" s="1">
        <v>730</v>
      </c>
      <c r="S563" s="1">
        <f>SUM(ecommerce_sales_all_data[[#This Row],[sales_month_1]:[sales_month_12]])</f>
        <v>6247</v>
      </c>
      <c r="T563" s="3">
        <f t="shared" si="106"/>
        <v>87894.32</v>
      </c>
      <c r="U563" s="3">
        <f t="shared" si="107"/>
        <v>68239.56</v>
      </c>
      <c r="V563" s="3">
        <f t="shared" si="108"/>
        <v>22856.94</v>
      </c>
      <c r="W563" s="3">
        <f t="shared" si="109"/>
        <v>29813.4</v>
      </c>
      <c r="X563" s="3">
        <f t="shared" si="110"/>
        <v>4748.0600000000004</v>
      </c>
      <c r="Y563" s="3">
        <f t="shared" si="111"/>
        <v>67466.62</v>
      </c>
      <c r="Z563" s="3">
        <f t="shared" si="112"/>
        <v>9054.44</v>
      </c>
      <c r="AA563" s="3">
        <f t="shared" si="113"/>
        <v>94740.36</v>
      </c>
      <c r="AB563" s="3">
        <f t="shared" si="114"/>
        <v>104015.64</v>
      </c>
      <c r="AC563" s="3">
        <f t="shared" si="115"/>
        <v>93636.160000000003</v>
      </c>
      <c r="AD563" s="3">
        <f t="shared" si="116"/>
        <v>26721.64</v>
      </c>
      <c r="AE563" s="3">
        <f t="shared" si="117"/>
        <v>80606.600000000006</v>
      </c>
      <c r="AF563" s="3">
        <f>SUM(ecommerce_sales_all_data[[#This Row],[revenue_month_1]:[revenue_month_12]])</f>
        <v>689793.74</v>
      </c>
    </row>
    <row r="564" spans="1:32" x14ac:dyDescent="0.3">
      <c r="A564">
        <v>563</v>
      </c>
      <c r="B564" t="s">
        <v>587</v>
      </c>
      <c r="C564" t="s">
        <v>23</v>
      </c>
      <c r="D564" s="2">
        <v>72.5</v>
      </c>
      <c r="E564">
        <v>4.0999999999999996</v>
      </c>
      <c r="F564">
        <v>432</v>
      </c>
      <c r="G564" s="1">
        <v>570</v>
      </c>
      <c r="H564" s="1">
        <v>95</v>
      </c>
      <c r="I564" s="1">
        <v>7</v>
      </c>
      <c r="J564" s="1">
        <v>769</v>
      </c>
      <c r="K564" s="1">
        <v>26</v>
      </c>
      <c r="L564" s="1">
        <v>18</v>
      </c>
      <c r="M564" s="1">
        <v>895</v>
      </c>
      <c r="N564" s="1">
        <v>664</v>
      </c>
      <c r="O564" s="1">
        <v>842</v>
      </c>
      <c r="P564" s="1">
        <v>122</v>
      </c>
      <c r="Q564" s="1">
        <v>860</v>
      </c>
      <c r="R564" s="1">
        <v>827</v>
      </c>
      <c r="S564" s="1">
        <f>SUM(ecommerce_sales_all_data[[#This Row],[sales_month_1]:[sales_month_12]])</f>
        <v>5695</v>
      </c>
      <c r="T564" s="3">
        <f t="shared" si="106"/>
        <v>41325</v>
      </c>
      <c r="U564" s="3">
        <f t="shared" si="107"/>
        <v>6887.5</v>
      </c>
      <c r="V564" s="3">
        <f t="shared" si="108"/>
        <v>507.5</v>
      </c>
      <c r="W564" s="3">
        <f t="shared" si="109"/>
        <v>55752.5</v>
      </c>
      <c r="X564" s="3">
        <f t="shared" si="110"/>
        <v>1885</v>
      </c>
      <c r="Y564" s="3">
        <f t="shared" si="111"/>
        <v>1305</v>
      </c>
      <c r="Z564" s="3">
        <f t="shared" si="112"/>
        <v>64887.5</v>
      </c>
      <c r="AA564" s="3">
        <f t="shared" si="113"/>
        <v>48140</v>
      </c>
      <c r="AB564" s="3">
        <f t="shared" si="114"/>
        <v>61045</v>
      </c>
      <c r="AC564" s="3">
        <f t="shared" si="115"/>
        <v>8845</v>
      </c>
      <c r="AD564" s="3">
        <f t="shared" si="116"/>
        <v>62350</v>
      </c>
      <c r="AE564" s="3">
        <f t="shared" si="117"/>
        <v>59957.5</v>
      </c>
      <c r="AF564" s="3">
        <f>SUM(ecommerce_sales_all_data[[#This Row],[revenue_month_1]:[revenue_month_12]])</f>
        <v>412887.5</v>
      </c>
    </row>
    <row r="565" spans="1:32" x14ac:dyDescent="0.3">
      <c r="A565">
        <v>564</v>
      </c>
      <c r="B565" t="s">
        <v>588</v>
      </c>
      <c r="C565" t="s">
        <v>29</v>
      </c>
      <c r="D565" s="2">
        <v>12.2</v>
      </c>
      <c r="E565">
        <v>2.1</v>
      </c>
      <c r="F565">
        <v>749</v>
      </c>
      <c r="G565" s="1">
        <v>124</v>
      </c>
      <c r="H565" s="1">
        <v>858</v>
      </c>
      <c r="I565" s="1">
        <v>701</v>
      </c>
      <c r="J565" s="1">
        <v>691</v>
      </c>
      <c r="K565" s="1">
        <v>793</v>
      </c>
      <c r="L565" s="1">
        <v>528</v>
      </c>
      <c r="M565" s="1">
        <v>945</v>
      </c>
      <c r="N565" s="1">
        <v>332</v>
      </c>
      <c r="O565" s="1">
        <v>269</v>
      </c>
      <c r="P565" s="1">
        <v>473</v>
      </c>
      <c r="Q565" s="1">
        <v>599</v>
      </c>
      <c r="R565" s="1">
        <v>601</v>
      </c>
      <c r="S565" s="1">
        <f>SUM(ecommerce_sales_all_data[[#This Row],[sales_month_1]:[sales_month_12]])</f>
        <v>6914</v>
      </c>
      <c r="T565" s="3">
        <f t="shared" si="106"/>
        <v>1512.8</v>
      </c>
      <c r="U565" s="3">
        <f t="shared" si="107"/>
        <v>10467.599999999999</v>
      </c>
      <c r="V565" s="3">
        <f t="shared" si="108"/>
        <v>8552.1999999999989</v>
      </c>
      <c r="W565" s="3">
        <f t="shared" si="109"/>
        <v>8430.1999999999989</v>
      </c>
      <c r="X565" s="3">
        <f t="shared" si="110"/>
        <v>9674.5999999999985</v>
      </c>
      <c r="Y565" s="3">
        <f t="shared" si="111"/>
        <v>6441.5999999999995</v>
      </c>
      <c r="Z565" s="3">
        <f t="shared" si="112"/>
        <v>11529</v>
      </c>
      <c r="AA565" s="3">
        <f t="shared" si="113"/>
        <v>4050.3999999999996</v>
      </c>
      <c r="AB565" s="3">
        <f t="shared" si="114"/>
        <v>3281.7999999999997</v>
      </c>
      <c r="AC565" s="3">
        <f t="shared" si="115"/>
        <v>5770.5999999999995</v>
      </c>
      <c r="AD565" s="3">
        <f t="shared" si="116"/>
        <v>7307.7999999999993</v>
      </c>
      <c r="AE565" s="3">
        <f t="shared" si="117"/>
        <v>7332.2</v>
      </c>
      <c r="AF565" s="3">
        <f>SUM(ecommerce_sales_all_data[[#This Row],[revenue_month_1]:[revenue_month_12]])</f>
        <v>84350.8</v>
      </c>
    </row>
    <row r="566" spans="1:32" x14ac:dyDescent="0.3">
      <c r="A566">
        <v>565</v>
      </c>
      <c r="B566" t="s">
        <v>589</v>
      </c>
      <c r="C566" t="s">
        <v>35</v>
      </c>
      <c r="D566" s="2">
        <v>178.54</v>
      </c>
      <c r="E566">
        <v>4.3</v>
      </c>
      <c r="F566">
        <v>852</v>
      </c>
      <c r="G566" s="1">
        <v>353</v>
      </c>
      <c r="H566" s="1">
        <v>413</v>
      </c>
      <c r="I566" s="1">
        <v>686</v>
      </c>
      <c r="J566" s="1">
        <v>486</v>
      </c>
      <c r="K566" s="1">
        <v>96</v>
      </c>
      <c r="L566" s="1">
        <v>836</v>
      </c>
      <c r="M566" s="1">
        <v>681</v>
      </c>
      <c r="N566" s="1">
        <v>84</v>
      </c>
      <c r="O566" s="1">
        <v>549</v>
      </c>
      <c r="P566" s="1">
        <v>133</v>
      </c>
      <c r="Q566" s="1">
        <v>847</v>
      </c>
      <c r="R566" s="1">
        <v>307</v>
      </c>
      <c r="S566" s="1">
        <f>SUM(ecommerce_sales_all_data[[#This Row],[sales_month_1]:[sales_month_12]])</f>
        <v>5471</v>
      </c>
      <c r="T566" s="3">
        <f t="shared" si="106"/>
        <v>63024.619999999995</v>
      </c>
      <c r="U566" s="3">
        <f t="shared" si="107"/>
        <v>73737.01999999999</v>
      </c>
      <c r="V566" s="3">
        <f t="shared" si="108"/>
        <v>122478.43999999999</v>
      </c>
      <c r="W566" s="3">
        <f t="shared" si="109"/>
        <v>86770.44</v>
      </c>
      <c r="X566" s="3">
        <f t="shared" si="110"/>
        <v>17139.84</v>
      </c>
      <c r="Y566" s="3">
        <f t="shared" si="111"/>
        <v>149259.44</v>
      </c>
      <c r="Z566" s="3">
        <f t="shared" si="112"/>
        <v>121585.73999999999</v>
      </c>
      <c r="AA566" s="3">
        <f t="shared" si="113"/>
        <v>14997.359999999999</v>
      </c>
      <c r="AB566" s="3">
        <f t="shared" si="114"/>
        <v>98018.459999999992</v>
      </c>
      <c r="AC566" s="3">
        <f t="shared" si="115"/>
        <v>23745.82</v>
      </c>
      <c r="AD566" s="3">
        <f t="shared" si="116"/>
        <v>151223.38</v>
      </c>
      <c r="AE566" s="3">
        <f t="shared" si="117"/>
        <v>54811.78</v>
      </c>
      <c r="AF566" s="3">
        <f>SUM(ecommerce_sales_all_data[[#This Row],[revenue_month_1]:[revenue_month_12]])</f>
        <v>976792.34</v>
      </c>
    </row>
    <row r="567" spans="1:32" x14ac:dyDescent="0.3">
      <c r="A567">
        <v>566</v>
      </c>
      <c r="B567" t="s">
        <v>590</v>
      </c>
      <c r="C567" t="s">
        <v>48</v>
      </c>
      <c r="D567" s="2">
        <v>297.01</v>
      </c>
      <c r="E567">
        <v>2.7</v>
      </c>
      <c r="F567">
        <v>824</v>
      </c>
      <c r="G567" s="1">
        <v>272</v>
      </c>
      <c r="H567" s="1">
        <v>234</v>
      </c>
      <c r="I567" s="1">
        <v>784</v>
      </c>
      <c r="J567" s="1">
        <v>884</v>
      </c>
      <c r="K567" s="1">
        <v>974</v>
      </c>
      <c r="L567" s="1">
        <v>422</v>
      </c>
      <c r="M567" s="1">
        <v>412</v>
      </c>
      <c r="N567" s="1">
        <v>620</v>
      </c>
      <c r="O567" s="1">
        <v>395</v>
      </c>
      <c r="P567" s="1">
        <v>618</v>
      </c>
      <c r="Q567" s="1">
        <v>408</v>
      </c>
      <c r="R567" s="1">
        <v>251</v>
      </c>
      <c r="S567" s="1">
        <f>SUM(ecommerce_sales_all_data[[#This Row],[sales_month_1]:[sales_month_12]])</f>
        <v>6274</v>
      </c>
      <c r="T567" s="3">
        <f t="shared" si="106"/>
        <v>80786.720000000001</v>
      </c>
      <c r="U567" s="3">
        <f t="shared" si="107"/>
        <v>69500.34</v>
      </c>
      <c r="V567" s="3">
        <f t="shared" si="108"/>
        <v>232855.84</v>
      </c>
      <c r="W567" s="3">
        <f t="shared" si="109"/>
        <v>262556.83999999997</v>
      </c>
      <c r="X567" s="3">
        <f t="shared" si="110"/>
        <v>289287.74</v>
      </c>
      <c r="Y567" s="3">
        <f t="shared" si="111"/>
        <v>125338.22</v>
      </c>
      <c r="Z567" s="3">
        <f t="shared" si="112"/>
        <v>122368.12</v>
      </c>
      <c r="AA567" s="3">
        <f t="shared" si="113"/>
        <v>184146.19999999998</v>
      </c>
      <c r="AB567" s="3">
        <f t="shared" si="114"/>
        <v>117318.95</v>
      </c>
      <c r="AC567" s="3">
        <f t="shared" si="115"/>
        <v>183552.18</v>
      </c>
      <c r="AD567" s="3">
        <f t="shared" si="116"/>
        <v>121180.08</v>
      </c>
      <c r="AE567" s="3">
        <f t="shared" si="117"/>
        <v>74549.509999999995</v>
      </c>
      <c r="AF567" s="3">
        <f>SUM(ecommerce_sales_all_data[[#This Row],[revenue_month_1]:[revenue_month_12]])</f>
        <v>1863440.7399999998</v>
      </c>
    </row>
    <row r="568" spans="1:32" x14ac:dyDescent="0.3">
      <c r="A568">
        <v>567</v>
      </c>
      <c r="B568" t="s">
        <v>591</v>
      </c>
      <c r="C568" t="s">
        <v>48</v>
      </c>
      <c r="D568" s="2">
        <v>199.16</v>
      </c>
      <c r="E568">
        <v>3.7</v>
      </c>
      <c r="F568">
        <v>689</v>
      </c>
      <c r="G568" s="1">
        <v>618</v>
      </c>
      <c r="H568" s="1">
        <v>897</v>
      </c>
      <c r="I568" s="1">
        <v>528</v>
      </c>
      <c r="J568" s="1">
        <v>171</v>
      </c>
      <c r="K568" s="1">
        <v>547</v>
      </c>
      <c r="L568" s="1">
        <v>465</v>
      </c>
      <c r="M568" s="1">
        <v>166</v>
      </c>
      <c r="N568" s="1">
        <v>30</v>
      </c>
      <c r="O568" s="1">
        <v>556</v>
      </c>
      <c r="P568" s="1">
        <v>816</v>
      </c>
      <c r="Q568" s="1">
        <v>502</v>
      </c>
      <c r="R568" s="1">
        <v>7</v>
      </c>
      <c r="S568" s="1">
        <f>SUM(ecommerce_sales_all_data[[#This Row],[sales_month_1]:[sales_month_12]])</f>
        <v>5303</v>
      </c>
      <c r="T568" s="3">
        <f t="shared" si="106"/>
        <v>123080.88</v>
      </c>
      <c r="U568" s="3">
        <f t="shared" si="107"/>
        <v>178646.52</v>
      </c>
      <c r="V568" s="3">
        <f t="shared" si="108"/>
        <v>105156.48</v>
      </c>
      <c r="W568" s="3">
        <f t="shared" si="109"/>
        <v>34056.36</v>
      </c>
      <c r="X568" s="3">
        <f t="shared" si="110"/>
        <v>108940.52</v>
      </c>
      <c r="Y568" s="3">
        <f t="shared" si="111"/>
        <v>92609.4</v>
      </c>
      <c r="Z568" s="3">
        <f t="shared" si="112"/>
        <v>33060.559999999998</v>
      </c>
      <c r="AA568" s="3">
        <f t="shared" si="113"/>
        <v>5974.8</v>
      </c>
      <c r="AB568" s="3">
        <f t="shared" si="114"/>
        <v>110732.95999999999</v>
      </c>
      <c r="AC568" s="3">
        <f t="shared" si="115"/>
        <v>162514.56</v>
      </c>
      <c r="AD568" s="3">
        <f t="shared" si="116"/>
        <v>99978.319999999992</v>
      </c>
      <c r="AE568" s="3">
        <f t="shared" si="117"/>
        <v>1394.12</v>
      </c>
      <c r="AF568" s="3">
        <f>SUM(ecommerce_sales_all_data[[#This Row],[revenue_month_1]:[revenue_month_12]])</f>
        <v>1056145.4800000002</v>
      </c>
    </row>
    <row r="569" spans="1:32" x14ac:dyDescent="0.3">
      <c r="A569">
        <v>568</v>
      </c>
      <c r="B569" t="s">
        <v>592</v>
      </c>
      <c r="C569" t="s">
        <v>21</v>
      </c>
      <c r="D569" s="2">
        <v>221.55</v>
      </c>
      <c r="E569">
        <v>1.4</v>
      </c>
      <c r="F569">
        <v>653</v>
      </c>
      <c r="G569" s="1">
        <v>810</v>
      </c>
      <c r="H569" s="1">
        <v>61</v>
      </c>
      <c r="I569" s="1">
        <v>601</v>
      </c>
      <c r="J569" s="1">
        <v>949</v>
      </c>
      <c r="K569" s="1">
        <v>620</v>
      </c>
      <c r="L569" s="1">
        <v>372</v>
      </c>
      <c r="M569" s="1">
        <v>699</v>
      </c>
      <c r="N569" s="1">
        <v>740</v>
      </c>
      <c r="O569" s="1">
        <v>912</v>
      </c>
      <c r="P569" s="1">
        <v>840</v>
      </c>
      <c r="Q569" s="1">
        <v>726</v>
      </c>
      <c r="R569" s="1">
        <v>767</v>
      </c>
      <c r="S569" s="1">
        <f>SUM(ecommerce_sales_all_data[[#This Row],[sales_month_1]:[sales_month_12]])</f>
        <v>8097</v>
      </c>
      <c r="T569" s="3">
        <f t="shared" si="106"/>
        <v>179455.5</v>
      </c>
      <c r="U569" s="3">
        <f t="shared" si="107"/>
        <v>13514.550000000001</v>
      </c>
      <c r="V569" s="3">
        <f t="shared" si="108"/>
        <v>133151.55000000002</v>
      </c>
      <c r="W569" s="3">
        <f t="shared" si="109"/>
        <v>210250.95</v>
      </c>
      <c r="X569" s="3">
        <f t="shared" si="110"/>
        <v>137361</v>
      </c>
      <c r="Y569" s="3">
        <f t="shared" si="111"/>
        <v>82416.600000000006</v>
      </c>
      <c r="Z569" s="3">
        <f t="shared" si="112"/>
        <v>154863.45000000001</v>
      </c>
      <c r="AA569" s="3">
        <f t="shared" si="113"/>
        <v>163947</v>
      </c>
      <c r="AB569" s="3">
        <f t="shared" si="114"/>
        <v>202053.6</v>
      </c>
      <c r="AC569" s="3">
        <f t="shared" si="115"/>
        <v>186102</v>
      </c>
      <c r="AD569" s="3">
        <f t="shared" si="116"/>
        <v>160845.30000000002</v>
      </c>
      <c r="AE569" s="3">
        <f t="shared" si="117"/>
        <v>169928.85</v>
      </c>
      <c r="AF569" s="3">
        <f>SUM(ecommerce_sales_all_data[[#This Row],[revenue_month_1]:[revenue_month_12]])</f>
        <v>1793890.3500000003</v>
      </c>
    </row>
    <row r="570" spans="1:32" x14ac:dyDescent="0.3">
      <c r="A570">
        <v>569</v>
      </c>
      <c r="B570" t="s">
        <v>593</v>
      </c>
      <c r="C570" t="s">
        <v>35</v>
      </c>
      <c r="D570" s="2">
        <v>452.56</v>
      </c>
      <c r="E570">
        <v>3.5</v>
      </c>
      <c r="F570">
        <v>701</v>
      </c>
      <c r="G570" s="1">
        <v>244</v>
      </c>
      <c r="H570" s="1">
        <v>255</v>
      </c>
      <c r="I570" s="1">
        <v>652</v>
      </c>
      <c r="J570" s="1">
        <v>273</v>
      </c>
      <c r="K570" s="1">
        <v>566</v>
      </c>
      <c r="L570" s="1">
        <v>757</v>
      </c>
      <c r="M570" s="1">
        <v>168</v>
      </c>
      <c r="N570" s="1">
        <v>239</v>
      </c>
      <c r="O570" s="1">
        <v>463</v>
      </c>
      <c r="P570" s="1">
        <v>561</v>
      </c>
      <c r="Q570" s="1">
        <v>603</v>
      </c>
      <c r="R570" s="1">
        <v>874</v>
      </c>
      <c r="S570" s="1">
        <f>SUM(ecommerce_sales_all_data[[#This Row],[sales_month_1]:[sales_month_12]])</f>
        <v>5655</v>
      </c>
      <c r="T570" s="3">
        <f t="shared" si="106"/>
        <v>110424.64</v>
      </c>
      <c r="U570" s="3">
        <f t="shared" si="107"/>
        <v>115402.8</v>
      </c>
      <c r="V570" s="3">
        <f t="shared" si="108"/>
        <v>295069.12</v>
      </c>
      <c r="W570" s="3">
        <f t="shared" si="109"/>
        <v>123548.88</v>
      </c>
      <c r="X570" s="3">
        <f t="shared" si="110"/>
        <v>256148.96</v>
      </c>
      <c r="Y570" s="3">
        <f t="shared" si="111"/>
        <v>342587.92</v>
      </c>
      <c r="Z570" s="3">
        <f t="shared" si="112"/>
        <v>76030.080000000002</v>
      </c>
      <c r="AA570" s="3">
        <f t="shared" si="113"/>
        <v>108161.84</v>
      </c>
      <c r="AB570" s="3">
        <f t="shared" si="114"/>
        <v>209535.28</v>
      </c>
      <c r="AC570" s="3">
        <f t="shared" si="115"/>
        <v>253886.16</v>
      </c>
      <c r="AD570" s="3">
        <f t="shared" si="116"/>
        <v>272893.68</v>
      </c>
      <c r="AE570" s="3">
        <f t="shared" si="117"/>
        <v>395537.44</v>
      </c>
      <c r="AF570" s="3">
        <f>SUM(ecommerce_sales_all_data[[#This Row],[revenue_month_1]:[revenue_month_12]])</f>
        <v>2559226.7999999998</v>
      </c>
    </row>
    <row r="571" spans="1:32" x14ac:dyDescent="0.3">
      <c r="A571">
        <v>570</v>
      </c>
      <c r="B571" t="s">
        <v>594</v>
      </c>
      <c r="C571" t="s">
        <v>29</v>
      </c>
      <c r="D571" s="2">
        <v>177.39</v>
      </c>
      <c r="E571">
        <v>2.8</v>
      </c>
      <c r="F571">
        <v>998</v>
      </c>
      <c r="G571" s="1">
        <v>847</v>
      </c>
      <c r="H571" s="1">
        <v>560</v>
      </c>
      <c r="I571" s="1">
        <v>656</v>
      </c>
      <c r="J571" s="1">
        <v>258</v>
      </c>
      <c r="K571" s="1">
        <v>703</v>
      </c>
      <c r="L571" s="1">
        <v>762</v>
      </c>
      <c r="M571" s="1">
        <v>800</v>
      </c>
      <c r="N571" s="1">
        <v>889</v>
      </c>
      <c r="O571" s="1">
        <v>674</v>
      </c>
      <c r="P571" s="1">
        <v>848</v>
      </c>
      <c r="Q571" s="1">
        <v>302</v>
      </c>
      <c r="R571" s="1">
        <v>207</v>
      </c>
      <c r="S571" s="1">
        <f>SUM(ecommerce_sales_all_data[[#This Row],[sales_month_1]:[sales_month_12]])</f>
        <v>7506</v>
      </c>
      <c r="T571" s="3">
        <f t="shared" si="106"/>
        <v>150249.32999999999</v>
      </c>
      <c r="U571" s="3">
        <f t="shared" si="107"/>
        <v>99338.4</v>
      </c>
      <c r="V571" s="3">
        <f t="shared" si="108"/>
        <v>116367.84</v>
      </c>
      <c r="W571" s="3">
        <f t="shared" si="109"/>
        <v>45766.619999999995</v>
      </c>
      <c r="X571" s="3">
        <f t="shared" si="110"/>
        <v>124705.16999999998</v>
      </c>
      <c r="Y571" s="3">
        <f t="shared" si="111"/>
        <v>135171.18</v>
      </c>
      <c r="Z571" s="3">
        <f t="shared" si="112"/>
        <v>141912</v>
      </c>
      <c r="AA571" s="3">
        <f t="shared" si="113"/>
        <v>157699.71</v>
      </c>
      <c r="AB571" s="3">
        <f t="shared" si="114"/>
        <v>119560.85999999999</v>
      </c>
      <c r="AC571" s="3">
        <f t="shared" si="115"/>
        <v>150426.72</v>
      </c>
      <c r="AD571" s="3">
        <f t="shared" si="116"/>
        <v>53571.78</v>
      </c>
      <c r="AE571" s="3">
        <f t="shared" si="117"/>
        <v>36719.729999999996</v>
      </c>
      <c r="AF571" s="3">
        <f>SUM(ecommerce_sales_all_data[[#This Row],[revenue_month_1]:[revenue_month_12]])</f>
        <v>1331489.3399999999</v>
      </c>
    </row>
    <row r="572" spans="1:32" x14ac:dyDescent="0.3">
      <c r="A572">
        <v>571</v>
      </c>
      <c r="B572" t="s">
        <v>595</v>
      </c>
      <c r="C572" t="s">
        <v>26</v>
      </c>
      <c r="D572" s="2">
        <v>259.42</v>
      </c>
      <c r="E572">
        <v>3.3</v>
      </c>
      <c r="F572">
        <v>49</v>
      </c>
      <c r="G572" s="1">
        <v>449</v>
      </c>
      <c r="H572" s="1">
        <v>904</v>
      </c>
      <c r="I572" s="1">
        <v>165</v>
      </c>
      <c r="J572" s="1">
        <v>134</v>
      </c>
      <c r="K572" s="1">
        <v>218</v>
      </c>
      <c r="L572" s="1">
        <v>966</v>
      </c>
      <c r="M572" s="1">
        <v>978</v>
      </c>
      <c r="N572" s="1">
        <v>362</v>
      </c>
      <c r="O572" s="1">
        <v>449</v>
      </c>
      <c r="P572" s="1">
        <v>606</v>
      </c>
      <c r="Q572" s="1">
        <v>463</v>
      </c>
      <c r="R572" s="1">
        <v>936</v>
      </c>
      <c r="S572" s="1">
        <f>SUM(ecommerce_sales_all_data[[#This Row],[sales_month_1]:[sales_month_12]])</f>
        <v>6630</v>
      </c>
      <c r="T572" s="3">
        <f t="shared" si="106"/>
        <v>116479.58</v>
      </c>
      <c r="U572" s="3">
        <f t="shared" si="107"/>
        <v>234515.68000000002</v>
      </c>
      <c r="V572" s="3">
        <f t="shared" si="108"/>
        <v>42804.3</v>
      </c>
      <c r="W572" s="3">
        <f t="shared" si="109"/>
        <v>34762.28</v>
      </c>
      <c r="X572" s="3">
        <f t="shared" si="110"/>
        <v>56553.560000000005</v>
      </c>
      <c r="Y572" s="3">
        <f t="shared" si="111"/>
        <v>250599.72</v>
      </c>
      <c r="Z572" s="3">
        <f t="shared" si="112"/>
        <v>253712.76</v>
      </c>
      <c r="AA572" s="3">
        <f t="shared" si="113"/>
        <v>93910.040000000008</v>
      </c>
      <c r="AB572" s="3">
        <f t="shared" si="114"/>
        <v>116479.58</v>
      </c>
      <c r="AC572" s="3">
        <f t="shared" si="115"/>
        <v>157208.52000000002</v>
      </c>
      <c r="AD572" s="3">
        <f t="shared" si="116"/>
        <v>120111.46</v>
      </c>
      <c r="AE572" s="3">
        <f t="shared" si="117"/>
        <v>242817.12000000002</v>
      </c>
      <c r="AF572" s="3">
        <f>SUM(ecommerce_sales_all_data[[#This Row],[revenue_month_1]:[revenue_month_12]])</f>
        <v>1719954.6</v>
      </c>
    </row>
    <row r="573" spans="1:32" x14ac:dyDescent="0.3">
      <c r="A573">
        <v>572</v>
      </c>
      <c r="B573" t="s">
        <v>596</v>
      </c>
      <c r="C573" t="s">
        <v>23</v>
      </c>
      <c r="D573" s="2">
        <v>392.91</v>
      </c>
      <c r="E573">
        <v>1.7</v>
      </c>
      <c r="F573">
        <v>302</v>
      </c>
      <c r="G573" s="1">
        <v>929</v>
      </c>
      <c r="H573" s="1">
        <v>347</v>
      </c>
      <c r="I573" s="1">
        <v>848</v>
      </c>
      <c r="J573" s="1">
        <v>682</v>
      </c>
      <c r="K573" s="1">
        <v>184</v>
      </c>
      <c r="L573" s="1">
        <v>80</v>
      </c>
      <c r="M573" s="1">
        <v>228</v>
      </c>
      <c r="N573" s="1">
        <v>821</v>
      </c>
      <c r="O573" s="1">
        <v>330</v>
      </c>
      <c r="P573" s="1">
        <v>779</v>
      </c>
      <c r="Q573" s="1">
        <v>234</v>
      </c>
      <c r="R573" s="1">
        <v>130</v>
      </c>
      <c r="S573" s="1">
        <f>SUM(ecommerce_sales_all_data[[#This Row],[sales_month_1]:[sales_month_12]])</f>
        <v>5592</v>
      </c>
      <c r="T573" s="3">
        <f t="shared" si="106"/>
        <v>365013.39</v>
      </c>
      <c r="U573" s="3">
        <f t="shared" si="107"/>
        <v>136339.77000000002</v>
      </c>
      <c r="V573" s="3">
        <f t="shared" si="108"/>
        <v>333187.68</v>
      </c>
      <c r="W573" s="3">
        <f t="shared" si="109"/>
        <v>267964.62</v>
      </c>
      <c r="X573" s="3">
        <f t="shared" si="110"/>
        <v>72295.44</v>
      </c>
      <c r="Y573" s="3">
        <f t="shared" si="111"/>
        <v>31432.800000000003</v>
      </c>
      <c r="Z573" s="3">
        <f t="shared" si="112"/>
        <v>89583.48000000001</v>
      </c>
      <c r="AA573" s="3">
        <f t="shared" si="113"/>
        <v>322579.11000000004</v>
      </c>
      <c r="AB573" s="3">
        <f t="shared" si="114"/>
        <v>129660.3</v>
      </c>
      <c r="AC573" s="3">
        <f t="shared" si="115"/>
        <v>306076.89</v>
      </c>
      <c r="AD573" s="3">
        <f t="shared" si="116"/>
        <v>91940.94</v>
      </c>
      <c r="AE573" s="3">
        <f t="shared" si="117"/>
        <v>51078.3</v>
      </c>
      <c r="AF573" s="3">
        <f>SUM(ecommerce_sales_all_data[[#This Row],[revenue_month_1]:[revenue_month_12]])</f>
        <v>2197152.7199999997</v>
      </c>
    </row>
    <row r="574" spans="1:32" x14ac:dyDescent="0.3">
      <c r="A574">
        <v>573</v>
      </c>
      <c r="B574" t="s">
        <v>597</v>
      </c>
      <c r="C574" t="s">
        <v>35</v>
      </c>
      <c r="D574" s="2">
        <v>201.29</v>
      </c>
      <c r="E574">
        <v>3.9</v>
      </c>
      <c r="F574">
        <v>881</v>
      </c>
      <c r="G574" s="1">
        <v>246</v>
      </c>
      <c r="H574" s="1">
        <v>670</v>
      </c>
      <c r="I574" s="1">
        <v>495</v>
      </c>
      <c r="J574" s="1">
        <v>721</v>
      </c>
      <c r="K574" s="1">
        <v>68</v>
      </c>
      <c r="L574" s="1">
        <v>550</v>
      </c>
      <c r="M574" s="1">
        <v>978</v>
      </c>
      <c r="N574" s="1">
        <v>388</v>
      </c>
      <c r="O574" s="1">
        <v>252</v>
      </c>
      <c r="P574" s="1">
        <v>22</v>
      </c>
      <c r="Q574" s="1">
        <v>695</v>
      </c>
      <c r="R574" s="1">
        <v>735</v>
      </c>
      <c r="S574" s="1">
        <f>SUM(ecommerce_sales_all_data[[#This Row],[sales_month_1]:[sales_month_12]])</f>
        <v>5820</v>
      </c>
      <c r="T574" s="3">
        <f t="shared" si="106"/>
        <v>49517.34</v>
      </c>
      <c r="U574" s="3">
        <f t="shared" si="107"/>
        <v>134864.29999999999</v>
      </c>
      <c r="V574" s="3">
        <f t="shared" si="108"/>
        <v>99638.55</v>
      </c>
      <c r="W574" s="3">
        <f t="shared" si="109"/>
        <v>145130.09</v>
      </c>
      <c r="X574" s="3">
        <f t="shared" si="110"/>
        <v>13687.72</v>
      </c>
      <c r="Y574" s="3">
        <f t="shared" si="111"/>
        <v>110709.5</v>
      </c>
      <c r="Z574" s="3">
        <f t="shared" si="112"/>
        <v>196861.62</v>
      </c>
      <c r="AA574" s="3">
        <f t="shared" si="113"/>
        <v>78100.52</v>
      </c>
      <c r="AB574" s="3">
        <f t="shared" si="114"/>
        <v>50725.079999999994</v>
      </c>
      <c r="AC574" s="3">
        <f t="shared" si="115"/>
        <v>4428.38</v>
      </c>
      <c r="AD574" s="3">
        <f t="shared" si="116"/>
        <v>139896.54999999999</v>
      </c>
      <c r="AE574" s="3">
        <f t="shared" si="117"/>
        <v>147948.15</v>
      </c>
      <c r="AF574" s="3">
        <f>SUM(ecommerce_sales_all_data[[#This Row],[revenue_month_1]:[revenue_month_12]])</f>
        <v>1171507.7999999998</v>
      </c>
    </row>
    <row r="575" spans="1:32" x14ac:dyDescent="0.3">
      <c r="A575">
        <v>574</v>
      </c>
      <c r="B575" t="s">
        <v>598</v>
      </c>
      <c r="C575" t="s">
        <v>29</v>
      </c>
      <c r="D575" s="2">
        <v>312.93</v>
      </c>
      <c r="E575">
        <v>4.5</v>
      </c>
      <c r="F575">
        <v>190</v>
      </c>
      <c r="G575" s="1">
        <v>519</v>
      </c>
      <c r="H575" s="1">
        <v>123</v>
      </c>
      <c r="I575" s="1">
        <v>589</v>
      </c>
      <c r="J575" s="1">
        <v>747</v>
      </c>
      <c r="K575" s="1">
        <v>828</v>
      </c>
      <c r="L575" s="1">
        <v>547</v>
      </c>
      <c r="M575" s="1">
        <v>608</v>
      </c>
      <c r="N575" s="1">
        <v>652</v>
      </c>
      <c r="O575" s="1">
        <v>680</v>
      </c>
      <c r="P575" s="1">
        <v>565</v>
      </c>
      <c r="Q575" s="1">
        <v>37</v>
      </c>
      <c r="R575" s="1">
        <v>708</v>
      </c>
      <c r="S575" s="1">
        <f>SUM(ecommerce_sales_all_data[[#This Row],[sales_month_1]:[sales_month_12]])</f>
        <v>6603</v>
      </c>
      <c r="T575" s="3">
        <f t="shared" si="106"/>
        <v>162410.67000000001</v>
      </c>
      <c r="U575" s="3">
        <f t="shared" si="107"/>
        <v>38490.39</v>
      </c>
      <c r="V575" s="3">
        <f t="shared" si="108"/>
        <v>184315.77</v>
      </c>
      <c r="W575" s="3">
        <f t="shared" si="109"/>
        <v>233758.71</v>
      </c>
      <c r="X575" s="3">
        <f t="shared" si="110"/>
        <v>259106.04</v>
      </c>
      <c r="Y575" s="3">
        <f t="shared" si="111"/>
        <v>171172.71</v>
      </c>
      <c r="Z575" s="3">
        <f t="shared" si="112"/>
        <v>190261.44</v>
      </c>
      <c r="AA575" s="3">
        <f t="shared" si="113"/>
        <v>204030.36000000002</v>
      </c>
      <c r="AB575" s="3">
        <f t="shared" si="114"/>
        <v>212792.4</v>
      </c>
      <c r="AC575" s="3">
        <f t="shared" si="115"/>
        <v>176805.45</v>
      </c>
      <c r="AD575" s="3">
        <f t="shared" si="116"/>
        <v>11578.41</v>
      </c>
      <c r="AE575" s="3">
        <f t="shared" si="117"/>
        <v>221554.44</v>
      </c>
      <c r="AF575" s="3">
        <f>SUM(ecommerce_sales_all_data[[#This Row],[revenue_month_1]:[revenue_month_12]])</f>
        <v>2066276.7899999998</v>
      </c>
    </row>
    <row r="576" spans="1:32" x14ac:dyDescent="0.3">
      <c r="A576">
        <v>575</v>
      </c>
      <c r="B576" t="s">
        <v>599</v>
      </c>
      <c r="C576" t="s">
        <v>48</v>
      </c>
      <c r="D576" s="2">
        <v>431.87</v>
      </c>
      <c r="E576">
        <v>1.9</v>
      </c>
      <c r="F576">
        <v>136</v>
      </c>
      <c r="G576" s="1">
        <v>140</v>
      </c>
      <c r="H576" s="1">
        <v>481</v>
      </c>
      <c r="I576" s="1">
        <v>428</v>
      </c>
      <c r="J576" s="1">
        <v>421</v>
      </c>
      <c r="K576" s="1">
        <v>129</v>
      </c>
      <c r="L576" s="1">
        <v>423</v>
      </c>
      <c r="M576" s="1">
        <v>366</v>
      </c>
      <c r="N576" s="1">
        <v>667</v>
      </c>
      <c r="O576" s="1">
        <v>962</v>
      </c>
      <c r="P576" s="1">
        <v>885</v>
      </c>
      <c r="Q576" s="1">
        <v>138</v>
      </c>
      <c r="R576" s="1">
        <v>979</v>
      </c>
      <c r="S576" s="1">
        <f>SUM(ecommerce_sales_all_data[[#This Row],[sales_month_1]:[sales_month_12]])</f>
        <v>6019</v>
      </c>
      <c r="T576" s="3">
        <f t="shared" si="106"/>
        <v>60461.8</v>
      </c>
      <c r="U576" s="3">
        <f t="shared" si="107"/>
        <v>207729.47</v>
      </c>
      <c r="V576" s="3">
        <f t="shared" si="108"/>
        <v>184840.36000000002</v>
      </c>
      <c r="W576" s="3">
        <f t="shared" si="109"/>
        <v>181817.27</v>
      </c>
      <c r="X576" s="3">
        <f t="shared" si="110"/>
        <v>55711.23</v>
      </c>
      <c r="Y576" s="3">
        <f t="shared" si="111"/>
        <v>182681.01</v>
      </c>
      <c r="Z576" s="3">
        <f t="shared" si="112"/>
        <v>158064.42000000001</v>
      </c>
      <c r="AA576" s="3">
        <f t="shared" si="113"/>
        <v>288057.28999999998</v>
      </c>
      <c r="AB576" s="3">
        <f t="shared" si="114"/>
        <v>415458.94</v>
      </c>
      <c r="AC576" s="3">
        <f t="shared" si="115"/>
        <v>382204.95</v>
      </c>
      <c r="AD576" s="3">
        <f t="shared" si="116"/>
        <v>59598.06</v>
      </c>
      <c r="AE576" s="3">
        <f t="shared" si="117"/>
        <v>422800.73</v>
      </c>
      <c r="AF576" s="3">
        <f>SUM(ecommerce_sales_all_data[[#This Row],[revenue_month_1]:[revenue_month_12]])</f>
        <v>2599425.5300000003</v>
      </c>
    </row>
    <row r="577" spans="1:32" x14ac:dyDescent="0.3">
      <c r="A577">
        <v>576</v>
      </c>
      <c r="B577" t="s">
        <v>600</v>
      </c>
      <c r="C577" t="s">
        <v>48</v>
      </c>
      <c r="D577" s="2">
        <v>475.01</v>
      </c>
      <c r="E577">
        <v>1.4</v>
      </c>
      <c r="F577">
        <v>555</v>
      </c>
      <c r="G577" s="1">
        <v>361</v>
      </c>
      <c r="H577" s="1">
        <v>316</v>
      </c>
      <c r="I577" s="1">
        <v>773</v>
      </c>
      <c r="J577" s="1">
        <v>420</v>
      </c>
      <c r="K577" s="1">
        <v>566</v>
      </c>
      <c r="L577" s="1">
        <v>428</v>
      </c>
      <c r="M577" s="1">
        <v>527</v>
      </c>
      <c r="N577" s="1">
        <v>298</v>
      </c>
      <c r="O577" s="1">
        <v>284</v>
      </c>
      <c r="P577" s="1">
        <v>765</v>
      </c>
      <c r="Q577" s="1">
        <v>194</v>
      </c>
      <c r="R577" s="1">
        <v>653</v>
      </c>
      <c r="S577" s="1">
        <f>SUM(ecommerce_sales_all_data[[#This Row],[sales_month_1]:[sales_month_12]])</f>
        <v>5585</v>
      </c>
      <c r="T577" s="3">
        <f t="shared" si="106"/>
        <v>171478.61</v>
      </c>
      <c r="U577" s="3">
        <f t="shared" si="107"/>
        <v>150103.16</v>
      </c>
      <c r="V577" s="3">
        <f t="shared" si="108"/>
        <v>367182.73</v>
      </c>
      <c r="W577" s="3">
        <f t="shared" si="109"/>
        <v>199504.19999999998</v>
      </c>
      <c r="X577" s="3">
        <f t="shared" si="110"/>
        <v>268855.65999999997</v>
      </c>
      <c r="Y577" s="3">
        <f t="shared" si="111"/>
        <v>203304.28</v>
      </c>
      <c r="Z577" s="3">
        <f t="shared" si="112"/>
        <v>250330.27</v>
      </c>
      <c r="AA577" s="3">
        <f t="shared" si="113"/>
        <v>141552.98000000001</v>
      </c>
      <c r="AB577" s="3">
        <f t="shared" si="114"/>
        <v>134902.84</v>
      </c>
      <c r="AC577" s="3">
        <f t="shared" si="115"/>
        <v>363382.64999999997</v>
      </c>
      <c r="AD577" s="3">
        <f t="shared" si="116"/>
        <v>92151.94</v>
      </c>
      <c r="AE577" s="3">
        <f t="shared" si="117"/>
        <v>310181.52999999997</v>
      </c>
      <c r="AF577" s="3">
        <f>SUM(ecommerce_sales_all_data[[#This Row],[revenue_month_1]:[revenue_month_12]])</f>
        <v>2652930.8499999996</v>
      </c>
    </row>
    <row r="578" spans="1:32" x14ac:dyDescent="0.3">
      <c r="A578">
        <v>577</v>
      </c>
      <c r="B578" t="s">
        <v>601</v>
      </c>
      <c r="C578" t="s">
        <v>23</v>
      </c>
      <c r="D578" s="2">
        <v>77.8</v>
      </c>
      <c r="E578">
        <v>1.1000000000000001</v>
      </c>
      <c r="F578">
        <v>404</v>
      </c>
      <c r="G578" s="1">
        <v>7</v>
      </c>
      <c r="H578" s="1">
        <v>503</v>
      </c>
      <c r="I578" s="1">
        <v>162</v>
      </c>
      <c r="J578" s="1">
        <v>185</v>
      </c>
      <c r="K578" s="1">
        <v>889</v>
      </c>
      <c r="L578" s="1">
        <v>387</v>
      </c>
      <c r="M578" s="1">
        <v>790</v>
      </c>
      <c r="N578" s="1">
        <v>856</v>
      </c>
      <c r="O578" s="1">
        <v>273</v>
      </c>
      <c r="P578" s="1">
        <v>964</v>
      </c>
      <c r="Q578" s="1">
        <v>526</v>
      </c>
      <c r="R578" s="1">
        <v>763</v>
      </c>
      <c r="S578" s="1">
        <f>SUM(ecommerce_sales_all_data[[#This Row],[sales_month_1]:[sales_month_12]])</f>
        <v>6305</v>
      </c>
      <c r="T578" s="3">
        <f t="shared" ref="T578:T641" si="118">G578*$D578</f>
        <v>544.6</v>
      </c>
      <c r="U578" s="3">
        <f t="shared" ref="U578:U641" si="119">H578*$D578</f>
        <v>39133.4</v>
      </c>
      <c r="V578" s="3">
        <f t="shared" si="108"/>
        <v>12603.6</v>
      </c>
      <c r="W578" s="3">
        <f t="shared" si="109"/>
        <v>14393</v>
      </c>
      <c r="X578" s="3">
        <f t="shared" si="110"/>
        <v>69164.2</v>
      </c>
      <c r="Y578" s="3">
        <f t="shared" si="111"/>
        <v>30108.6</v>
      </c>
      <c r="Z578" s="3">
        <f t="shared" si="112"/>
        <v>61462</v>
      </c>
      <c r="AA578" s="3">
        <f t="shared" si="113"/>
        <v>66596.800000000003</v>
      </c>
      <c r="AB578" s="3">
        <f t="shared" si="114"/>
        <v>21239.399999999998</v>
      </c>
      <c r="AC578" s="3">
        <f t="shared" si="115"/>
        <v>74999.199999999997</v>
      </c>
      <c r="AD578" s="3">
        <f t="shared" si="116"/>
        <v>40922.799999999996</v>
      </c>
      <c r="AE578" s="3">
        <f t="shared" si="117"/>
        <v>59361.4</v>
      </c>
      <c r="AF578" s="3">
        <f>SUM(ecommerce_sales_all_data[[#This Row],[revenue_month_1]:[revenue_month_12]])</f>
        <v>490529.00000000006</v>
      </c>
    </row>
    <row r="579" spans="1:32" x14ac:dyDescent="0.3">
      <c r="A579">
        <v>578</v>
      </c>
      <c r="B579" t="s">
        <v>602</v>
      </c>
      <c r="C579" t="s">
        <v>26</v>
      </c>
      <c r="D579" s="2">
        <v>463.66</v>
      </c>
      <c r="E579">
        <v>3.6</v>
      </c>
      <c r="F579">
        <v>892</v>
      </c>
      <c r="G579" s="1">
        <v>477</v>
      </c>
      <c r="H579" s="1">
        <v>718</v>
      </c>
      <c r="I579" s="1">
        <v>365</v>
      </c>
      <c r="J579" s="1">
        <v>928</v>
      </c>
      <c r="K579" s="1">
        <v>608</v>
      </c>
      <c r="L579" s="1">
        <v>997</v>
      </c>
      <c r="M579" s="1">
        <v>646</v>
      </c>
      <c r="N579" s="1">
        <v>370</v>
      </c>
      <c r="O579" s="1">
        <v>19</v>
      </c>
      <c r="P579" s="1">
        <v>234</v>
      </c>
      <c r="Q579" s="1">
        <v>768</v>
      </c>
      <c r="R579" s="1">
        <v>607</v>
      </c>
      <c r="S579" s="1">
        <f>SUM(ecommerce_sales_all_data[[#This Row],[sales_month_1]:[sales_month_12]])</f>
        <v>6737</v>
      </c>
      <c r="T579" s="3">
        <f t="shared" si="118"/>
        <v>221165.82</v>
      </c>
      <c r="U579" s="3">
        <f t="shared" si="119"/>
        <v>332907.88</v>
      </c>
      <c r="V579" s="3">
        <f t="shared" ref="V579:V642" si="120">I579*$D579</f>
        <v>169235.90000000002</v>
      </c>
      <c r="W579" s="3">
        <f t="shared" ref="W579:W642" si="121">J579*$D579</f>
        <v>430276.48000000004</v>
      </c>
      <c r="X579" s="3">
        <f t="shared" ref="X579:X642" si="122">K579*$D579</f>
        <v>281905.28000000003</v>
      </c>
      <c r="Y579" s="3">
        <f t="shared" ref="Y579:Y642" si="123">L579*$D579</f>
        <v>462269.02</v>
      </c>
      <c r="Z579" s="3">
        <f t="shared" ref="Z579:Z642" si="124">M579*$D579</f>
        <v>299524.36000000004</v>
      </c>
      <c r="AA579" s="3">
        <f t="shared" ref="AA579:AA642" si="125">N579*$D579</f>
        <v>171554.2</v>
      </c>
      <c r="AB579" s="3">
        <f t="shared" ref="AB579:AB642" si="126">O579*$D579</f>
        <v>8809.5400000000009</v>
      </c>
      <c r="AC579" s="3">
        <f t="shared" ref="AC579:AC642" si="127">P579*$D579</f>
        <v>108496.44</v>
      </c>
      <c r="AD579" s="3">
        <f t="shared" ref="AD579:AD642" si="128">Q579*$D579</f>
        <v>356090.88</v>
      </c>
      <c r="AE579" s="3">
        <f t="shared" ref="AE579:AE642" si="129">R579*$D579</f>
        <v>281441.62</v>
      </c>
      <c r="AF579" s="3">
        <f>SUM(ecommerce_sales_all_data[[#This Row],[revenue_month_1]:[revenue_month_12]])</f>
        <v>3123677.4200000004</v>
      </c>
    </row>
    <row r="580" spans="1:32" x14ac:dyDescent="0.3">
      <c r="A580">
        <v>579</v>
      </c>
      <c r="B580" t="s">
        <v>603</v>
      </c>
      <c r="C580" t="s">
        <v>29</v>
      </c>
      <c r="D580" s="2">
        <v>248.6</v>
      </c>
      <c r="E580">
        <v>3.4</v>
      </c>
      <c r="F580">
        <v>865</v>
      </c>
      <c r="G580" s="1">
        <v>351</v>
      </c>
      <c r="H580" s="1">
        <v>47</v>
      </c>
      <c r="I580" s="1">
        <v>525</v>
      </c>
      <c r="J580" s="1">
        <v>363</v>
      </c>
      <c r="K580" s="1">
        <v>847</v>
      </c>
      <c r="L580" s="1">
        <v>920</v>
      </c>
      <c r="M580" s="1">
        <v>537</v>
      </c>
      <c r="N580" s="1">
        <v>98</v>
      </c>
      <c r="O580" s="1">
        <v>238</v>
      </c>
      <c r="P580" s="1">
        <v>995</v>
      </c>
      <c r="Q580" s="1">
        <v>646</v>
      </c>
      <c r="R580" s="1">
        <v>25</v>
      </c>
      <c r="S580" s="1">
        <f>SUM(ecommerce_sales_all_data[[#This Row],[sales_month_1]:[sales_month_12]])</f>
        <v>5592</v>
      </c>
      <c r="T580" s="3">
        <f t="shared" si="118"/>
        <v>87258.599999999991</v>
      </c>
      <c r="U580" s="3">
        <f t="shared" si="119"/>
        <v>11684.199999999999</v>
      </c>
      <c r="V580" s="3">
        <f t="shared" si="120"/>
        <v>130515</v>
      </c>
      <c r="W580" s="3">
        <f t="shared" si="121"/>
        <v>90241.8</v>
      </c>
      <c r="X580" s="3">
        <f t="shared" si="122"/>
        <v>210564.19999999998</v>
      </c>
      <c r="Y580" s="3">
        <f t="shared" si="123"/>
        <v>228712</v>
      </c>
      <c r="Z580" s="3">
        <f t="shared" si="124"/>
        <v>133498.19999999998</v>
      </c>
      <c r="AA580" s="3">
        <f t="shared" si="125"/>
        <v>24362.799999999999</v>
      </c>
      <c r="AB580" s="3">
        <f t="shared" si="126"/>
        <v>59166.799999999996</v>
      </c>
      <c r="AC580" s="3">
        <f t="shared" si="127"/>
        <v>247357</v>
      </c>
      <c r="AD580" s="3">
        <f t="shared" si="128"/>
        <v>160595.6</v>
      </c>
      <c r="AE580" s="3">
        <f t="shared" si="129"/>
        <v>6215</v>
      </c>
      <c r="AF580" s="3">
        <f>SUM(ecommerce_sales_all_data[[#This Row],[revenue_month_1]:[revenue_month_12]])</f>
        <v>1390171.2000000002</v>
      </c>
    </row>
    <row r="581" spans="1:32" x14ac:dyDescent="0.3">
      <c r="A581">
        <v>580</v>
      </c>
      <c r="B581" t="s">
        <v>604</v>
      </c>
      <c r="C581" t="s">
        <v>29</v>
      </c>
      <c r="D581" s="2">
        <v>132.83000000000001</v>
      </c>
      <c r="E581">
        <v>3.2</v>
      </c>
      <c r="F581">
        <v>602</v>
      </c>
      <c r="G581" s="1">
        <v>995</v>
      </c>
      <c r="H581" s="1">
        <v>408</v>
      </c>
      <c r="I581" s="1">
        <v>238</v>
      </c>
      <c r="J581" s="1">
        <v>954</v>
      </c>
      <c r="K581" s="1">
        <v>598</v>
      </c>
      <c r="L581" s="1">
        <v>708</v>
      </c>
      <c r="M581" s="1">
        <v>863</v>
      </c>
      <c r="N581" s="1">
        <v>46</v>
      </c>
      <c r="O581" s="1">
        <v>269</v>
      </c>
      <c r="P581" s="1">
        <v>58</v>
      </c>
      <c r="Q581" s="1">
        <v>0</v>
      </c>
      <c r="R581" s="1">
        <v>622</v>
      </c>
      <c r="S581" s="1">
        <f>SUM(ecommerce_sales_all_data[[#This Row],[sales_month_1]:[sales_month_12]])</f>
        <v>5759</v>
      </c>
      <c r="T581" s="3">
        <f t="shared" si="118"/>
        <v>132165.85</v>
      </c>
      <c r="U581" s="3">
        <f t="shared" si="119"/>
        <v>54194.640000000007</v>
      </c>
      <c r="V581" s="3">
        <f t="shared" si="120"/>
        <v>31613.540000000005</v>
      </c>
      <c r="W581" s="3">
        <f t="shared" si="121"/>
        <v>126719.82</v>
      </c>
      <c r="X581" s="3">
        <f t="shared" si="122"/>
        <v>79432.340000000011</v>
      </c>
      <c r="Y581" s="3">
        <f t="shared" si="123"/>
        <v>94043.640000000014</v>
      </c>
      <c r="Z581" s="3">
        <f t="shared" si="124"/>
        <v>114632.29000000001</v>
      </c>
      <c r="AA581" s="3">
        <f t="shared" si="125"/>
        <v>6110.18</v>
      </c>
      <c r="AB581" s="3">
        <f t="shared" si="126"/>
        <v>35731.270000000004</v>
      </c>
      <c r="AC581" s="3">
        <f t="shared" si="127"/>
        <v>7704.14</v>
      </c>
      <c r="AD581" s="3">
        <f t="shared" si="128"/>
        <v>0</v>
      </c>
      <c r="AE581" s="3">
        <f t="shared" si="129"/>
        <v>82620.260000000009</v>
      </c>
      <c r="AF581" s="3">
        <f>SUM(ecommerce_sales_all_data[[#This Row],[revenue_month_1]:[revenue_month_12]])</f>
        <v>764967.9700000002</v>
      </c>
    </row>
    <row r="582" spans="1:32" x14ac:dyDescent="0.3">
      <c r="A582">
        <v>581</v>
      </c>
      <c r="B582" t="s">
        <v>605</v>
      </c>
      <c r="C582" t="s">
        <v>26</v>
      </c>
      <c r="D582" s="2">
        <v>232.27</v>
      </c>
      <c r="E582">
        <v>1.9</v>
      </c>
      <c r="F582">
        <v>807</v>
      </c>
      <c r="G582" s="1">
        <v>494</v>
      </c>
      <c r="H582" s="1">
        <v>931</v>
      </c>
      <c r="I582" s="1">
        <v>71</v>
      </c>
      <c r="J582" s="1">
        <v>606</v>
      </c>
      <c r="K582" s="1">
        <v>805</v>
      </c>
      <c r="L582" s="1">
        <v>669</v>
      </c>
      <c r="M582" s="1">
        <v>523</v>
      </c>
      <c r="N582" s="1">
        <v>998</v>
      </c>
      <c r="O582" s="1">
        <v>417</v>
      </c>
      <c r="P582" s="1">
        <v>163</v>
      </c>
      <c r="Q582" s="1">
        <v>560</v>
      </c>
      <c r="R582" s="1">
        <v>453</v>
      </c>
      <c r="S582" s="1">
        <f>SUM(ecommerce_sales_all_data[[#This Row],[sales_month_1]:[sales_month_12]])</f>
        <v>6690</v>
      </c>
      <c r="T582" s="3">
        <f t="shared" si="118"/>
        <v>114741.38</v>
      </c>
      <c r="U582" s="3">
        <f t="shared" si="119"/>
        <v>216243.37</v>
      </c>
      <c r="V582" s="3">
        <f t="shared" si="120"/>
        <v>16491.170000000002</v>
      </c>
      <c r="W582" s="3">
        <f t="shared" si="121"/>
        <v>140755.62</v>
      </c>
      <c r="X582" s="3">
        <f t="shared" si="122"/>
        <v>186977.35</v>
      </c>
      <c r="Y582" s="3">
        <f t="shared" si="123"/>
        <v>155388.63</v>
      </c>
      <c r="Z582" s="3">
        <f t="shared" si="124"/>
        <v>121477.21</v>
      </c>
      <c r="AA582" s="3">
        <f t="shared" si="125"/>
        <v>231805.46000000002</v>
      </c>
      <c r="AB582" s="3">
        <f t="shared" si="126"/>
        <v>96856.590000000011</v>
      </c>
      <c r="AC582" s="3">
        <f t="shared" si="127"/>
        <v>37860.01</v>
      </c>
      <c r="AD582" s="3">
        <f t="shared" si="128"/>
        <v>130071.20000000001</v>
      </c>
      <c r="AE582" s="3">
        <f t="shared" si="129"/>
        <v>105218.31</v>
      </c>
      <c r="AF582" s="3">
        <f>SUM(ecommerce_sales_all_data[[#This Row],[revenue_month_1]:[revenue_month_12]])</f>
        <v>1553886.3</v>
      </c>
    </row>
    <row r="583" spans="1:32" x14ac:dyDescent="0.3">
      <c r="A583">
        <v>582</v>
      </c>
      <c r="B583" t="s">
        <v>606</v>
      </c>
      <c r="C583" t="s">
        <v>26</v>
      </c>
      <c r="D583" s="2">
        <v>490.12</v>
      </c>
      <c r="E583">
        <v>2.6</v>
      </c>
      <c r="F583">
        <v>341</v>
      </c>
      <c r="G583" s="1">
        <v>605</v>
      </c>
      <c r="H583" s="1">
        <v>135</v>
      </c>
      <c r="I583" s="1">
        <v>444</v>
      </c>
      <c r="J583" s="1">
        <v>377</v>
      </c>
      <c r="K583" s="1">
        <v>630</v>
      </c>
      <c r="L583" s="1">
        <v>203</v>
      </c>
      <c r="M583" s="1">
        <v>71</v>
      </c>
      <c r="N583" s="1">
        <v>838</v>
      </c>
      <c r="O583" s="1">
        <v>944</v>
      </c>
      <c r="P583" s="1">
        <v>770</v>
      </c>
      <c r="Q583" s="1">
        <v>95</v>
      </c>
      <c r="R583" s="1">
        <v>634</v>
      </c>
      <c r="S583" s="1">
        <f>SUM(ecommerce_sales_all_data[[#This Row],[sales_month_1]:[sales_month_12]])</f>
        <v>5746</v>
      </c>
      <c r="T583" s="3">
        <f t="shared" si="118"/>
        <v>296522.59999999998</v>
      </c>
      <c r="U583" s="3">
        <f t="shared" si="119"/>
        <v>66166.2</v>
      </c>
      <c r="V583" s="3">
        <f t="shared" si="120"/>
        <v>217613.28</v>
      </c>
      <c r="W583" s="3">
        <f t="shared" si="121"/>
        <v>184775.24</v>
      </c>
      <c r="X583" s="3">
        <f t="shared" si="122"/>
        <v>308775.59999999998</v>
      </c>
      <c r="Y583" s="3">
        <f t="shared" si="123"/>
        <v>99494.36</v>
      </c>
      <c r="Z583" s="3">
        <f t="shared" si="124"/>
        <v>34798.519999999997</v>
      </c>
      <c r="AA583" s="3">
        <f t="shared" si="125"/>
        <v>410720.56</v>
      </c>
      <c r="AB583" s="3">
        <f t="shared" si="126"/>
        <v>462673.28</v>
      </c>
      <c r="AC583" s="3">
        <f t="shared" si="127"/>
        <v>377392.4</v>
      </c>
      <c r="AD583" s="3">
        <f t="shared" si="128"/>
        <v>46561.4</v>
      </c>
      <c r="AE583" s="3">
        <f t="shared" si="129"/>
        <v>310736.08</v>
      </c>
      <c r="AF583" s="3">
        <f>SUM(ecommerce_sales_all_data[[#This Row],[revenue_month_1]:[revenue_month_12]])</f>
        <v>2816229.52</v>
      </c>
    </row>
    <row r="584" spans="1:32" x14ac:dyDescent="0.3">
      <c r="A584">
        <v>583</v>
      </c>
      <c r="B584" t="s">
        <v>607</v>
      </c>
      <c r="C584" t="s">
        <v>26</v>
      </c>
      <c r="D584" s="2">
        <v>248.85</v>
      </c>
      <c r="E584">
        <v>3.4</v>
      </c>
      <c r="F584">
        <v>757</v>
      </c>
      <c r="G584" s="1">
        <v>832</v>
      </c>
      <c r="H584" s="1">
        <v>200</v>
      </c>
      <c r="I584" s="1">
        <v>654</v>
      </c>
      <c r="J584" s="1">
        <v>522</v>
      </c>
      <c r="K584" s="1">
        <v>719</v>
      </c>
      <c r="L584" s="1">
        <v>195</v>
      </c>
      <c r="M584" s="1">
        <v>644</v>
      </c>
      <c r="N584" s="1">
        <v>421</v>
      </c>
      <c r="O584" s="1">
        <v>309</v>
      </c>
      <c r="P584" s="1">
        <v>825</v>
      </c>
      <c r="Q584" s="1">
        <v>712</v>
      </c>
      <c r="R584" s="1">
        <v>185</v>
      </c>
      <c r="S584" s="1">
        <f>SUM(ecommerce_sales_all_data[[#This Row],[sales_month_1]:[sales_month_12]])</f>
        <v>6218</v>
      </c>
      <c r="T584" s="3">
        <f t="shared" si="118"/>
        <v>207043.19999999998</v>
      </c>
      <c r="U584" s="3">
        <f t="shared" si="119"/>
        <v>49770</v>
      </c>
      <c r="V584" s="3">
        <f t="shared" si="120"/>
        <v>162747.9</v>
      </c>
      <c r="W584" s="3">
        <f t="shared" si="121"/>
        <v>129899.7</v>
      </c>
      <c r="X584" s="3">
        <f t="shared" si="122"/>
        <v>178923.15</v>
      </c>
      <c r="Y584" s="3">
        <f t="shared" si="123"/>
        <v>48525.75</v>
      </c>
      <c r="Z584" s="3">
        <f t="shared" si="124"/>
        <v>160259.4</v>
      </c>
      <c r="AA584" s="3">
        <f t="shared" si="125"/>
        <v>104765.84999999999</v>
      </c>
      <c r="AB584" s="3">
        <f t="shared" si="126"/>
        <v>76894.649999999994</v>
      </c>
      <c r="AC584" s="3">
        <f t="shared" si="127"/>
        <v>205301.25</v>
      </c>
      <c r="AD584" s="3">
        <f t="shared" si="128"/>
        <v>177181.19999999998</v>
      </c>
      <c r="AE584" s="3">
        <f t="shared" si="129"/>
        <v>46037.25</v>
      </c>
      <c r="AF584" s="3">
        <f>SUM(ecommerce_sales_all_data[[#This Row],[revenue_month_1]:[revenue_month_12]])</f>
        <v>1547349.2999999998</v>
      </c>
    </row>
    <row r="585" spans="1:32" x14ac:dyDescent="0.3">
      <c r="A585">
        <v>584</v>
      </c>
      <c r="B585" t="s">
        <v>608</v>
      </c>
      <c r="C585" t="s">
        <v>48</v>
      </c>
      <c r="D585" s="2">
        <v>167.73</v>
      </c>
      <c r="E585">
        <v>3</v>
      </c>
      <c r="F585">
        <v>945</v>
      </c>
      <c r="G585" s="1">
        <v>426</v>
      </c>
      <c r="H585" s="1">
        <v>249</v>
      </c>
      <c r="I585" s="1">
        <v>821</v>
      </c>
      <c r="J585" s="1">
        <v>579</v>
      </c>
      <c r="K585" s="1">
        <v>333</v>
      </c>
      <c r="L585" s="1">
        <v>727</v>
      </c>
      <c r="M585" s="1">
        <v>105</v>
      </c>
      <c r="N585" s="1">
        <v>479</v>
      </c>
      <c r="O585" s="1">
        <v>30</v>
      </c>
      <c r="P585" s="1">
        <v>215</v>
      </c>
      <c r="Q585" s="1">
        <v>412</v>
      </c>
      <c r="R585" s="1">
        <v>483</v>
      </c>
      <c r="S585" s="1">
        <f>SUM(ecommerce_sales_all_data[[#This Row],[sales_month_1]:[sales_month_12]])</f>
        <v>4859</v>
      </c>
      <c r="T585" s="3">
        <f t="shared" si="118"/>
        <v>71452.98</v>
      </c>
      <c r="U585" s="3">
        <f t="shared" si="119"/>
        <v>41764.769999999997</v>
      </c>
      <c r="V585" s="3">
        <f t="shared" si="120"/>
        <v>137706.32999999999</v>
      </c>
      <c r="W585" s="3">
        <f t="shared" si="121"/>
        <v>97115.67</v>
      </c>
      <c r="X585" s="3">
        <f t="shared" si="122"/>
        <v>55854.09</v>
      </c>
      <c r="Y585" s="3">
        <f t="shared" si="123"/>
        <v>121939.70999999999</v>
      </c>
      <c r="Z585" s="3">
        <f t="shared" si="124"/>
        <v>17611.649999999998</v>
      </c>
      <c r="AA585" s="3">
        <f t="shared" si="125"/>
        <v>80342.67</v>
      </c>
      <c r="AB585" s="3">
        <f t="shared" si="126"/>
        <v>5031.8999999999996</v>
      </c>
      <c r="AC585" s="3">
        <f t="shared" si="127"/>
        <v>36061.949999999997</v>
      </c>
      <c r="AD585" s="3">
        <f t="shared" si="128"/>
        <v>69104.759999999995</v>
      </c>
      <c r="AE585" s="3">
        <f t="shared" si="129"/>
        <v>81013.59</v>
      </c>
      <c r="AF585" s="3">
        <f>SUM(ecommerce_sales_all_data[[#This Row],[revenue_month_1]:[revenue_month_12]])</f>
        <v>815000.07</v>
      </c>
    </row>
    <row r="586" spans="1:32" x14ac:dyDescent="0.3">
      <c r="A586">
        <v>585</v>
      </c>
      <c r="B586" t="s">
        <v>609</v>
      </c>
      <c r="C586" t="s">
        <v>23</v>
      </c>
      <c r="D586" s="2">
        <v>318.52999999999997</v>
      </c>
      <c r="E586">
        <v>5</v>
      </c>
      <c r="F586">
        <v>704</v>
      </c>
      <c r="G586" s="1">
        <v>38</v>
      </c>
      <c r="H586" s="1">
        <v>313</v>
      </c>
      <c r="I586" s="1">
        <v>508</v>
      </c>
      <c r="J586" s="1">
        <v>890</v>
      </c>
      <c r="K586" s="1">
        <v>924</v>
      </c>
      <c r="L586" s="1">
        <v>284</v>
      </c>
      <c r="M586" s="1">
        <v>731</v>
      </c>
      <c r="N586" s="1">
        <v>578</v>
      </c>
      <c r="O586" s="1">
        <v>825</v>
      </c>
      <c r="P586" s="1">
        <v>182</v>
      </c>
      <c r="Q586" s="1">
        <v>537</v>
      </c>
      <c r="R586" s="1">
        <v>679</v>
      </c>
      <c r="S586" s="1">
        <f>SUM(ecommerce_sales_all_data[[#This Row],[sales_month_1]:[sales_month_12]])</f>
        <v>6489</v>
      </c>
      <c r="T586" s="3">
        <f t="shared" si="118"/>
        <v>12104.14</v>
      </c>
      <c r="U586" s="3">
        <f t="shared" si="119"/>
        <v>99699.889999999985</v>
      </c>
      <c r="V586" s="3">
        <f t="shared" si="120"/>
        <v>161813.24</v>
      </c>
      <c r="W586" s="3">
        <f t="shared" si="121"/>
        <v>283491.69999999995</v>
      </c>
      <c r="X586" s="3">
        <f t="shared" si="122"/>
        <v>294321.71999999997</v>
      </c>
      <c r="Y586" s="3">
        <f t="shared" si="123"/>
        <v>90462.51999999999</v>
      </c>
      <c r="Z586" s="3">
        <f t="shared" si="124"/>
        <v>232845.43</v>
      </c>
      <c r="AA586" s="3">
        <f t="shared" si="125"/>
        <v>184110.34</v>
      </c>
      <c r="AB586" s="3">
        <f t="shared" si="126"/>
        <v>262787.25</v>
      </c>
      <c r="AC586" s="3">
        <f t="shared" si="127"/>
        <v>57972.459999999992</v>
      </c>
      <c r="AD586" s="3">
        <f t="shared" si="128"/>
        <v>171050.61</v>
      </c>
      <c r="AE586" s="3">
        <f t="shared" si="129"/>
        <v>216281.87</v>
      </c>
      <c r="AF586" s="3">
        <f>SUM(ecommerce_sales_all_data[[#This Row],[revenue_month_1]:[revenue_month_12]])</f>
        <v>2066941.17</v>
      </c>
    </row>
    <row r="587" spans="1:32" x14ac:dyDescent="0.3">
      <c r="A587">
        <v>586</v>
      </c>
      <c r="B587" t="s">
        <v>610</v>
      </c>
      <c r="C587" t="s">
        <v>35</v>
      </c>
      <c r="D587" s="2">
        <v>123.87</v>
      </c>
      <c r="E587">
        <v>1.5</v>
      </c>
      <c r="F587">
        <v>318</v>
      </c>
      <c r="G587" s="1">
        <v>592</v>
      </c>
      <c r="H587" s="1">
        <v>868</v>
      </c>
      <c r="I587" s="1">
        <v>794</v>
      </c>
      <c r="J587" s="1">
        <v>721</v>
      </c>
      <c r="K587" s="1">
        <v>153</v>
      </c>
      <c r="L587" s="1">
        <v>968</v>
      </c>
      <c r="M587" s="1">
        <v>884</v>
      </c>
      <c r="N587" s="1">
        <v>61</v>
      </c>
      <c r="O587" s="1">
        <v>103</v>
      </c>
      <c r="P587" s="1">
        <v>568</v>
      </c>
      <c r="Q587" s="1">
        <v>854</v>
      </c>
      <c r="R587" s="1">
        <v>50</v>
      </c>
      <c r="S587" s="1">
        <f>SUM(ecommerce_sales_all_data[[#This Row],[sales_month_1]:[sales_month_12]])</f>
        <v>6616</v>
      </c>
      <c r="T587" s="3">
        <f t="shared" si="118"/>
        <v>73331.040000000008</v>
      </c>
      <c r="U587" s="3">
        <f t="shared" si="119"/>
        <v>107519.16</v>
      </c>
      <c r="V587" s="3">
        <f t="shared" si="120"/>
        <v>98352.78</v>
      </c>
      <c r="W587" s="3">
        <f t="shared" si="121"/>
        <v>89310.27</v>
      </c>
      <c r="X587" s="3">
        <f t="shared" si="122"/>
        <v>18952.11</v>
      </c>
      <c r="Y587" s="3">
        <f t="shared" si="123"/>
        <v>119906.16</v>
      </c>
      <c r="Z587" s="3">
        <f t="shared" si="124"/>
        <v>109501.08</v>
      </c>
      <c r="AA587" s="3">
        <f t="shared" si="125"/>
        <v>7556.0700000000006</v>
      </c>
      <c r="AB587" s="3">
        <f t="shared" si="126"/>
        <v>12758.61</v>
      </c>
      <c r="AC587" s="3">
        <f t="shared" si="127"/>
        <v>70358.16</v>
      </c>
      <c r="AD587" s="3">
        <f t="shared" si="128"/>
        <v>105784.98000000001</v>
      </c>
      <c r="AE587" s="3">
        <f t="shared" si="129"/>
        <v>6193.5</v>
      </c>
      <c r="AF587" s="3">
        <f>SUM(ecommerce_sales_all_data[[#This Row],[revenue_month_1]:[revenue_month_12]])</f>
        <v>819523.91999999993</v>
      </c>
    </row>
    <row r="588" spans="1:32" x14ac:dyDescent="0.3">
      <c r="A588">
        <v>587</v>
      </c>
      <c r="B588" t="s">
        <v>611</v>
      </c>
      <c r="C588" t="s">
        <v>26</v>
      </c>
      <c r="D588" s="2">
        <v>42.55</v>
      </c>
      <c r="E588">
        <v>3.8</v>
      </c>
      <c r="F588">
        <v>618</v>
      </c>
      <c r="G588" s="1">
        <v>186</v>
      </c>
      <c r="H588" s="1">
        <v>367</v>
      </c>
      <c r="I588" s="1">
        <v>268</v>
      </c>
      <c r="J588" s="1">
        <v>195</v>
      </c>
      <c r="K588" s="1">
        <v>546</v>
      </c>
      <c r="L588" s="1">
        <v>195</v>
      </c>
      <c r="M588" s="1">
        <v>964</v>
      </c>
      <c r="N588" s="1">
        <v>108</v>
      </c>
      <c r="O588" s="1">
        <v>681</v>
      </c>
      <c r="P588" s="1">
        <v>656</v>
      </c>
      <c r="Q588" s="1">
        <v>428</v>
      </c>
      <c r="R588" s="1">
        <v>890</v>
      </c>
      <c r="S588" s="1">
        <f>SUM(ecommerce_sales_all_data[[#This Row],[sales_month_1]:[sales_month_12]])</f>
        <v>5484</v>
      </c>
      <c r="T588" s="3">
        <f t="shared" si="118"/>
        <v>7914.2999999999993</v>
      </c>
      <c r="U588" s="3">
        <f t="shared" si="119"/>
        <v>15615.849999999999</v>
      </c>
      <c r="V588" s="3">
        <f t="shared" si="120"/>
        <v>11403.4</v>
      </c>
      <c r="W588" s="3">
        <f t="shared" si="121"/>
        <v>8297.25</v>
      </c>
      <c r="X588" s="3">
        <f t="shared" si="122"/>
        <v>23232.3</v>
      </c>
      <c r="Y588" s="3">
        <f t="shared" si="123"/>
        <v>8297.25</v>
      </c>
      <c r="Z588" s="3">
        <f t="shared" si="124"/>
        <v>41018.199999999997</v>
      </c>
      <c r="AA588" s="3">
        <f t="shared" si="125"/>
        <v>4595.3999999999996</v>
      </c>
      <c r="AB588" s="3">
        <f t="shared" si="126"/>
        <v>28976.55</v>
      </c>
      <c r="AC588" s="3">
        <f t="shared" si="127"/>
        <v>27912.799999999999</v>
      </c>
      <c r="AD588" s="3">
        <f t="shared" si="128"/>
        <v>18211.399999999998</v>
      </c>
      <c r="AE588" s="3">
        <f t="shared" si="129"/>
        <v>37869.5</v>
      </c>
      <c r="AF588" s="3">
        <f>SUM(ecommerce_sales_all_data[[#This Row],[revenue_month_1]:[revenue_month_12]])</f>
        <v>233344.19999999995</v>
      </c>
    </row>
    <row r="589" spans="1:32" x14ac:dyDescent="0.3">
      <c r="A589">
        <v>588</v>
      </c>
      <c r="B589" t="s">
        <v>612</v>
      </c>
      <c r="C589" t="s">
        <v>23</v>
      </c>
      <c r="D589" s="2">
        <v>68.8</v>
      </c>
      <c r="E589">
        <v>2.6</v>
      </c>
      <c r="F589">
        <v>363</v>
      </c>
      <c r="G589" s="1">
        <v>595</v>
      </c>
      <c r="H589" s="1">
        <v>428</v>
      </c>
      <c r="I589" s="1">
        <v>752</v>
      </c>
      <c r="J589" s="1">
        <v>880</v>
      </c>
      <c r="K589" s="1">
        <v>78</v>
      </c>
      <c r="L589" s="1">
        <v>306</v>
      </c>
      <c r="M589" s="1">
        <v>688</v>
      </c>
      <c r="N589" s="1">
        <v>678</v>
      </c>
      <c r="O589" s="1">
        <v>185</v>
      </c>
      <c r="P589" s="1">
        <v>934</v>
      </c>
      <c r="Q589" s="1">
        <v>234</v>
      </c>
      <c r="R589" s="1">
        <v>4</v>
      </c>
      <c r="S589" s="1">
        <f>SUM(ecommerce_sales_all_data[[#This Row],[sales_month_1]:[sales_month_12]])</f>
        <v>5762</v>
      </c>
      <c r="T589" s="3">
        <f t="shared" si="118"/>
        <v>40936</v>
      </c>
      <c r="U589" s="3">
        <f t="shared" si="119"/>
        <v>29446.399999999998</v>
      </c>
      <c r="V589" s="3">
        <f t="shared" si="120"/>
        <v>51737.599999999999</v>
      </c>
      <c r="W589" s="3">
        <f t="shared" si="121"/>
        <v>60544</v>
      </c>
      <c r="X589" s="3">
        <f t="shared" si="122"/>
        <v>5366.4</v>
      </c>
      <c r="Y589" s="3">
        <f t="shared" si="123"/>
        <v>21052.799999999999</v>
      </c>
      <c r="Z589" s="3">
        <f t="shared" si="124"/>
        <v>47334.400000000001</v>
      </c>
      <c r="AA589" s="3">
        <f t="shared" si="125"/>
        <v>46646.400000000001</v>
      </c>
      <c r="AB589" s="3">
        <f t="shared" si="126"/>
        <v>12728</v>
      </c>
      <c r="AC589" s="3">
        <f t="shared" si="127"/>
        <v>64259.199999999997</v>
      </c>
      <c r="AD589" s="3">
        <f t="shared" si="128"/>
        <v>16099.199999999999</v>
      </c>
      <c r="AE589" s="3">
        <f t="shared" si="129"/>
        <v>275.2</v>
      </c>
      <c r="AF589" s="3">
        <f>SUM(ecommerce_sales_all_data[[#This Row],[revenue_month_1]:[revenue_month_12]])</f>
        <v>396425.60000000003</v>
      </c>
    </row>
    <row r="590" spans="1:32" x14ac:dyDescent="0.3">
      <c r="A590">
        <v>589</v>
      </c>
      <c r="B590" t="s">
        <v>613</v>
      </c>
      <c r="C590" t="s">
        <v>21</v>
      </c>
      <c r="D590" s="2">
        <v>68.38</v>
      </c>
      <c r="E590">
        <v>2.7</v>
      </c>
      <c r="F590">
        <v>822</v>
      </c>
      <c r="G590" s="1">
        <v>599</v>
      </c>
      <c r="H590" s="1">
        <v>829</v>
      </c>
      <c r="I590" s="1">
        <v>414</v>
      </c>
      <c r="J590" s="1">
        <v>97</v>
      </c>
      <c r="K590" s="1">
        <v>578</v>
      </c>
      <c r="L590" s="1">
        <v>663</v>
      </c>
      <c r="M590" s="1">
        <v>281</v>
      </c>
      <c r="N590" s="1">
        <v>548</v>
      </c>
      <c r="O590" s="1">
        <v>127</v>
      </c>
      <c r="P590" s="1">
        <v>89</v>
      </c>
      <c r="Q590" s="1">
        <v>348</v>
      </c>
      <c r="R590" s="1">
        <v>588</v>
      </c>
      <c r="S590" s="1">
        <f>SUM(ecommerce_sales_all_data[[#This Row],[sales_month_1]:[sales_month_12]])</f>
        <v>5161</v>
      </c>
      <c r="T590" s="3">
        <f t="shared" si="118"/>
        <v>40959.619999999995</v>
      </c>
      <c r="U590" s="3">
        <f t="shared" si="119"/>
        <v>56687.02</v>
      </c>
      <c r="V590" s="3">
        <f t="shared" si="120"/>
        <v>28309.32</v>
      </c>
      <c r="W590" s="3">
        <f t="shared" si="121"/>
        <v>6632.86</v>
      </c>
      <c r="X590" s="3">
        <f t="shared" si="122"/>
        <v>39523.64</v>
      </c>
      <c r="Y590" s="3">
        <f t="shared" si="123"/>
        <v>45335.939999999995</v>
      </c>
      <c r="Z590" s="3">
        <f t="shared" si="124"/>
        <v>19214.78</v>
      </c>
      <c r="AA590" s="3">
        <f t="shared" si="125"/>
        <v>37472.239999999998</v>
      </c>
      <c r="AB590" s="3">
        <f t="shared" si="126"/>
        <v>8684.26</v>
      </c>
      <c r="AC590" s="3">
        <f t="shared" si="127"/>
        <v>6085.82</v>
      </c>
      <c r="AD590" s="3">
        <f t="shared" si="128"/>
        <v>23796.239999999998</v>
      </c>
      <c r="AE590" s="3">
        <f t="shared" si="129"/>
        <v>40207.439999999995</v>
      </c>
      <c r="AF590" s="3">
        <f>SUM(ecommerce_sales_all_data[[#This Row],[revenue_month_1]:[revenue_month_12]])</f>
        <v>352909.18</v>
      </c>
    </row>
    <row r="591" spans="1:32" x14ac:dyDescent="0.3">
      <c r="A591">
        <v>590</v>
      </c>
      <c r="B591" t="s">
        <v>614</v>
      </c>
      <c r="C591" t="s">
        <v>29</v>
      </c>
      <c r="D591" s="2">
        <v>80.19</v>
      </c>
      <c r="E591">
        <v>3.9</v>
      </c>
      <c r="F591">
        <v>382</v>
      </c>
      <c r="G591" s="1">
        <v>753</v>
      </c>
      <c r="H591" s="1">
        <v>806</v>
      </c>
      <c r="I591" s="1">
        <v>244</v>
      </c>
      <c r="J591" s="1">
        <v>604</v>
      </c>
      <c r="K591" s="1">
        <v>854</v>
      </c>
      <c r="L591" s="1">
        <v>13</v>
      </c>
      <c r="M591" s="1">
        <v>132</v>
      </c>
      <c r="N591" s="1">
        <v>118</v>
      </c>
      <c r="O591" s="1">
        <v>209</v>
      </c>
      <c r="P591" s="1">
        <v>963</v>
      </c>
      <c r="Q591" s="1">
        <v>755</v>
      </c>
      <c r="R591" s="1">
        <v>159</v>
      </c>
      <c r="S591" s="1">
        <f>SUM(ecommerce_sales_all_data[[#This Row],[sales_month_1]:[sales_month_12]])</f>
        <v>5610</v>
      </c>
      <c r="T591" s="3">
        <f t="shared" si="118"/>
        <v>60383.07</v>
      </c>
      <c r="U591" s="3">
        <f t="shared" si="119"/>
        <v>64633.14</v>
      </c>
      <c r="V591" s="3">
        <f t="shared" si="120"/>
        <v>19566.36</v>
      </c>
      <c r="W591" s="3">
        <f t="shared" si="121"/>
        <v>48434.76</v>
      </c>
      <c r="X591" s="3">
        <f t="shared" si="122"/>
        <v>68482.259999999995</v>
      </c>
      <c r="Y591" s="3">
        <f t="shared" si="123"/>
        <v>1042.47</v>
      </c>
      <c r="Z591" s="3">
        <f t="shared" si="124"/>
        <v>10585.08</v>
      </c>
      <c r="AA591" s="3">
        <f t="shared" si="125"/>
        <v>9462.42</v>
      </c>
      <c r="AB591" s="3">
        <f t="shared" si="126"/>
        <v>16759.71</v>
      </c>
      <c r="AC591" s="3">
        <f t="shared" si="127"/>
        <v>77222.97</v>
      </c>
      <c r="AD591" s="3">
        <f t="shared" si="128"/>
        <v>60543.45</v>
      </c>
      <c r="AE591" s="3">
        <f t="shared" si="129"/>
        <v>12750.21</v>
      </c>
      <c r="AF591" s="3">
        <f>SUM(ecommerce_sales_all_data[[#This Row],[revenue_month_1]:[revenue_month_12]])</f>
        <v>449865.9</v>
      </c>
    </row>
    <row r="592" spans="1:32" x14ac:dyDescent="0.3">
      <c r="A592">
        <v>591</v>
      </c>
      <c r="B592" t="s">
        <v>615</v>
      </c>
      <c r="C592" t="s">
        <v>29</v>
      </c>
      <c r="D592" s="2">
        <v>73.72</v>
      </c>
      <c r="E592">
        <v>3.8</v>
      </c>
      <c r="F592">
        <v>233</v>
      </c>
      <c r="G592" s="1">
        <v>853</v>
      </c>
      <c r="H592" s="1">
        <v>479</v>
      </c>
      <c r="I592" s="1">
        <v>674</v>
      </c>
      <c r="J592" s="1">
        <v>983</v>
      </c>
      <c r="K592" s="1">
        <v>412</v>
      </c>
      <c r="L592" s="1">
        <v>836</v>
      </c>
      <c r="M592" s="1">
        <v>533</v>
      </c>
      <c r="N592" s="1">
        <v>597</v>
      </c>
      <c r="O592" s="1">
        <v>413</v>
      </c>
      <c r="P592" s="1">
        <v>310</v>
      </c>
      <c r="Q592" s="1">
        <v>869</v>
      </c>
      <c r="R592" s="1">
        <v>207</v>
      </c>
      <c r="S592" s="1">
        <f>SUM(ecommerce_sales_all_data[[#This Row],[sales_month_1]:[sales_month_12]])</f>
        <v>7166</v>
      </c>
      <c r="T592" s="3">
        <f t="shared" si="118"/>
        <v>62883.159999999996</v>
      </c>
      <c r="U592" s="3">
        <f t="shared" si="119"/>
        <v>35311.879999999997</v>
      </c>
      <c r="V592" s="3">
        <f t="shared" si="120"/>
        <v>49687.28</v>
      </c>
      <c r="W592" s="3">
        <f t="shared" si="121"/>
        <v>72466.759999999995</v>
      </c>
      <c r="X592" s="3">
        <f t="shared" si="122"/>
        <v>30372.639999999999</v>
      </c>
      <c r="Y592" s="3">
        <f t="shared" si="123"/>
        <v>61629.919999999998</v>
      </c>
      <c r="Z592" s="3">
        <f t="shared" si="124"/>
        <v>39292.76</v>
      </c>
      <c r="AA592" s="3">
        <f t="shared" si="125"/>
        <v>44010.84</v>
      </c>
      <c r="AB592" s="3">
        <f t="shared" si="126"/>
        <v>30446.36</v>
      </c>
      <c r="AC592" s="3">
        <f t="shared" si="127"/>
        <v>22853.200000000001</v>
      </c>
      <c r="AD592" s="3">
        <f t="shared" si="128"/>
        <v>64062.68</v>
      </c>
      <c r="AE592" s="3">
        <f t="shared" si="129"/>
        <v>15260.039999999999</v>
      </c>
      <c r="AF592" s="3">
        <f>SUM(ecommerce_sales_all_data[[#This Row],[revenue_month_1]:[revenue_month_12]])</f>
        <v>528277.52</v>
      </c>
    </row>
    <row r="593" spans="1:32" x14ac:dyDescent="0.3">
      <c r="A593">
        <v>592</v>
      </c>
      <c r="B593" t="s">
        <v>616</v>
      </c>
      <c r="C593" t="s">
        <v>19</v>
      </c>
      <c r="D593" s="2">
        <v>322.23</v>
      </c>
      <c r="E593">
        <v>5</v>
      </c>
      <c r="F593">
        <v>777</v>
      </c>
      <c r="G593" s="1">
        <v>92</v>
      </c>
      <c r="H593" s="1">
        <v>313</v>
      </c>
      <c r="I593" s="1">
        <v>59</v>
      </c>
      <c r="J593" s="1">
        <v>21</v>
      </c>
      <c r="K593" s="1">
        <v>545</v>
      </c>
      <c r="L593" s="1">
        <v>145</v>
      </c>
      <c r="M593" s="1">
        <v>974</v>
      </c>
      <c r="N593" s="1">
        <v>381</v>
      </c>
      <c r="O593" s="1">
        <v>280</v>
      </c>
      <c r="P593" s="1">
        <v>556</v>
      </c>
      <c r="Q593" s="1">
        <v>480</v>
      </c>
      <c r="R593" s="1">
        <v>256</v>
      </c>
      <c r="S593" s="1">
        <f>SUM(ecommerce_sales_all_data[[#This Row],[sales_month_1]:[sales_month_12]])</f>
        <v>4102</v>
      </c>
      <c r="T593" s="3">
        <f t="shared" si="118"/>
        <v>29645.160000000003</v>
      </c>
      <c r="U593" s="3">
        <f t="shared" si="119"/>
        <v>100857.99</v>
      </c>
      <c r="V593" s="3">
        <f t="shared" si="120"/>
        <v>19011.57</v>
      </c>
      <c r="W593" s="3">
        <f t="shared" si="121"/>
        <v>6766.83</v>
      </c>
      <c r="X593" s="3">
        <f t="shared" si="122"/>
        <v>175615.35</v>
      </c>
      <c r="Y593" s="3">
        <f t="shared" si="123"/>
        <v>46723.350000000006</v>
      </c>
      <c r="Z593" s="3">
        <f t="shared" si="124"/>
        <v>313852.02</v>
      </c>
      <c r="AA593" s="3">
        <f t="shared" si="125"/>
        <v>122769.63</v>
      </c>
      <c r="AB593" s="3">
        <f t="shared" si="126"/>
        <v>90224.400000000009</v>
      </c>
      <c r="AC593" s="3">
        <f t="shared" si="127"/>
        <v>179159.88</v>
      </c>
      <c r="AD593" s="3">
        <f t="shared" si="128"/>
        <v>154670.40000000002</v>
      </c>
      <c r="AE593" s="3">
        <f t="shared" si="129"/>
        <v>82490.880000000005</v>
      </c>
      <c r="AF593" s="3">
        <f>SUM(ecommerce_sales_all_data[[#This Row],[revenue_month_1]:[revenue_month_12]])</f>
        <v>1321787.46</v>
      </c>
    </row>
    <row r="594" spans="1:32" x14ac:dyDescent="0.3">
      <c r="A594">
        <v>593</v>
      </c>
      <c r="B594" t="s">
        <v>617</v>
      </c>
      <c r="C594" t="s">
        <v>21</v>
      </c>
      <c r="D594" s="2">
        <v>95.03</v>
      </c>
      <c r="E594">
        <v>1.5</v>
      </c>
      <c r="F594">
        <v>344</v>
      </c>
      <c r="G594" s="1">
        <v>85</v>
      </c>
      <c r="H594" s="1">
        <v>499</v>
      </c>
      <c r="I594" s="1">
        <v>5</v>
      </c>
      <c r="J594" s="1">
        <v>449</v>
      </c>
      <c r="K594" s="1">
        <v>608</v>
      </c>
      <c r="L594" s="1">
        <v>937</v>
      </c>
      <c r="M594" s="1">
        <v>268</v>
      </c>
      <c r="N594" s="1">
        <v>391</v>
      </c>
      <c r="O594" s="1">
        <v>958</v>
      </c>
      <c r="P594" s="1">
        <v>971</v>
      </c>
      <c r="Q594" s="1">
        <v>838</v>
      </c>
      <c r="R594" s="1">
        <v>204</v>
      </c>
      <c r="S594" s="1">
        <f>SUM(ecommerce_sales_all_data[[#This Row],[sales_month_1]:[sales_month_12]])</f>
        <v>6213</v>
      </c>
      <c r="T594" s="3">
        <f t="shared" si="118"/>
        <v>8077.55</v>
      </c>
      <c r="U594" s="3">
        <f t="shared" si="119"/>
        <v>47419.97</v>
      </c>
      <c r="V594" s="3">
        <f t="shared" si="120"/>
        <v>475.15</v>
      </c>
      <c r="W594" s="3">
        <f t="shared" si="121"/>
        <v>42668.47</v>
      </c>
      <c r="X594" s="3">
        <f t="shared" si="122"/>
        <v>57778.239999999998</v>
      </c>
      <c r="Y594" s="3">
        <f t="shared" si="123"/>
        <v>89043.11</v>
      </c>
      <c r="Z594" s="3">
        <f t="shared" si="124"/>
        <v>25468.04</v>
      </c>
      <c r="AA594" s="3">
        <f t="shared" si="125"/>
        <v>37156.730000000003</v>
      </c>
      <c r="AB594" s="3">
        <f t="shared" si="126"/>
        <v>91038.74</v>
      </c>
      <c r="AC594" s="3">
        <f t="shared" si="127"/>
        <v>92274.13</v>
      </c>
      <c r="AD594" s="3">
        <f t="shared" si="128"/>
        <v>79635.14</v>
      </c>
      <c r="AE594" s="3">
        <f t="shared" si="129"/>
        <v>19386.12</v>
      </c>
      <c r="AF594" s="3">
        <f>SUM(ecommerce_sales_all_data[[#This Row],[revenue_month_1]:[revenue_month_12]])</f>
        <v>590421.3899999999</v>
      </c>
    </row>
    <row r="595" spans="1:32" x14ac:dyDescent="0.3">
      <c r="A595">
        <v>594</v>
      </c>
      <c r="B595" t="s">
        <v>618</v>
      </c>
      <c r="C595" t="s">
        <v>35</v>
      </c>
      <c r="D595" s="2">
        <v>176.11</v>
      </c>
      <c r="E595">
        <v>1.4</v>
      </c>
      <c r="F595">
        <v>549</v>
      </c>
      <c r="G595" s="1">
        <v>43</v>
      </c>
      <c r="H595" s="1">
        <v>720</v>
      </c>
      <c r="I595" s="1">
        <v>708</v>
      </c>
      <c r="J595" s="1">
        <v>171</v>
      </c>
      <c r="K595" s="1">
        <v>168</v>
      </c>
      <c r="L595" s="1">
        <v>56</v>
      </c>
      <c r="M595" s="1">
        <v>411</v>
      </c>
      <c r="N595" s="1">
        <v>976</v>
      </c>
      <c r="O595" s="1">
        <v>252</v>
      </c>
      <c r="P595" s="1">
        <v>256</v>
      </c>
      <c r="Q595" s="1">
        <v>395</v>
      </c>
      <c r="R595" s="1">
        <v>766</v>
      </c>
      <c r="S595" s="1">
        <f>SUM(ecommerce_sales_all_data[[#This Row],[sales_month_1]:[sales_month_12]])</f>
        <v>4922</v>
      </c>
      <c r="T595" s="3">
        <f t="shared" si="118"/>
        <v>7572.7300000000005</v>
      </c>
      <c r="U595" s="3">
        <f t="shared" si="119"/>
        <v>126799.20000000001</v>
      </c>
      <c r="V595" s="3">
        <f t="shared" si="120"/>
        <v>124685.88</v>
      </c>
      <c r="W595" s="3">
        <f t="shared" si="121"/>
        <v>30114.81</v>
      </c>
      <c r="X595" s="3">
        <f t="shared" si="122"/>
        <v>29586.480000000003</v>
      </c>
      <c r="Y595" s="3">
        <f t="shared" si="123"/>
        <v>9862.16</v>
      </c>
      <c r="Z595" s="3">
        <f t="shared" si="124"/>
        <v>72381.210000000006</v>
      </c>
      <c r="AA595" s="3">
        <f t="shared" si="125"/>
        <v>171883.36000000002</v>
      </c>
      <c r="AB595" s="3">
        <f t="shared" si="126"/>
        <v>44379.72</v>
      </c>
      <c r="AC595" s="3">
        <f t="shared" si="127"/>
        <v>45084.160000000003</v>
      </c>
      <c r="AD595" s="3">
        <f t="shared" si="128"/>
        <v>69563.450000000012</v>
      </c>
      <c r="AE595" s="3">
        <f t="shared" si="129"/>
        <v>134900.26</v>
      </c>
      <c r="AF595" s="3">
        <f>SUM(ecommerce_sales_all_data[[#This Row],[revenue_month_1]:[revenue_month_12]])</f>
        <v>866813.42000000016</v>
      </c>
    </row>
    <row r="596" spans="1:32" x14ac:dyDescent="0.3">
      <c r="A596">
        <v>595</v>
      </c>
      <c r="B596" t="s">
        <v>619</v>
      </c>
      <c r="C596" t="s">
        <v>26</v>
      </c>
      <c r="D596" s="2">
        <v>448.91</v>
      </c>
      <c r="E596">
        <v>3.9</v>
      </c>
      <c r="F596">
        <v>817</v>
      </c>
      <c r="G596" s="1">
        <v>136</v>
      </c>
      <c r="H596" s="1">
        <v>354</v>
      </c>
      <c r="I596" s="1">
        <v>981</v>
      </c>
      <c r="J596" s="1">
        <v>382</v>
      </c>
      <c r="K596" s="1">
        <v>680</v>
      </c>
      <c r="L596" s="1">
        <v>722</v>
      </c>
      <c r="M596" s="1">
        <v>672</v>
      </c>
      <c r="N596" s="1">
        <v>51</v>
      </c>
      <c r="O596" s="1">
        <v>18</v>
      </c>
      <c r="P596" s="1">
        <v>532</v>
      </c>
      <c r="Q596" s="1">
        <v>350</v>
      </c>
      <c r="R596" s="1">
        <v>949</v>
      </c>
      <c r="S596" s="1">
        <f>SUM(ecommerce_sales_all_data[[#This Row],[sales_month_1]:[sales_month_12]])</f>
        <v>5827</v>
      </c>
      <c r="T596" s="3">
        <f t="shared" si="118"/>
        <v>61051.76</v>
      </c>
      <c r="U596" s="3">
        <f t="shared" si="119"/>
        <v>158914.14000000001</v>
      </c>
      <c r="V596" s="3">
        <f t="shared" si="120"/>
        <v>440380.71</v>
      </c>
      <c r="W596" s="3">
        <f t="shared" si="121"/>
        <v>171483.62</v>
      </c>
      <c r="X596" s="3">
        <f t="shared" si="122"/>
        <v>305258.8</v>
      </c>
      <c r="Y596" s="3">
        <f t="shared" si="123"/>
        <v>324113.02</v>
      </c>
      <c r="Z596" s="3">
        <f t="shared" si="124"/>
        <v>301667.52</v>
      </c>
      <c r="AA596" s="3">
        <f t="shared" si="125"/>
        <v>22894.41</v>
      </c>
      <c r="AB596" s="3">
        <f t="shared" si="126"/>
        <v>8080.38</v>
      </c>
      <c r="AC596" s="3">
        <f t="shared" si="127"/>
        <v>238820.12000000002</v>
      </c>
      <c r="AD596" s="3">
        <f t="shared" si="128"/>
        <v>157118.5</v>
      </c>
      <c r="AE596" s="3">
        <f t="shared" si="129"/>
        <v>426015.59</v>
      </c>
      <c r="AF596" s="3">
        <f>SUM(ecommerce_sales_all_data[[#This Row],[revenue_month_1]:[revenue_month_12]])</f>
        <v>2615798.5699999998</v>
      </c>
    </row>
    <row r="597" spans="1:32" x14ac:dyDescent="0.3">
      <c r="A597">
        <v>596</v>
      </c>
      <c r="B597" t="s">
        <v>620</v>
      </c>
      <c r="C597" t="s">
        <v>26</v>
      </c>
      <c r="D597" s="2">
        <v>239.61</v>
      </c>
      <c r="E597">
        <v>3.3</v>
      </c>
      <c r="F597">
        <v>553</v>
      </c>
      <c r="G597" s="1">
        <v>420</v>
      </c>
      <c r="H597" s="1">
        <v>484</v>
      </c>
      <c r="I597" s="1">
        <v>569</v>
      </c>
      <c r="J597" s="1">
        <v>133</v>
      </c>
      <c r="K597" s="1">
        <v>662</v>
      </c>
      <c r="L597" s="1">
        <v>779</v>
      </c>
      <c r="M597" s="1">
        <v>618</v>
      </c>
      <c r="N597" s="1">
        <v>602</v>
      </c>
      <c r="O597" s="1">
        <v>711</v>
      </c>
      <c r="P597" s="1">
        <v>978</v>
      </c>
      <c r="Q597" s="1">
        <v>415</v>
      </c>
      <c r="R597" s="1">
        <v>10</v>
      </c>
      <c r="S597" s="1">
        <f>SUM(ecommerce_sales_all_data[[#This Row],[sales_month_1]:[sales_month_12]])</f>
        <v>6381</v>
      </c>
      <c r="T597" s="3">
        <f t="shared" si="118"/>
        <v>100636.20000000001</v>
      </c>
      <c r="U597" s="3">
        <f t="shared" si="119"/>
        <v>115971.24</v>
      </c>
      <c r="V597" s="3">
        <f t="shared" si="120"/>
        <v>136338.09</v>
      </c>
      <c r="W597" s="3">
        <f t="shared" si="121"/>
        <v>31868.13</v>
      </c>
      <c r="X597" s="3">
        <f t="shared" si="122"/>
        <v>158621.82</v>
      </c>
      <c r="Y597" s="3">
        <f t="shared" si="123"/>
        <v>186656.19</v>
      </c>
      <c r="Z597" s="3">
        <f t="shared" si="124"/>
        <v>148078.98000000001</v>
      </c>
      <c r="AA597" s="3">
        <f t="shared" si="125"/>
        <v>144245.22</v>
      </c>
      <c r="AB597" s="3">
        <f t="shared" si="126"/>
        <v>170362.71000000002</v>
      </c>
      <c r="AC597" s="3">
        <f t="shared" si="127"/>
        <v>234338.58000000002</v>
      </c>
      <c r="AD597" s="3">
        <f t="shared" si="128"/>
        <v>99438.150000000009</v>
      </c>
      <c r="AE597" s="3">
        <f t="shared" si="129"/>
        <v>2396.1000000000004</v>
      </c>
      <c r="AF597" s="3">
        <f>SUM(ecommerce_sales_all_data[[#This Row],[revenue_month_1]:[revenue_month_12]])</f>
        <v>1528951.41</v>
      </c>
    </row>
    <row r="598" spans="1:32" x14ac:dyDescent="0.3">
      <c r="A598">
        <v>597</v>
      </c>
      <c r="B598" t="s">
        <v>621</v>
      </c>
      <c r="C598" t="s">
        <v>35</v>
      </c>
      <c r="D598" s="2">
        <v>335.44</v>
      </c>
      <c r="E598">
        <v>2.1</v>
      </c>
      <c r="F598">
        <v>529</v>
      </c>
      <c r="G598" s="1">
        <v>73</v>
      </c>
      <c r="H598" s="1">
        <v>210</v>
      </c>
      <c r="I598" s="1">
        <v>816</v>
      </c>
      <c r="J598" s="1">
        <v>425</v>
      </c>
      <c r="K598" s="1">
        <v>582</v>
      </c>
      <c r="L598" s="1">
        <v>209</v>
      </c>
      <c r="M598" s="1">
        <v>790</v>
      </c>
      <c r="N598" s="1">
        <v>288</v>
      </c>
      <c r="O598" s="1">
        <v>731</v>
      </c>
      <c r="P598" s="1">
        <v>532</v>
      </c>
      <c r="Q598" s="1">
        <v>885</v>
      </c>
      <c r="R598" s="1">
        <v>948</v>
      </c>
      <c r="S598" s="1">
        <f>SUM(ecommerce_sales_all_data[[#This Row],[sales_month_1]:[sales_month_12]])</f>
        <v>6489</v>
      </c>
      <c r="T598" s="3">
        <f t="shared" si="118"/>
        <v>24487.119999999999</v>
      </c>
      <c r="U598" s="3">
        <f t="shared" si="119"/>
        <v>70442.399999999994</v>
      </c>
      <c r="V598" s="3">
        <f t="shared" si="120"/>
        <v>273719.03999999998</v>
      </c>
      <c r="W598" s="3">
        <f t="shared" si="121"/>
        <v>142562</v>
      </c>
      <c r="X598" s="3">
        <f t="shared" si="122"/>
        <v>195226.08</v>
      </c>
      <c r="Y598" s="3">
        <f t="shared" si="123"/>
        <v>70106.960000000006</v>
      </c>
      <c r="Z598" s="3">
        <f t="shared" si="124"/>
        <v>264997.59999999998</v>
      </c>
      <c r="AA598" s="3">
        <f t="shared" si="125"/>
        <v>96606.720000000001</v>
      </c>
      <c r="AB598" s="3">
        <f t="shared" si="126"/>
        <v>245206.63999999998</v>
      </c>
      <c r="AC598" s="3">
        <f t="shared" si="127"/>
        <v>178454.08</v>
      </c>
      <c r="AD598" s="3">
        <f t="shared" si="128"/>
        <v>296864.40000000002</v>
      </c>
      <c r="AE598" s="3">
        <f t="shared" si="129"/>
        <v>317997.12</v>
      </c>
      <c r="AF598" s="3">
        <f>SUM(ecommerce_sales_all_data[[#This Row],[revenue_month_1]:[revenue_month_12]])</f>
        <v>2176670.16</v>
      </c>
    </row>
    <row r="599" spans="1:32" x14ac:dyDescent="0.3">
      <c r="A599">
        <v>598</v>
      </c>
      <c r="B599" t="s">
        <v>622</v>
      </c>
      <c r="C599" t="s">
        <v>48</v>
      </c>
      <c r="D599" s="2">
        <v>90.3</v>
      </c>
      <c r="E599">
        <v>1.3</v>
      </c>
      <c r="F599">
        <v>856</v>
      </c>
      <c r="G599" s="1">
        <v>547</v>
      </c>
      <c r="H599" s="1">
        <v>703</v>
      </c>
      <c r="I599" s="1">
        <v>406</v>
      </c>
      <c r="J599" s="1">
        <v>24</v>
      </c>
      <c r="K599" s="1">
        <v>514</v>
      </c>
      <c r="L599" s="1">
        <v>528</v>
      </c>
      <c r="M599" s="1">
        <v>864</v>
      </c>
      <c r="N599" s="1">
        <v>336</v>
      </c>
      <c r="O599" s="1">
        <v>135</v>
      </c>
      <c r="P599" s="1">
        <v>51</v>
      </c>
      <c r="Q599" s="1">
        <v>915</v>
      </c>
      <c r="R599" s="1">
        <v>7</v>
      </c>
      <c r="S599" s="1">
        <f>SUM(ecommerce_sales_all_data[[#This Row],[sales_month_1]:[sales_month_12]])</f>
        <v>5030</v>
      </c>
      <c r="T599" s="3">
        <f t="shared" si="118"/>
        <v>49394.1</v>
      </c>
      <c r="U599" s="3">
        <f t="shared" si="119"/>
        <v>63480.9</v>
      </c>
      <c r="V599" s="3">
        <f t="shared" si="120"/>
        <v>36661.799999999996</v>
      </c>
      <c r="W599" s="3">
        <f t="shared" si="121"/>
        <v>2167.1999999999998</v>
      </c>
      <c r="X599" s="3">
        <f t="shared" si="122"/>
        <v>46414.2</v>
      </c>
      <c r="Y599" s="3">
        <f t="shared" si="123"/>
        <v>47678.400000000001</v>
      </c>
      <c r="Z599" s="3">
        <f t="shared" si="124"/>
        <v>78019.199999999997</v>
      </c>
      <c r="AA599" s="3">
        <f t="shared" si="125"/>
        <v>30340.799999999999</v>
      </c>
      <c r="AB599" s="3">
        <f t="shared" si="126"/>
        <v>12190.5</v>
      </c>
      <c r="AC599" s="3">
        <f t="shared" si="127"/>
        <v>4605.3</v>
      </c>
      <c r="AD599" s="3">
        <f t="shared" si="128"/>
        <v>82624.5</v>
      </c>
      <c r="AE599" s="3">
        <f t="shared" si="129"/>
        <v>632.1</v>
      </c>
      <c r="AF599" s="3">
        <f>SUM(ecommerce_sales_all_data[[#This Row],[revenue_month_1]:[revenue_month_12]])</f>
        <v>454208.99999999994</v>
      </c>
    </row>
    <row r="600" spans="1:32" x14ac:dyDescent="0.3">
      <c r="A600">
        <v>599</v>
      </c>
      <c r="B600" t="s">
        <v>623</v>
      </c>
      <c r="C600" t="s">
        <v>21</v>
      </c>
      <c r="D600" s="2">
        <v>100.18</v>
      </c>
      <c r="E600">
        <v>1.3</v>
      </c>
      <c r="F600">
        <v>789</v>
      </c>
      <c r="G600" s="1">
        <v>612</v>
      </c>
      <c r="H600" s="1">
        <v>43</v>
      </c>
      <c r="I600" s="1">
        <v>216</v>
      </c>
      <c r="J600" s="1">
        <v>502</v>
      </c>
      <c r="K600" s="1">
        <v>313</v>
      </c>
      <c r="L600" s="1">
        <v>797</v>
      </c>
      <c r="M600" s="1">
        <v>746</v>
      </c>
      <c r="N600" s="1">
        <v>809</v>
      </c>
      <c r="O600" s="1">
        <v>222</v>
      </c>
      <c r="P600" s="1">
        <v>337</v>
      </c>
      <c r="Q600" s="1">
        <v>886</v>
      </c>
      <c r="R600" s="1">
        <v>408</v>
      </c>
      <c r="S600" s="1">
        <f>SUM(ecommerce_sales_all_data[[#This Row],[sales_month_1]:[sales_month_12]])</f>
        <v>5891</v>
      </c>
      <c r="T600" s="3">
        <f t="shared" si="118"/>
        <v>61310.16</v>
      </c>
      <c r="U600" s="3">
        <f t="shared" si="119"/>
        <v>4307.7400000000007</v>
      </c>
      <c r="V600" s="3">
        <f t="shared" si="120"/>
        <v>21638.880000000001</v>
      </c>
      <c r="W600" s="3">
        <f t="shared" si="121"/>
        <v>50290.36</v>
      </c>
      <c r="X600" s="3">
        <f t="shared" si="122"/>
        <v>31356.340000000004</v>
      </c>
      <c r="Y600" s="3">
        <f t="shared" si="123"/>
        <v>79843.460000000006</v>
      </c>
      <c r="Z600" s="3">
        <f t="shared" si="124"/>
        <v>74734.28</v>
      </c>
      <c r="AA600" s="3">
        <f t="shared" si="125"/>
        <v>81045.62000000001</v>
      </c>
      <c r="AB600" s="3">
        <f t="shared" si="126"/>
        <v>22239.960000000003</v>
      </c>
      <c r="AC600" s="3">
        <f t="shared" si="127"/>
        <v>33760.660000000003</v>
      </c>
      <c r="AD600" s="3">
        <f t="shared" si="128"/>
        <v>88759.48000000001</v>
      </c>
      <c r="AE600" s="3">
        <f t="shared" si="129"/>
        <v>40873.440000000002</v>
      </c>
      <c r="AF600" s="3">
        <f>SUM(ecommerce_sales_all_data[[#This Row],[revenue_month_1]:[revenue_month_12]])</f>
        <v>590160.37999999989</v>
      </c>
    </row>
    <row r="601" spans="1:32" x14ac:dyDescent="0.3">
      <c r="A601">
        <v>600</v>
      </c>
      <c r="B601" t="s">
        <v>624</v>
      </c>
      <c r="C601" t="s">
        <v>26</v>
      </c>
      <c r="D601" s="2">
        <v>25.23</v>
      </c>
      <c r="E601">
        <v>4.5999999999999996</v>
      </c>
      <c r="F601">
        <v>819</v>
      </c>
      <c r="G601" s="1">
        <v>987</v>
      </c>
      <c r="H601" s="1">
        <v>540</v>
      </c>
      <c r="I601" s="1">
        <v>929</v>
      </c>
      <c r="J601" s="1">
        <v>184</v>
      </c>
      <c r="K601" s="1">
        <v>31</v>
      </c>
      <c r="L601" s="1">
        <v>343</v>
      </c>
      <c r="M601" s="1">
        <v>17</v>
      </c>
      <c r="N601" s="1">
        <v>203</v>
      </c>
      <c r="O601" s="1">
        <v>2</v>
      </c>
      <c r="P601" s="1">
        <v>170</v>
      </c>
      <c r="Q601" s="1">
        <v>50</v>
      </c>
      <c r="R601" s="1">
        <v>935</v>
      </c>
      <c r="S601" s="1">
        <f>SUM(ecommerce_sales_all_data[[#This Row],[sales_month_1]:[sales_month_12]])</f>
        <v>4391</v>
      </c>
      <c r="T601" s="3">
        <f t="shared" si="118"/>
        <v>24902.010000000002</v>
      </c>
      <c r="U601" s="3">
        <f t="shared" si="119"/>
        <v>13624.2</v>
      </c>
      <c r="V601" s="3">
        <f t="shared" si="120"/>
        <v>23438.670000000002</v>
      </c>
      <c r="W601" s="3">
        <f t="shared" si="121"/>
        <v>4642.32</v>
      </c>
      <c r="X601" s="3">
        <f t="shared" si="122"/>
        <v>782.13</v>
      </c>
      <c r="Y601" s="3">
        <f t="shared" si="123"/>
        <v>8653.89</v>
      </c>
      <c r="Z601" s="3">
        <f t="shared" si="124"/>
        <v>428.91</v>
      </c>
      <c r="AA601" s="3">
        <f t="shared" si="125"/>
        <v>5121.6900000000005</v>
      </c>
      <c r="AB601" s="3">
        <f t="shared" si="126"/>
        <v>50.46</v>
      </c>
      <c r="AC601" s="3">
        <f t="shared" si="127"/>
        <v>4289.1000000000004</v>
      </c>
      <c r="AD601" s="3">
        <f t="shared" si="128"/>
        <v>1261.5</v>
      </c>
      <c r="AE601" s="3">
        <f t="shared" si="129"/>
        <v>23590.05</v>
      </c>
      <c r="AF601" s="3">
        <f>SUM(ecommerce_sales_all_data[[#This Row],[revenue_month_1]:[revenue_month_12]])</f>
        <v>110784.93000000004</v>
      </c>
    </row>
    <row r="602" spans="1:32" x14ac:dyDescent="0.3">
      <c r="A602">
        <v>601</v>
      </c>
      <c r="B602" t="s">
        <v>625</v>
      </c>
      <c r="C602" t="s">
        <v>19</v>
      </c>
      <c r="D602" s="2">
        <v>88.62</v>
      </c>
      <c r="E602">
        <v>1.8</v>
      </c>
      <c r="F602">
        <v>571</v>
      </c>
      <c r="G602" s="1">
        <v>511</v>
      </c>
      <c r="H602" s="1">
        <v>570</v>
      </c>
      <c r="I602" s="1">
        <v>25</v>
      </c>
      <c r="J602" s="1">
        <v>84</v>
      </c>
      <c r="K602" s="1">
        <v>286</v>
      </c>
      <c r="L602" s="1">
        <v>714</v>
      </c>
      <c r="M602" s="1">
        <v>753</v>
      </c>
      <c r="N602" s="1">
        <v>879</v>
      </c>
      <c r="O602" s="1">
        <v>962</v>
      </c>
      <c r="P602" s="1">
        <v>947</v>
      </c>
      <c r="Q602" s="1">
        <v>80</v>
      </c>
      <c r="R602" s="1">
        <v>31</v>
      </c>
      <c r="S602" s="1">
        <f>SUM(ecommerce_sales_all_data[[#This Row],[sales_month_1]:[sales_month_12]])</f>
        <v>5842</v>
      </c>
      <c r="T602" s="3">
        <f t="shared" si="118"/>
        <v>45284.82</v>
      </c>
      <c r="U602" s="3">
        <f t="shared" si="119"/>
        <v>50513.4</v>
      </c>
      <c r="V602" s="3">
        <f t="shared" si="120"/>
        <v>2215.5</v>
      </c>
      <c r="W602" s="3">
        <f t="shared" si="121"/>
        <v>7444.08</v>
      </c>
      <c r="X602" s="3">
        <f t="shared" si="122"/>
        <v>25345.32</v>
      </c>
      <c r="Y602" s="3">
        <f t="shared" si="123"/>
        <v>63274.68</v>
      </c>
      <c r="Z602" s="3">
        <f t="shared" si="124"/>
        <v>66730.86</v>
      </c>
      <c r="AA602" s="3">
        <f t="shared" si="125"/>
        <v>77896.98000000001</v>
      </c>
      <c r="AB602" s="3">
        <f t="shared" si="126"/>
        <v>85252.44</v>
      </c>
      <c r="AC602" s="3">
        <f t="shared" si="127"/>
        <v>83923.14</v>
      </c>
      <c r="AD602" s="3">
        <f t="shared" si="128"/>
        <v>7089.6</v>
      </c>
      <c r="AE602" s="3">
        <f t="shared" si="129"/>
        <v>2747.2200000000003</v>
      </c>
      <c r="AF602" s="3">
        <f>SUM(ecommerce_sales_all_data[[#This Row],[revenue_month_1]:[revenue_month_12]])</f>
        <v>517718.04</v>
      </c>
    </row>
    <row r="603" spans="1:32" x14ac:dyDescent="0.3">
      <c r="A603">
        <v>602</v>
      </c>
      <c r="B603" t="s">
        <v>626</v>
      </c>
      <c r="C603" t="s">
        <v>23</v>
      </c>
      <c r="D603" s="2">
        <v>142.9</v>
      </c>
      <c r="E603">
        <v>2.2999999999999998</v>
      </c>
      <c r="F603">
        <v>935</v>
      </c>
      <c r="G603" s="1">
        <v>155</v>
      </c>
      <c r="H603" s="1">
        <v>582</v>
      </c>
      <c r="I603" s="1">
        <v>814</v>
      </c>
      <c r="J603" s="1">
        <v>566</v>
      </c>
      <c r="K603" s="1">
        <v>593</v>
      </c>
      <c r="L603" s="1">
        <v>610</v>
      </c>
      <c r="M603" s="1">
        <v>116</v>
      </c>
      <c r="N603" s="1">
        <v>237</v>
      </c>
      <c r="O603" s="1">
        <v>235</v>
      </c>
      <c r="P603" s="1">
        <v>66</v>
      </c>
      <c r="Q603" s="1">
        <v>35</v>
      </c>
      <c r="R603" s="1">
        <v>983</v>
      </c>
      <c r="S603" s="1">
        <f>SUM(ecommerce_sales_all_data[[#This Row],[sales_month_1]:[sales_month_12]])</f>
        <v>4992</v>
      </c>
      <c r="T603" s="3">
        <f t="shared" si="118"/>
        <v>22149.5</v>
      </c>
      <c r="U603" s="3">
        <f t="shared" si="119"/>
        <v>83167.8</v>
      </c>
      <c r="V603" s="3">
        <f t="shared" si="120"/>
        <v>116320.6</v>
      </c>
      <c r="W603" s="3">
        <f t="shared" si="121"/>
        <v>80881.400000000009</v>
      </c>
      <c r="X603" s="3">
        <f t="shared" si="122"/>
        <v>84739.7</v>
      </c>
      <c r="Y603" s="3">
        <f t="shared" si="123"/>
        <v>87169</v>
      </c>
      <c r="Z603" s="3">
        <f t="shared" si="124"/>
        <v>16576.400000000001</v>
      </c>
      <c r="AA603" s="3">
        <f t="shared" si="125"/>
        <v>33867.300000000003</v>
      </c>
      <c r="AB603" s="3">
        <f t="shared" si="126"/>
        <v>33581.5</v>
      </c>
      <c r="AC603" s="3">
        <f t="shared" si="127"/>
        <v>9431.4</v>
      </c>
      <c r="AD603" s="3">
        <f t="shared" si="128"/>
        <v>5001.5</v>
      </c>
      <c r="AE603" s="3">
        <f t="shared" si="129"/>
        <v>140470.70000000001</v>
      </c>
      <c r="AF603" s="3">
        <f>SUM(ecommerce_sales_all_data[[#This Row],[revenue_month_1]:[revenue_month_12]])</f>
        <v>713356.80000000005</v>
      </c>
    </row>
    <row r="604" spans="1:32" x14ac:dyDescent="0.3">
      <c r="A604">
        <v>603</v>
      </c>
      <c r="B604" t="s">
        <v>627</v>
      </c>
      <c r="C604" t="s">
        <v>29</v>
      </c>
      <c r="D604" s="2">
        <v>92.62</v>
      </c>
      <c r="E604">
        <v>1.9</v>
      </c>
      <c r="F604">
        <v>183</v>
      </c>
      <c r="G604" s="1">
        <v>937</v>
      </c>
      <c r="H604" s="1">
        <v>91</v>
      </c>
      <c r="I604" s="1">
        <v>4</v>
      </c>
      <c r="J604" s="1">
        <v>762</v>
      </c>
      <c r="K604" s="1">
        <v>42</v>
      </c>
      <c r="L604" s="1">
        <v>278</v>
      </c>
      <c r="M604" s="1">
        <v>797</v>
      </c>
      <c r="N604" s="1">
        <v>381</v>
      </c>
      <c r="O604" s="1">
        <v>853</v>
      </c>
      <c r="P604" s="1">
        <v>624</v>
      </c>
      <c r="Q604" s="1">
        <v>66</v>
      </c>
      <c r="R604" s="1">
        <v>539</v>
      </c>
      <c r="S604" s="1">
        <f>SUM(ecommerce_sales_all_data[[#This Row],[sales_month_1]:[sales_month_12]])</f>
        <v>5374</v>
      </c>
      <c r="T604" s="3">
        <f t="shared" si="118"/>
        <v>86784.94</v>
      </c>
      <c r="U604" s="3">
        <f t="shared" si="119"/>
        <v>8428.42</v>
      </c>
      <c r="V604" s="3">
        <f t="shared" si="120"/>
        <v>370.48</v>
      </c>
      <c r="W604" s="3">
        <f t="shared" si="121"/>
        <v>70576.44</v>
      </c>
      <c r="X604" s="3">
        <f t="shared" si="122"/>
        <v>3890.04</v>
      </c>
      <c r="Y604" s="3">
        <f t="shared" si="123"/>
        <v>25748.36</v>
      </c>
      <c r="Z604" s="3">
        <f t="shared" si="124"/>
        <v>73818.14</v>
      </c>
      <c r="AA604" s="3">
        <f t="shared" si="125"/>
        <v>35288.22</v>
      </c>
      <c r="AB604" s="3">
        <f t="shared" si="126"/>
        <v>79004.86</v>
      </c>
      <c r="AC604" s="3">
        <f t="shared" si="127"/>
        <v>57794.880000000005</v>
      </c>
      <c r="AD604" s="3">
        <f t="shared" si="128"/>
        <v>6112.92</v>
      </c>
      <c r="AE604" s="3">
        <f t="shared" si="129"/>
        <v>49922.18</v>
      </c>
      <c r="AF604" s="3">
        <f>SUM(ecommerce_sales_all_data[[#This Row],[revenue_month_1]:[revenue_month_12]])</f>
        <v>497739.88</v>
      </c>
    </row>
    <row r="605" spans="1:32" x14ac:dyDescent="0.3">
      <c r="A605">
        <v>604</v>
      </c>
      <c r="B605" t="s">
        <v>628</v>
      </c>
      <c r="C605" t="s">
        <v>21</v>
      </c>
      <c r="D605" s="2">
        <v>48.91</v>
      </c>
      <c r="E605">
        <v>2.4</v>
      </c>
      <c r="F605">
        <v>41</v>
      </c>
      <c r="G605" s="1">
        <v>254</v>
      </c>
      <c r="H605" s="1">
        <v>264</v>
      </c>
      <c r="I605" s="1">
        <v>985</v>
      </c>
      <c r="J605" s="1">
        <v>143</v>
      </c>
      <c r="K605" s="1">
        <v>902</v>
      </c>
      <c r="L605" s="1">
        <v>208</v>
      </c>
      <c r="M605" s="1">
        <v>793</v>
      </c>
      <c r="N605" s="1">
        <v>666</v>
      </c>
      <c r="O605" s="1">
        <v>464</v>
      </c>
      <c r="P605" s="1">
        <v>299</v>
      </c>
      <c r="Q605" s="1">
        <v>640</v>
      </c>
      <c r="R605" s="1">
        <v>717</v>
      </c>
      <c r="S605" s="1">
        <f>SUM(ecommerce_sales_all_data[[#This Row],[sales_month_1]:[sales_month_12]])</f>
        <v>6335</v>
      </c>
      <c r="T605" s="3">
        <f t="shared" si="118"/>
        <v>12423.14</v>
      </c>
      <c r="U605" s="3">
        <f t="shared" si="119"/>
        <v>12912.24</v>
      </c>
      <c r="V605" s="3">
        <f t="shared" si="120"/>
        <v>48176.35</v>
      </c>
      <c r="W605" s="3">
        <f t="shared" si="121"/>
        <v>6994.1299999999992</v>
      </c>
      <c r="X605" s="3">
        <f t="shared" si="122"/>
        <v>44116.82</v>
      </c>
      <c r="Y605" s="3">
        <f t="shared" si="123"/>
        <v>10173.279999999999</v>
      </c>
      <c r="Z605" s="3">
        <f t="shared" si="124"/>
        <v>38785.629999999997</v>
      </c>
      <c r="AA605" s="3">
        <f t="shared" si="125"/>
        <v>32574.059999999998</v>
      </c>
      <c r="AB605" s="3">
        <f t="shared" si="126"/>
        <v>22694.239999999998</v>
      </c>
      <c r="AC605" s="3">
        <f t="shared" si="127"/>
        <v>14624.089999999998</v>
      </c>
      <c r="AD605" s="3">
        <f t="shared" si="128"/>
        <v>31302.399999999998</v>
      </c>
      <c r="AE605" s="3">
        <f t="shared" si="129"/>
        <v>35068.47</v>
      </c>
      <c r="AF605" s="3">
        <f>SUM(ecommerce_sales_all_data[[#This Row],[revenue_month_1]:[revenue_month_12]])</f>
        <v>309844.84999999998</v>
      </c>
    </row>
    <row r="606" spans="1:32" x14ac:dyDescent="0.3">
      <c r="A606">
        <v>605</v>
      </c>
      <c r="B606" t="s">
        <v>629</v>
      </c>
      <c r="C606" t="s">
        <v>29</v>
      </c>
      <c r="D606" s="2">
        <v>64.709999999999994</v>
      </c>
      <c r="E606">
        <v>1.3</v>
      </c>
      <c r="F606">
        <v>551</v>
      </c>
      <c r="G606" s="1">
        <v>170</v>
      </c>
      <c r="H606" s="1">
        <v>894</v>
      </c>
      <c r="I606" s="1">
        <v>531</v>
      </c>
      <c r="J606" s="1">
        <v>862</v>
      </c>
      <c r="K606" s="1">
        <v>616</v>
      </c>
      <c r="L606" s="1">
        <v>640</v>
      </c>
      <c r="M606" s="1">
        <v>143</v>
      </c>
      <c r="N606" s="1">
        <v>751</v>
      </c>
      <c r="O606" s="1">
        <v>227</v>
      </c>
      <c r="P606" s="1">
        <v>671</v>
      </c>
      <c r="Q606" s="1">
        <v>881</v>
      </c>
      <c r="R606" s="1">
        <v>386</v>
      </c>
      <c r="S606" s="1">
        <f>SUM(ecommerce_sales_all_data[[#This Row],[sales_month_1]:[sales_month_12]])</f>
        <v>6772</v>
      </c>
      <c r="T606" s="3">
        <f t="shared" si="118"/>
        <v>11000.699999999999</v>
      </c>
      <c r="U606" s="3">
        <f t="shared" si="119"/>
        <v>57850.74</v>
      </c>
      <c r="V606" s="3">
        <f t="shared" si="120"/>
        <v>34361.009999999995</v>
      </c>
      <c r="W606" s="3">
        <f t="shared" si="121"/>
        <v>55780.02</v>
      </c>
      <c r="X606" s="3">
        <f t="shared" si="122"/>
        <v>39861.359999999993</v>
      </c>
      <c r="Y606" s="3">
        <f t="shared" si="123"/>
        <v>41414.399999999994</v>
      </c>
      <c r="Z606" s="3">
        <f t="shared" si="124"/>
        <v>9253.5299999999988</v>
      </c>
      <c r="AA606" s="3">
        <f t="shared" si="125"/>
        <v>48597.209999999992</v>
      </c>
      <c r="AB606" s="3">
        <f t="shared" si="126"/>
        <v>14689.169999999998</v>
      </c>
      <c r="AC606" s="3">
        <f t="shared" si="127"/>
        <v>43420.409999999996</v>
      </c>
      <c r="AD606" s="3">
        <f t="shared" si="128"/>
        <v>57009.509999999995</v>
      </c>
      <c r="AE606" s="3">
        <f t="shared" si="129"/>
        <v>24978.059999999998</v>
      </c>
      <c r="AF606" s="3">
        <f>SUM(ecommerce_sales_all_data[[#This Row],[revenue_month_1]:[revenue_month_12]])</f>
        <v>438216.11999999994</v>
      </c>
    </row>
    <row r="607" spans="1:32" x14ac:dyDescent="0.3">
      <c r="A607">
        <v>606</v>
      </c>
      <c r="B607" t="s">
        <v>630</v>
      </c>
      <c r="C607" t="s">
        <v>23</v>
      </c>
      <c r="D607" s="2">
        <v>233.09</v>
      </c>
      <c r="E607">
        <v>3.1</v>
      </c>
      <c r="F607">
        <v>397</v>
      </c>
      <c r="G607" s="1">
        <v>980</v>
      </c>
      <c r="H607" s="1">
        <v>219</v>
      </c>
      <c r="I607" s="1">
        <v>389</v>
      </c>
      <c r="J607" s="1">
        <v>909</v>
      </c>
      <c r="K607" s="1">
        <v>0</v>
      </c>
      <c r="L607" s="1">
        <v>334</v>
      </c>
      <c r="M607" s="1">
        <v>716</v>
      </c>
      <c r="N607" s="1">
        <v>135</v>
      </c>
      <c r="O607" s="1">
        <v>912</v>
      </c>
      <c r="P607" s="1">
        <v>777</v>
      </c>
      <c r="Q607" s="1">
        <v>666</v>
      </c>
      <c r="R607" s="1">
        <v>227</v>
      </c>
      <c r="S607" s="1">
        <f>SUM(ecommerce_sales_all_data[[#This Row],[sales_month_1]:[sales_month_12]])</f>
        <v>6264</v>
      </c>
      <c r="T607" s="3">
        <f t="shared" si="118"/>
        <v>228428.2</v>
      </c>
      <c r="U607" s="3">
        <f t="shared" si="119"/>
        <v>51046.71</v>
      </c>
      <c r="V607" s="3">
        <f t="shared" si="120"/>
        <v>90672.01</v>
      </c>
      <c r="W607" s="3">
        <f t="shared" si="121"/>
        <v>211878.81</v>
      </c>
      <c r="X607" s="3">
        <f t="shared" si="122"/>
        <v>0</v>
      </c>
      <c r="Y607" s="3">
        <f t="shared" si="123"/>
        <v>77852.06</v>
      </c>
      <c r="Z607" s="3">
        <f t="shared" si="124"/>
        <v>166892.44</v>
      </c>
      <c r="AA607" s="3">
        <f t="shared" si="125"/>
        <v>31467.15</v>
      </c>
      <c r="AB607" s="3">
        <f t="shared" si="126"/>
        <v>212578.08000000002</v>
      </c>
      <c r="AC607" s="3">
        <f t="shared" si="127"/>
        <v>181110.93</v>
      </c>
      <c r="AD607" s="3">
        <f t="shared" si="128"/>
        <v>155237.94</v>
      </c>
      <c r="AE607" s="3">
        <f t="shared" si="129"/>
        <v>52911.43</v>
      </c>
      <c r="AF607" s="3">
        <f>SUM(ecommerce_sales_all_data[[#This Row],[revenue_month_1]:[revenue_month_12]])</f>
        <v>1460075.7599999998</v>
      </c>
    </row>
    <row r="608" spans="1:32" x14ac:dyDescent="0.3">
      <c r="A608">
        <v>607</v>
      </c>
      <c r="B608" t="s">
        <v>631</v>
      </c>
      <c r="C608" t="s">
        <v>21</v>
      </c>
      <c r="D608" s="2">
        <v>107.14</v>
      </c>
      <c r="E608">
        <v>1.3</v>
      </c>
      <c r="F608">
        <v>704</v>
      </c>
      <c r="G608" s="1">
        <v>727</v>
      </c>
      <c r="H608" s="1">
        <v>901</v>
      </c>
      <c r="I608" s="1">
        <v>709</v>
      </c>
      <c r="J608" s="1">
        <v>678</v>
      </c>
      <c r="K608" s="1">
        <v>572</v>
      </c>
      <c r="L608" s="1">
        <v>287</v>
      </c>
      <c r="M608" s="1">
        <v>550</v>
      </c>
      <c r="N608" s="1">
        <v>406</v>
      </c>
      <c r="O608" s="1">
        <v>653</v>
      </c>
      <c r="P608" s="1">
        <v>831</v>
      </c>
      <c r="Q608" s="1">
        <v>756</v>
      </c>
      <c r="R608" s="1">
        <v>639</v>
      </c>
      <c r="S608" s="1">
        <f>SUM(ecommerce_sales_all_data[[#This Row],[sales_month_1]:[sales_month_12]])</f>
        <v>7709</v>
      </c>
      <c r="T608" s="3">
        <f t="shared" si="118"/>
        <v>77890.78</v>
      </c>
      <c r="U608" s="3">
        <f t="shared" si="119"/>
        <v>96533.14</v>
      </c>
      <c r="V608" s="3">
        <f t="shared" si="120"/>
        <v>75962.259999999995</v>
      </c>
      <c r="W608" s="3">
        <f t="shared" si="121"/>
        <v>72640.92</v>
      </c>
      <c r="X608" s="3">
        <f t="shared" si="122"/>
        <v>61284.08</v>
      </c>
      <c r="Y608" s="3">
        <f t="shared" si="123"/>
        <v>30749.18</v>
      </c>
      <c r="Z608" s="3">
        <f t="shared" si="124"/>
        <v>58927</v>
      </c>
      <c r="AA608" s="3">
        <f t="shared" si="125"/>
        <v>43498.840000000004</v>
      </c>
      <c r="AB608" s="3">
        <f t="shared" si="126"/>
        <v>69962.42</v>
      </c>
      <c r="AC608" s="3">
        <f t="shared" si="127"/>
        <v>89033.34</v>
      </c>
      <c r="AD608" s="3">
        <f t="shared" si="128"/>
        <v>80997.84</v>
      </c>
      <c r="AE608" s="3">
        <f t="shared" si="129"/>
        <v>68462.460000000006</v>
      </c>
      <c r="AF608" s="3">
        <f>SUM(ecommerce_sales_all_data[[#This Row],[revenue_month_1]:[revenue_month_12]])</f>
        <v>825942.25999999989</v>
      </c>
    </row>
    <row r="609" spans="1:32" x14ac:dyDescent="0.3">
      <c r="A609">
        <v>608</v>
      </c>
      <c r="B609" t="s">
        <v>632</v>
      </c>
      <c r="C609" t="s">
        <v>23</v>
      </c>
      <c r="D609" s="2">
        <v>185.31</v>
      </c>
      <c r="E609">
        <v>4.2</v>
      </c>
      <c r="F609">
        <v>779</v>
      </c>
      <c r="G609" s="1">
        <v>169</v>
      </c>
      <c r="H609" s="1">
        <v>924</v>
      </c>
      <c r="I609" s="1">
        <v>570</v>
      </c>
      <c r="J609" s="1">
        <v>411</v>
      </c>
      <c r="K609" s="1">
        <v>269</v>
      </c>
      <c r="L609" s="1">
        <v>251</v>
      </c>
      <c r="M609" s="1">
        <v>928</v>
      </c>
      <c r="N609" s="1">
        <v>507</v>
      </c>
      <c r="O609" s="1">
        <v>498</v>
      </c>
      <c r="P609" s="1">
        <v>231</v>
      </c>
      <c r="Q609" s="1">
        <v>622</v>
      </c>
      <c r="R609" s="1">
        <v>766</v>
      </c>
      <c r="S609" s="1">
        <f>SUM(ecommerce_sales_all_data[[#This Row],[sales_month_1]:[sales_month_12]])</f>
        <v>6146</v>
      </c>
      <c r="T609" s="3">
        <f t="shared" si="118"/>
        <v>31317.39</v>
      </c>
      <c r="U609" s="3">
        <f t="shared" si="119"/>
        <v>171226.44</v>
      </c>
      <c r="V609" s="3">
        <f t="shared" si="120"/>
        <v>105626.7</v>
      </c>
      <c r="W609" s="3">
        <f t="shared" si="121"/>
        <v>76162.41</v>
      </c>
      <c r="X609" s="3">
        <f t="shared" si="122"/>
        <v>49848.39</v>
      </c>
      <c r="Y609" s="3">
        <f t="shared" si="123"/>
        <v>46512.81</v>
      </c>
      <c r="Z609" s="3">
        <f t="shared" si="124"/>
        <v>171967.68</v>
      </c>
      <c r="AA609" s="3">
        <f t="shared" si="125"/>
        <v>93952.17</v>
      </c>
      <c r="AB609" s="3">
        <f t="shared" si="126"/>
        <v>92284.38</v>
      </c>
      <c r="AC609" s="3">
        <f t="shared" si="127"/>
        <v>42806.61</v>
      </c>
      <c r="AD609" s="3">
        <f t="shared" si="128"/>
        <v>115262.82</v>
      </c>
      <c r="AE609" s="3">
        <f t="shared" si="129"/>
        <v>141947.46</v>
      </c>
      <c r="AF609" s="3">
        <f>SUM(ecommerce_sales_all_data[[#This Row],[revenue_month_1]:[revenue_month_12]])</f>
        <v>1138915.26</v>
      </c>
    </row>
    <row r="610" spans="1:32" x14ac:dyDescent="0.3">
      <c r="A610">
        <v>609</v>
      </c>
      <c r="B610" t="s">
        <v>633</v>
      </c>
      <c r="C610" t="s">
        <v>26</v>
      </c>
      <c r="D610" s="2">
        <v>254.19</v>
      </c>
      <c r="E610">
        <v>1.9</v>
      </c>
      <c r="F610">
        <v>494</v>
      </c>
      <c r="G610" s="1">
        <v>763</v>
      </c>
      <c r="H610" s="1">
        <v>441</v>
      </c>
      <c r="I610" s="1">
        <v>447</v>
      </c>
      <c r="J610" s="1">
        <v>223</v>
      </c>
      <c r="K610" s="1">
        <v>179</v>
      </c>
      <c r="L610" s="1">
        <v>264</v>
      </c>
      <c r="M610" s="1">
        <v>665</v>
      </c>
      <c r="N610" s="1">
        <v>361</v>
      </c>
      <c r="O610" s="1">
        <v>520</v>
      </c>
      <c r="P610" s="1">
        <v>974</v>
      </c>
      <c r="Q610" s="1">
        <v>679</v>
      </c>
      <c r="R610" s="1">
        <v>474</v>
      </c>
      <c r="S610" s="1">
        <f>SUM(ecommerce_sales_all_data[[#This Row],[sales_month_1]:[sales_month_12]])</f>
        <v>5990</v>
      </c>
      <c r="T610" s="3">
        <f t="shared" si="118"/>
        <v>193946.97</v>
      </c>
      <c r="U610" s="3">
        <f t="shared" si="119"/>
        <v>112097.79</v>
      </c>
      <c r="V610" s="3">
        <f t="shared" si="120"/>
        <v>113622.93</v>
      </c>
      <c r="W610" s="3">
        <f t="shared" si="121"/>
        <v>56684.37</v>
      </c>
      <c r="X610" s="3">
        <f t="shared" si="122"/>
        <v>45500.01</v>
      </c>
      <c r="Y610" s="3">
        <f t="shared" si="123"/>
        <v>67106.16</v>
      </c>
      <c r="Z610" s="3">
        <f t="shared" si="124"/>
        <v>169036.35</v>
      </c>
      <c r="AA610" s="3">
        <f t="shared" si="125"/>
        <v>91762.59</v>
      </c>
      <c r="AB610" s="3">
        <f t="shared" si="126"/>
        <v>132178.79999999999</v>
      </c>
      <c r="AC610" s="3">
        <f t="shared" si="127"/>
        <v>247581.06</v>
      </c>
      <c r="AD610" s="3">
        <f t="shared" si="128"/>
        <v>172595.01</v>
      </c>
      <c r="AE610" s="3">
        <f t="shared" si="129"/>
        <v>120486.06</v>
      </c>
      <c r="AF610" s="3">
        <f>SUM(ecommerce_sales_all_data[[#This Row],[revenue_month_1]:[revenue_month_12]])</f>
        <v>1522598.1</v>
      </c>
    </row>
    <row r="611" spans="1:32" x14ac:dyDescent="0.3">
      <c r="A611">
        <v>610</v>
      </c>
      <c r="B611" t="s">
        <v>634</v>
      </c>
      <c r="C611" t="s">
        <v>35</v>
      </c>
      <c r="D611" s="2">
        <v>346.75</v>
      </c>
      <c r="E611">
        <v>3.2</v>
      </c>
      <c r="F611">
        <v>659</v>
      </c>
      <c r="G611" s="1">
        <v>871</v>
      </c>
      <c r="H611" s="1">
        <v>400</v>
      </c>
      <c r="I611" s="1">
        <v>753</v>
      </c>
      <c r="J611" s="1">
        <v>219</v>
      </c>
      <c r="K611" s="1">
        <v>735</v>
      </c>
      <c r="L611" s="1">
        <v>270</v>
      </c>
      <c r="M611" s="1">
        <v>687</v>
      </c>
      <c r="N611" s="1">
        <v>380</v>
      </c>
      <c r="O611" s="1">
        <v>701</v>
      </c>
      <c r="P611" s="1">
        <v>836</v>
      </c>
      <c r="Q611" s="1">
        <v>480</v>
      </c>
      <c r="R611" s="1">
        <v>723</v>
      </c>
      <c r="S611" s="1">
        <f>SUM(ecommerce_sales_all_data[[#This Row],[sales_month_1]:[sales_month_12]])</f>
        <v>7055</v>
      </c>
      <c r="T611" s="3">
        <f t="shared" si="118"/>
        <v>302019.25</v>
      </c>
      <c r="U611" s="3">
        <f t="shared" si="119"/>
        <v>138700</v>
      </c>
      <c r="V611" s="3">
        <f t="shared" si="120"/>
        <v>261102.75</v>
      </c>
      <c r="W611" s="3">
        <f t="shared" si="121"/>
        <v>75938.25</v>
      </c>
      <c r="X611" s="3">
        <f t="shared" si="122"/>
        <v>254861.25</v>
      </c>
      <c r="Y611" s="3">
        <f t="shared" si="123"/>
        <v>93622.5</v>
      </c>
      <c r="Z611" s="3">
        <f t="shared" si="124"/>
        <v>238217.25</v>
      </c>
      <c r="AA611" s="3">
        <f t="shared" si="125"/>
        <v>131765</v>
      </c>
      <c r="AB611" s="3">
        <f t="shared" si="126"/>
        <v>243071.75</v>
      </c>
      <c r="AC611" s="3">
        <f t="shared" si="127"/>
        <v>289883</v>
      </c>
      <c r="AD611" s="3">
        <f t="shared" si="128"/>
        <v>166440</v>
      </c>
      <c r="AE611" s="3">
        <f t="shared" si="129"/>
        <v>250700.25</v>
      </c>
      <c r="AF611" s="3">
        <f>SUM(ecommerce_sales_all_data[[#This Row],[revenue_month_1]:[revenue_month_12]])</f>
        <v>2446321.25</v>
      </c>
    </row>
    <row r="612" spans="1:32" x14ac:dyDescent="0.3">
      <c r="A612">
        <v>611</v>
      </c>
      <c r="B612" t="s">
        <v>635</v>
      </c>
      <c r="C612" t="s">
        <v>26</v>
      </c>
      <c r="D612" s="2">
        <v>24.46</v>
      </c>
      <c r="E612">
        <v>4.5</v>
      </c>
      <c r="F612">
        <v>907</v>
      </c>
      <c r="G612" s="1">
        <v>321</v>
      </c>
      <c r="H612" s="1">
        <v>399</v>
      </c>
      <c r="I612" s="1">
        <v>145</v>
      </c>
      <c r="J612" s="1">
        <v>178</v>
      </c>
      <c r="K612" s="1">
        <v>517</v>
      </c>
      <c r="L612" s="1">
        <v>923</v>
      </c>
      <c r="M612" s="1">
        <v>960</v>
      </c>
      <c r="N612" s="1">
        <v>880</v>
      </c>
      <c r="O612" s="1">
        <v>861</v>
      </c>
      <c r="P612" s="1">
        <v>67</v>
      </c>
      <c r="Q612" s="1">
        <v>467</v>
      </c>
      <c r="R612" s="1">
        <v>750</v>
      </c>
      <c r="S612" s="1">
        <f>SUM(ecommerce_sales_all_data[[#This Row],[sales_month_1]:[sales_month_12]])</f>
        <v>6468</v>
      </c>
      <c r="T612" s="3">
        <f t="shared" si="118"/>
        <v>7851.66</v>
      </c>
      <c r="U612" s="3">
        <f t="shared" si="119"/>
        <v>9759.5400000000009</v>
      </c>
      <c r="V612" s="3">
        <f t="shared" si="120"/>
        <v>3546.7000000000003</v>
      </c>
      <c r="W612" s="3">
        <f t="shared" si="121"/>
        <v>4353.88</v>
      </c>
      <c r="X612" s="3">
        <f t="shared" si="122"/>
        <v>12645.82</v>
      </c>
      <c r="Y612" s="3">
        <f t="shared" si="123"/>
        <v>22576.58</v>
      </c>
      <c r="Z612" s="3">
        <f t="shared" si="124"/>
        <v>23481.600000000002</v>
      </c>
      <c r="AA612" s="3">
        <f t="shared" si="125"/>
        <v>21524.799999999999</v>
      </c>
      <c r="AB612" s="3">
        <f t="shared" si="126"/>
        <v>21060.06</v>
      </c>
      <c r="AC612" s="3">
        <f t="shared" si="127"/>
        <v>1638.8200000000002</v>
      </c>
      <c r="AD612" s="3">
        <f t="shared" si="128"/>
        <v>11422.82</v>
      </c>
      <c r="AE612" s="3">
        <f t="shared" si="129"/>
        <v>18345</v>
      </c>
      <c r="AF612" s="3">
        <f>SUM(ecommerce_sales_all_data[[#This Row],[revenue_month_1]:[revenue_month_12]])</f>
        <v>158207.28000000003</v>
      </c>
    </row>
    <row r="613" spans="1:32" x14ac:dyDescent="0.3">
      <c r="A613">
        <v>612</v>
      </c>
      <c r="B613" t="s">
        <v>636</v>
      </c>
      <c r="C613" t="s">
        <v>35</v>
      </c>
      <c r="D613" s="2">
        <v>400.71</v>
      </c>
      <c r="E613">
        <v>3.6</v>
      </c>
      <c r="F613">
        <v>333</v>
      </c>
      <c r="G613" s="1">
        <v>566</v>
      </c>
      <c r="H613" s="1">
        <v>726</v>
      </c>
      <c r="I613" s="1">
        <v>387</v>
      </c>
      <c r="J613" s="1">
        <v>630</v>
      </c>
      <c r="K613" s="1">
        <v>102</v>
      </c>
      <c r="L613" s="1">
        <v>919</v>
      </c>
      <c r="M613" s="1">
        <v>752</v>
      </c>
      <c r="N613" s="1">
        <v>575</v>
      </c>
      <c r="O613" s="1">
        <v>916</v>
      </c>
      <c r="P613" s="1">
        <v>505</v>
      </c>
      <c r="Q613" s="1">
        <v>141</v>
      </c>
      <c r="R613" s="1">
        <v>206</v>
      </c>
      <c r="S613" s="1">
        <f>SUM(ecommerce_sales_all_data[[#This Row],[sales_month_1]:[sales_month_12]])</f>
        <v>6425</v>
      </c>
      <c r="T613" s="3">
        <f t="shared" si="118"/>
        <v>226801.86</v>
      </c>
      <c r="U613" s="3">
        <f t="shared" si="119"/>
        <v>290915.45999999996</v>
      </c>
      <c r="V613" s="3">
        <f t="shared" si="120"/>
        <v>155074.76999999999</v>
      </c>
      <c r="W613" s="3">
        <f t="shared" si="121"/>
        <v>252447.3</v>
      </c>
      <c r="X613" s="3">
        <f t="shared" si="122"/>
        <v>40872.42</v>
      </c>
      <c r="Y613" s="3">
        <f t="shared" si="123"/>
        <v>368252.49</v>
      </c>
      <c r="Z613" s="3">
        <f t="shared" si="124"/>
        <v>301333.92</v>
      </c>
      <c r="AA613" s="3">
        <f t="shared" si="125"/>
        <v>230408.25</v>
      </c>
      <c r="AB613" s="3">
        <f t="shared" si="126"/>
        <v>367050.36</v>
      </c>
      <c r="AC613" s="3">
        <f t="shared" si="127"/>
        <v>202358.55</v>
      </c>
      <c r="AD613" s="3">
        <f t="shared" si="128"/>
        <v>56500.11</v>
      </c>
      <c r="AE613" s="3">
        <f t="shared" si="129"/>
        <v>82546.259999999995</v>
      </c>
      <c r="AF613" s="3">
        <f>SUM(ecommerce_sales_all_data[[#This Row],[revenue_month_1]:[revenue_month_12]])</f>
        <v>2574561.7499999991</v>
      </c>
    </row>
    <row r="614" spans="1:32" x14ac:dyDescent="0.3">
      <c r="A614">
        <v>613</v>
      </c>
      <c r="B614" t="s">
        <v>637</v>
      </c>
      <c r="C614" t="s">
        <v>26</v>
      </c>
      <c r="D614" s="2">
        <v>315.81</v>
      </c>
      <c r="E614">
        <v>3.1</v>
      </c>
      <c r="F614">
        <v>127</v>
      </c>
      <c r="G614" s="1">
        <v>455</v>
      </c>
      <c r="H614" s="1">
        <v>990</v>
      </c>
      <c r="I614" s="1">
        <v>784</v>
      </c>
      <c r="J614" s="1">
        <v>432</v>
      </c>
      <c r="K614" s="1">
        <v>9</v>
      </c>
      <c r="L614" s="1">
        <v>699</v>
      </c>
      <c r="M614" s="1">
        <v>421</v>
      </c>
      <c r="N614" s="1">
        <v>634</v>
      </c>
      <c r="O614" s="1">
        <v>971</v>
      </c>
      <c r="P614" s="1">
        <v>27</v>
      </c>
      <c r="Q614" s="1">
        <v>355</v>
      </c>
      <c r="R614" s="1">
        <v>317</v>
      </c>
      <c r="S614" s="1">
        <f>SUM(ecommerce_sales_all_data[[#This Row],[sales_month_1]:[sales_month_12]])</f>
        <v>6094</v>
      </c>
      <c r="T614" s="3">
        <f t="shared" si="118"/>
        <v>143693.54999999999</v>
      </c>
      <c r="U614" s="3">
        <f t="shared" si="119"/>
        <v>312651.90000000002</v>
      </c>
      <c r="V614" s="3">
        <f t="shared" si="120"/>
        <v>247595.04</v>
      </c>
      <c r="W614" s="3">
        <f t="shared" si="121"/>
        <v>136429.92000000001</v>
      </c>
      <c r="X614" s="3">
        <f t="shared" si="122"/>
        <v>2842.29</v>
      </c>
      <c r="Y614" s="3">
        <f t="shared" si="123"/>
        <v>220751.19</v>
      </c>
      <c r="Z614" s="3">
        <f t="shared" si="124"/>
        <v>132956.01</v>
      </c>
      <c r="AA614" s="3">
        <f t="shared" si="125"/>
        <v>200223.54</v>
      </c>
      <c r="AB614" s="3">
        <f t="shared" si="126"/>
        <v>306651.51</v>
      </c>
      <c r="AC614" s="3">
        <f t="shared" si="127"/>
        <v>8526.8700000000008</v>
      </c>
      <c r="AD614" s="3">
        <f t="shared" si="128"/>
        <v>112112.55</v>
      </c>
      <c r="AE614" s="3">
        <f t="shared" si="129"/>
        <v>100111.77</v>
      </c>
      <c r="AF614" s="3">
        <f>SUM(ecommerce_sales_all_data[[#This Row],[revenue_month_1]:[revenue_month_12]])</f>
        <v>1924546.1400000004</v>
      </c>
    </row>
    <row r="615" spans="1:32" x14ac:dyDescent="0.3">
      <c r="A615">
        <v>614</v>
      </c>
      <c r="B615" t="s">
        <v>638</v>
      </c>
      <c r="C615" t="s">
        <v>23</v>
      </c>
      <c r="D615" s="2">
        <v>45.47</v>
      </c>
      <c r="E615">
        <v>2.2999999999999998</v>
      </c>
      <c r="F615">
        <v>558</v>
      </c>
      <c r="G615" s="1">
        <v>943</v>
      </c>
      <c r="H615" s="1">
        <v>898</v>
      </c>
      <c r="I615" s="1">
        <v>248</v>
      </c>
      <c r="J615" s="1">
        <v>264</v>
      </c>
      <c r="K615" s="1">
        <v>582</v>
      </c>
      <c r="L615" s="1">
        <v>418</v>
      </c>
      <c r="M615" s="1">
        <v>897</v>
      </c>
      <c r="N615" s="1">
        <v>253</v>
      </c>
      <c r="O615" s="1">
        <v>676</v>
      </c>
      <c r="P615" s="1">
        <v>948</v>
      </c>
      <c r="Q615" s="1">
        <v>708</v>
      </c>
      <c r="R615" s="1">
        <v>794</v>
      </c>
      <c r="S615" s="1">
        <f>SUM(ecommerce_sales_all_data[[#This Row],[sales_month_1]:[sales_month_12]])</f>
        <v>7629</v>
      </c>
      <c r="T615" s="3">
        <f t="shared" si="118"/>
        <v>42878.21</v>
      </c>
      <c r="U615" s="3">
        <f t="shared" si="119"/>
        <v>40832.06</v>
      </c>
      <c r="V615" s="3">
        <f t="shared" si="120"/>
        <v>11276.56</v>
      </c>
      <c r="W615" s="3">
        <f t="shared" si="121"/>
        <v>12004.08</v>
      </c>
      <c r="X615" s="3">
        <f t="shared" si="122"/>
        <v>26463.54</v>
      </c>
      <c r="Y615" s="3">
        <f t="shared" si="123"/>
        <v>19006.46</v>
      </c>
      <c r="Z615" s="3">
        <f t="shared" si="124"/>
        <v>40786.589999999997</v>
      </c>
      <c r="AA615" s="3">
        <f t="shared" si="125"/>
        <v>11503.91</v>
      </c>
      <c r="AB615" s="3">
        <f t="shared" si="126"/>
        <v>30737.719999999998</v>
      </c>
      <c r="AC615" s="3">
        <f t="shared" si="127"/>
        <v>43105.56</v>
      </c>
      <c r="AD615" s="3">
        <f t="shared" si="128"/>
        <v>32192.76</v>
      </c>
      <c r="AE615" s="3">
        <f t="shared" si="129"/>
        <v>36103.18</v>
      </c>
      <c r="AF615" s="3">
        <f>SUM(ecommerce_sales_all_data[[#This Row],[revenue_month_1]:[revenue_month_12]])</f>
        <v>346890.62999999995</v>
      </c>
    </row>
    <row r="616" spans="1:32" x14ac:dyDescent="0.3">
      <c r="A616">
        <v>615</v>
      </c>
      <c r="B616" t="s">
        <v>639</v>
      </c>
      <c r="C616" t="s">
        <v>23</v>
      </c>
      <c r="D616" s="2">
        <v>437.42</v>
      </c>
      <c r="E616">
        <v>2.2999999999999998</v>
      </c>
      <c r="F616">
        <v>557</v>
      </c>
      <c r="G616" s="1">
        <v>602</v>
      </c>
      <c r="H616" s="1">
        <v>788</v>
      </c>
      <c r="I616" s="1">
        <v>525</v>
      </c>
      <c r="J616" s="1">
        <v>953</v>
      </c>
      <c r="K616" s="1">
        <v>89</v>
      </c>
      <c r="L616" s="1">
        <v>725</v>
      </c>
      <c r="M616" s="1">
        <v>368</v>
      </c>
      <c r="N616" s="1">
        <v>476</v>
      </c>
      <c r="O616" s="1">
        <v>991</v>
      </c>
      <c r="P616" s="1">
        <v>627</v>
      </c>
      <c r="Q616" s="1">
        <v>470</v>
      </c>
      <c r="R616" s="1">
        <v>756</v>
      </c>
      <c r="S616" s="1">
        <f>SUM(ecommerce_sales_all_data[[#This Row],[sales_month_1]:[sales_month_12]])</f>
        <v>7370</v>
      </c>
      <c r="T616" s="3">
        <f t="shared" si="118"/>
        <v>263326.84000000003</v>
      </c>
      <c r="U616" s="3">
        <f t="shared" si="119"/>
        <v>344686.96</v>
      </c>
      <c r="V616" s="3">
        <f t="shared" si="120"/>
        <v>229645.5</v>
      </c>
      <c r="W616" s="3">
        <f t="shared" si="121"/>
        <v>416861.26</v>
      </c>
      <c r="X616" s="3">
        <f t="shared" si="122"/>
        <v>38930.380000000005</v>
      </c>
      <c r="Y616" s="3">
        <f t="shared" si="123"/>
        <v>317129.5</v>
      </c>
      <c r="Z616" s="3">
        <f t="shared" si="124"/>
        <v>160970.56</v>
      </c>
      <c r="AA616" s="3">
        <f t="shared" si="125"/>
        <v>208211.92</v>
      </c>
      <c r="AB616" s="3">
        <f t="shared" si="126"/>
        <v>433483.22000000003</v>
      </c>
      <c r="AC616" s="3">
        <f t="shared" si="127"/>
        <v>274262.34000000003</v>
      </c>
      <c r="AD616" s="3">
        <f t="shared" si="128"/>
        <v>205587.4</v>
      </c>
      <c r="AE616" s="3">
        <f t="shared" si="129"/>
        <v>330689.52</v>
      </c>
      <c r="AF616" s="3">
        <f>SUM(ecommerce_sales_all_data[[#This Row],[revenue_month_1]:[revenue_month_12]])</f>
        <v>3223785.4</v>
      </c>
    </row>
    <row r="617" spans="1:32" x14ac:dyDescent="0.3">
      <c r="A617">
        <v>616</v>
      </c>
      <c r="B617" t="s">
        <v>640</v>
      </c>
      <c r="C617" t="s">
        <v>23</v>
      </c>
      <c r="D617" s="2">
        <v>460.83</v>
      </c>
      <c r="E617">
        <v>3.7</v>
      </c>
      <c r="F617">
        <v>1</v>
      </c>
      <c r="G617" s="1">
        <v>789</v>
      </c>
      <c r="H617" s="1">
        <v>575</v>
      </c>
      <c r="I617" s="1">
        <v>461</v>
      </c>
      <c r="J617" s="1">
        <v>428</v>
      </c>
      <c r="K617" s="1">
        <v>225</v>
      </c>
      <c r="L617" s="1">
        <v>794</v>
      </c>
      <c r="M617" s="1">
        <v>645</v>
      </c>
      <c r="N617" s="1">
        <v>113</v>
      </c>
      <c r="O617" s="1">
        <v>138</v>
      </c>
      <c r="P617" s="1">
        <v>50</v>
      </c>
      <c r="Q617" s="1">
        <v>620</v>
      </c>
      <c r="R617" s="1">
        <v>556</v>
      </c>
      <c r="S617" s="1">
        <f>SUM(ecommerce_sales_all_data[[#This Row],[sales_month_1]:[sales_month_12]])</f>
        <v>5394</v>
      </c>
      <c r="T617" s="3">
        <f t="shared" si="118"/>
        <v>363594.87</v>
      </c>
      <c r="U617" s="3">
        <f t="shared" si="119"/>
        <v>264977.25</v>
      </c>
      <c r="V617" s="3">
        <f t="shared" si="120"/>
        <v>212442.63</v>
      </c>
      <c r="W617" s="3">
        <f t="shared" si="121"/>
        <v>197235.24</v>
      </c>
      <c r="X617" s="3">
        <f t="shared" si="122"/>
        <v>103686.75</v>
      </c>
      <c r="Y617" s="3">
        <f t="shared" si="123"/>
        <v>365899.01999999996</v>
      </c>
      <c r="Z617" s="3">
        <f t="shared" si="124"/>
        <v>297235.34999999998</v>
      </c>
      <c r="AA617" s="3">
        <f t="shared" si="125"/>
        <v>52073.79</v>
      </c>
      <c r="AB617" s="3">
        <f t="shared" si="126"/>
        <v>63594.54</v>
      </c>
      <c r="AC617" s="3">
        <f t="shared" si="127"/>
        <v>23041.5</v>
      </c>
      <c r="AD617" s="3">
        <f t="shared" si="128"/>
        <v>285714.59999999998</v>
      </c>
      <c r="AE617" s="3">
        <f t="shared" si="129"/>
        <v>256221.47999999998</v>
      </c>
      <c r="AF617" s="3">
        <f>SUM(ecommerce_sales_all_data[[#This Row],[revenue_month_1]:[revenue_month_12]])</f>
        <v>2485717.02</v>
      </c>
    </row>
    <row r="618" spans="1:32" x14ac:dyDescent="0.3">
      <c r="A618">
        <v>617</v>
      </c>
      <c r="B618" t="s">
        <v>641</v>
      </c>
      <c r="C618" t="s">
        <v>29</v>
      </c>
      <c r="D618" s="2">
        <v>35.229999999999997</v>
      </c>
      <c r="E618">
        <v>5</v>
      </c>
      <c r="F618">
        <v>168</v>
      </c>
      <c r="G618" s="1">
        <v>612</v>
      </c>
      <c r="H618" s="1">
        <v>857</v>
      </c>
      <c r="I618" s="1">
        <v>12</v>
      </c>
      <c r="J618" s="1">
        <v>661</v>
      </c>
      <c r="K618" s="1">
        <v>669</v>
      </c>
      <c r="L618" s="1">
        <v>210</v>
      </c>
      <c r="M618" s="1">
        <v>557</v>
      </c>
      <c r="N618" s="1">
        <v>19</v>
      </c>
      <c r="O618" s="1">
        <v>275</v>
      </c>
      <c r="P618" s="1">
        <v>692</v>
      </c>
      <c r="Q618" s="1">
        <v>887</v>
      </c>
      <c r="R618" s="1">
        <v>616</v>
      </c>
      <c r="S618" s="1">
        <f>SUM(ecommerce_sales_all_data[[#This Row],[sales_month_1]:[sales_month_12]])</f>
        <v>6067</v>
      </c>
      <c r="T618" s="3">
        <f t="shared" si="118"/>
        <v>21560.76</v>
      </c>
      <c r="U618" s="3">
        <f t="shared" si="119"/>
        <v>30192.109999999997</v>
      </c>
      <c r="V618" s="3">
        <f t="shared" si="120"/>
        <v>422.76</v>
      </c>
      <c r="W618" s="3">
        <f t="shared" si="121"/>
        <v>23287.03</v>
      </c>
      <c r="X618" s="3">
        <f t="shared" si="122"/>
        <v>23568.87</v>
      </c>
      <c r="Y618" s="3">
        <f t="shared" si="123"/>
        <v>7398.2999999999993</v>
      </c>
      <c r="Z618" s="3">
        <f t="shared" si="124"/>
        <v>19623.109999999997</v>
      </c>
      <c r="AA618" s="3">
        <f t="shared" si="125"/>
        <v>669.36999999999989</v>
      </c>
      <c r="AB618" s="3">
        <f t="shared" si="126"/>
        <v>9688.25</v>
      </c>
      <c r="AC618" s="3">
        <f t="shared" si="127"/>
        <v>24379.159999999996</v>
      </c>
      <c r="AD618" s="3">
        <f t="shared" si="128"/>
        <v>31249.01</v>
      </c>
      <c r="AE618" s="3">
        <f t="shared" si="129"/>
        <v>21701.679999999997</v>
      </c>
      <c r="AF618" s="3">
        <f>SUM(ecommerce_sales_all_data[[#This Row],[revenue_month_1]:[revenue_month_12]])</f>
        <v>213740.41</v>
      </c>
    </row>
    <row r="619" spans="1:32" x14ac:dyDescent="0.3">
      <c r="A619">
        <v>618</v>
      </c>
      <c r="B619" t="s">
        <v>642</v>
      </c>
      <c r="C619" t="s">
        <v>23</v>
      </c>
      <c r="D619" s="2">
        <v>142.05000000000001</v>
      </c>
      <c r="E619">
        <v>3.6</v>
      </c>
      <c r="F619">
        <v>620</v>
      </c>
      <c r="G619" s="1">
        <v>154</v>
      </c>
      <c r="H619" s="1">
        <v>803</v>
      </c>
      <c r="I619" s="1">
        <v>902</v>
      </c>
      <c r="J619" s="1">
        <v>415</v>
      </c>
      <c r="K619" s="1">
        <v>739</v>
      </c>
      <c r="L619" s="1">
        <v>364</v>
      </c>
      <c r="M619" s="1">
        <v>49</v>
      </c>
      <c r="N619" s="1">
        <v>527</v>
      </c>
      <c r="O619" s="1">
        <v>290</v>
      </c>
      <c r="P619" s="1">
        <v>259</v>
      </c>
      <c r="Q619" s="1">
        <v>590</v>
      </c>
      <c r="R619" s="1">
        <v>347</v>
      </c>
      <c r="S619" s="1">
        <f>SUM(ecommerce_sales_all_data[[#This Row],[sales_month_1]:[sales_month_12]])</f>
        <v>5439</v>
      </c>
      <c r="T619" s="3">
        <f t="shared" si="118"/>
        <v>21875.7</v>
      </c>
      <c r="U619" s="3">
        <f t="shared" si="119"/>
        <v>114066.15000000001</v>
      </c>
      <c r="V619" s="3">
        <f t="shared" si="120"/>
        <v>128129.1</v>
      </c>
      <c r="W619" s="3">
        <f t="shared" si="121"/>
        <v>58950.750000000007</v>
      </c>
      <c r="X619" s="3">
        <f t="shared" si="122"/>
        <v>104974.95000000001</v>
      </c>
      <c r="Y619" s="3">
        <f t="shared" si="123"/>
        <v>51706.200000000004</v>
      </c>
      <c r="Z619" s="3">
        <f t="shared" si="124"/>
        <v>6960.4500000000007</v>
      </c>
      <c r="AA619" s="3">
        <f t="shared" si="125"/>
        <v>74860.350000000006</v>
      </c>
      <c r="AB619" s="3">
        <f t="shared" si="126"/>
        <v>41194.5</v>
      </c>
      <c r="AC619" s="3">
        <f t="shared" si="127"/>
        <v>36790.950000000004</v>
      </c>
      <c r="AD619" s="3">
        <f t="shared" si="128"/>
        <v>83809.5</v>
      </c>
      <c r="AE619" s="3">
        <f t="shared" si="129"/>
        <v>49291.350000000006</v>
      </c>
      <c r="AF619" s="3">
        <f>SUM(ecommerce_sales_all_data[[#This Row],[revenue_month_1]:[revenue_month_12]])</f>
        <v>772609.95</v>
      </c>
    </row>
    <row r="620" spans="1:32" x14ac:dyDescent="0.3">
      <c r="A620">
        <v>619</v>
      </c>
      <c r="B620" t="s">
        <v>643</v>
      </c>
      <c r="C620" t="s">
        <v>26</v>
      </c>
      <c r="D620" s="2">
        <v>404.07</v>
      </c>
      <c r="E620">
        <v>3.2</v>
      </c>
      <c r="F620">
        <v>19</v>
      </c>
      <c r="G620" s="1">
        <v>888</v>
      </c>
      <c r="H620" s="1">
        <v>489</v>
      </c>
      <c r="I620" s="1">
        <v>383</v>
      </c>
      <c r="J620" s="1">
        <v>452</v>
      </c>
      <c r="K620" s="1">
        <v>916</v>
      </c>
      <c r="L620" s="1">
        <v>75</v>
      </c>
      <c r="M620" s="1">
        <v>677</v>
      </c>
      <c r="N620" s="1">
        <v>144</v>
      </c>
      <c r="O620" s="1">
        <v>52</v>
      </c>
      <c r="P620" s="1">
        <v>590</v>
      </c>
      <c r="Q620" s="1">
        <v>901</v>
      </c>
      <c r="R620" s="1">
        <v>792</v>
      </c>
      <c r="S620" s="1">
        <f>SUM(ecommerce_sales_all_data[[#This Row],[sales_month_1]:[sales_month_12]])</f>
        <v>6359</v>
      </c>
      <c r="T620" s="3">
        <f t="shared" si="118"/>
        <v>358814.16</v>
      </c>
      <c r="U620" s="3">
        <f t="shared" si="119"/>
        <v>197590.23</v>
      </c>
      <c r="V620" s="3">
        <f t="shared" si="120"/>
        <v>154758.81</v>
      </c>
      <c r="W620" s="3">
        <f t="shared" si="121"/>
        <v>182639.63999999998</v>
      </c>
      <c r="X620" s="3">
        <f t="shared" si="122"/>
        <v>370128.12</v>
      </c>
      <c r="Y620" s="3">
        <f t="shared" si="123"/>
        <v>30305.25</v>
      </c>
      <c r="Z620" s="3">
        <f t="shared" si="124"/>
        <v>273555.39</v>
      </c>
      <c r="AA620" s="3">
        <f t="shared" si="125"/>
        <v>58186.080000000002</v>
      </c>
      <c r="AB620" s="3">
        <f t="shared" si="126"/>
        <v>21011.64</v>
      </c>
      <c r="AC620" s="3">
        <f t="shared" si="127"/>
        <v>238401.3</v>
      </c>
      <c r="AD620" s="3">
        <f t="shared" si="128"/>
        <v>364067.07</v>
      </c>
      <c r="AE620" s="3">
        <f t="shared" si="129"/>
        <v>320023.44</v>
      </c>
      <c r="AF620" s="3">
        <f>SUM(ecommerce_sales_all_data[[#This Row],[revenue_month_1]:[revenue_month_12]])</f>
        <v>2569481.13</v>
      </c>
    </row>
    <row r="621" spans="1:32" x14ac:dyDescent="0.3">
      <c r="A621">
        <v>620</v>
      </c>
      <c r="B621" t="s">
        <v>644</v>
      </c>
      <c r="C621" t="s">
        <v>19</v>
      </c>
      <c r="D621" s="2">
        <v>375.39</v>
      </c>
      <c r="E621">
        <v>3.9</v>
      </c>
      <c r="F621">
        <v>332</v>
      </c>
      <c r="G621" s="1">
        <v>348</v>
      </c>
      <c r="H621" s="1">
        <v>484</v>
      </c>
      <c r="I621" s="1">
        <v>555</v>
      </c>
      <c r="J621" s="1">
        <v>726</v>
      </c>
      <c r="K621" s="1">
        <v>125</v>
      </c>
      <c r="L621" s="1">
        <v>659</v>
      </c>
      <c r="M621" s="1">
        <v>105</v>
      </c>
      <c r="N621" s="1">
        <v>207</v>
      </c>
      <c r="O621" s="1">
        <v>686</v>
      </c>
      <c r="P621" s="1">
        <v>784</v>
      </c>
      <c r="Q621" s="1">
        <v>672</v>
      </c>
      <c r="R621" s="1">
        <v>233</v>
      </c>
      <c r="S621" s="1">
        <f>SUM(ecommerce_sales_all_data[[#This Row],[sales_month_1]:[sales_month_12]])</f>
        <v>5584</v>
      </c>
      <c r="T621" s="3">
        <f t="shared" si="118"/>
        <v>130635.72</v>
      </c>
      <c r="U621" s="3">
        <f t="shared" si="119"/>
        <v>181688.75999999998</v>
      </c>
      <c r="V621" s="3">
        <f t="shared" si="120"/>
        <v>208341.44999999998</v>
      </c>
      <c r="W621" s="3">
        <f t="shared" si="121"/>
        <v>272533.14</v>
      </c>
      <c r="X621" s="3">
        <f t="shared" si="122"/>
        <v>46923.75</v>
      </c>
      <c r="Y621" s="3">
        <f t="shared" si="123"/>
        <v>247382.00999999998</v>
      </c>
      <c r="Z621" s="3">
        <f t="shared" si="124"/>
        <v>39415.949999999997</v>
      </c>
      <c r="AA621" s="3">
        <f t="shared" si="125"/>
        <v>77705.73</v>
      </c>
      <c r="AB621" s="3">
        <f t="shared" si="126"/>
        <v>257517.53999999998</v>
      </c>
      <c r="AC621" s="3">
        <f t="shared" si="127"/>
        <v>294305.76</v>
      </c>
      <c r="AD621" s="3">
        <f t="shared" si="128"/>
        <v>252262.08</v>
      </c>
      <c r="AE621" s="3">
        <f t="shared" si="129"/>
        <v>87465.87</v>
      </c>
      <c r="AF621" s="3">
        <f>SUM(ecommerce_sales_all_data[[#This Row],[revenue_month_1]:[revenue_month_12]])</f>
        <v>2096177.7599999998</v>
      </c>
    </row>
    <row r="622" spans="1:32" x14ac:dyDescent="0.3">
      <c r="A622">
        <v>621</v>
      </c>
      <c r="B622" t="s">
        <v>645</v>
      </c>
      <c r="C622" t="s">
        <v>23</v>
      </c>
      <c r="D622" s="2">
        <v>96.34</v>
      </c>
      <c r="E622">
        <v>2.9</v>
      </c>
      <c r="F622">
        <v>584</v>
      </c>
      <c r="G622" s="1">
        <v>450</v>
      </c>
      <c r="H622" s="1">
        <v>756</v>
      </c>
      <c r="I622" s="1">
        <v>886</v>
      </c>
      <c r="J622" s="1">
        <v>196</v>
      </c>
      <c r="K622" s="1">
        <v>955</v>
      </c>
      <c r="L622" s="1">
        <v>320</v>
      </c>
      <c r="M622" s="1">
        <v>215</v>
      </c>
      <c r="N622" s="1">
        <v>530</v>
      </c>
      <c r="O622" s="1">
        <v>109</v>
      </c>
      <c r="P622" s="1">
        <v>619</v>
      </c>
      <c r="Q622" s="1">
        <v>438</v>
      </c>
      <c r="R622" s="1">
        <v>700</v>
      </c>
      <c r="S622" s="1">
        <f>SUM(ecommerce_sales_all_data[[#This Row],[sales_month_1]:[sales_month_12]])</f>
        <v>6174</v>
      </c>
      <c r="T622" s="3">
        <f t="shared" si="118"/>
        <v>43353</v>
      </c>
      <c r="U622" s="3">
        <f t="shared" si="119"/>
        <v>72833.040000000008</v>
      </c>
      <c r="V622" s="3">
        <f t="shared" si="120"/>
        <v>85357.24</v>
      </c>
      <c r="W622" s="3">
        <f t="shared" si="121"/>
        <v>18882.64</v>
      </c>
      <c r="X622" s="3">
        <f t="shared" si="122"/>
        <v>92004.7</v>
      </c>
      <c r="Y622" s="3">
        <f t="shared" si="123"/>
        <v>30828.800000000003</v>
      </c>
      <c r="Z622" s="3">
        <f t="shared" si="124"/>
        <v>20713.100000000002</v>
      </c>
      <c r="AA622" s="3">
        <f t="shared" si="125"/>
        <v>51060.200000000004</v>
      </c>
      <c r="AB622" s="3">
        <f t="shared" si="126"/>
        <v>10501.06</v>
      </c>
      <c r="AC622" s="3">
        <f t="shared" si="127"/>
        <v>59634.46</v>
      </c>
      <c r="AD622" s="3">
        <f t="shared" si="128"/>
        <v>42196.92</v>
      </c>
      <c r="AE622" s="3">
        <f t="shared" si="129"/>
        <v>67438</v>
      </c>
      <c r="AF622" s="3">
        <f>SUM(ecommerce_sales_all_data[[#This Row],[revenue_month_1]:[revenue_month_12]])</f>
        <v>594803.16</v>
      </c>
    </row>
    <row r="623" spans="1:32" x14ac:dyDescent="0.3">
      <c r="A623">
        <v>622</v>
      </c>
      <c r="B623" t="s">
        <v>646</v>
      </c>
      <c r="C623" t="s">
        <v>19</v>
      </c>
      <c r="D623" s="2">
        <v>108.63</v>
      </c>
      <c r="E623">
        <v>1.2</v>
      </c>
      <c r="F623">
        <v>456</v>
      </c>
      <c r="G623" s="1">
        <v>875</v>
      </c>
      <c r="H623" s="1">
        <v>469</v>
      </c>
      <c r="I623" s="1">
        <v>398</v>
      </c>
      <c r="J623" s="1">
        <v>553</v>
      </c>
      <c r="K623" s="1">
        <v>208</v>
      </c>
      <c r="L623" s="1">
        <v>724</v>
      </c>
      <c r="M623" s="1">
        <v>657</v>
      </c>
      <c r="N623" s="1">
        <v>375</v>
      </c>
      <c r="O623" s="1">
        <v>714</v>
      </c>
      <c r="P623" s="1">
        <v>962</v>
      </c>
      <c r="Q623" s="1">
        <v>530</v>
      </c>
      <c r="R623" s="1">
        <v>43</v>
      </c>
      <c r="S623" s="1">
        <f>SUM(ecommerce_sales_all_data[[#This Row],[sales_month_1]:[sales_month_12]])</f>
        <v>6508</v>
      </c>
      <c r="T623" s="3">
        <f t="shared" si="118"/>
        <v>95051.25</v>
      </c>
      <c r="U623" s="3">
        <f t="shared" si="119"/>
        <v>50947.47</v>
      </c>
      <c r="V623" s="3">
        <f t="shared" si="120"/>
        <v>43234.74</v>
      </c>
      <c r="W623" s="3">
        <f t="shared" si="121"/>
        <v>60072.39</v>
      </c>
      <c r="X623" s="3">
        <f t="shared" si="122"/>
        <v>22595.040000000001</v>
      </c>
      <c r="Y623" s="3">
        <f t="shared" si="123"/>
        <v>78648.12</v>
      </c>
      <c r="Z623" s="3">
        <f t="shared" si="124"/>
        <v>71369.91</v>
      </c>
      <c r="AA623" s="3">
        <f t="shared" si="125"/>
        <v>40736.25</v>
      </c>
      <c r="AB623" s="3">
        <f t="shared" si="126"/>
        <v>77561.819999999992</v>
      </c>
      <c r="AC623" s="3">
        <f t="shared" si="127"/>
        <v>104502.06</v>
      </c>
      <c r="AD623" s="3">
        <f t="shared" si="128"/>
        <v>57573.899999999994</v>
      </c>
      <c r="AE623" s="3">
        <f t="shared" si="129"/>
        <v>4671.09</v>
      </c>
      <c r="AF623" s="3">
        <f>SUM(ecommerce_sales_all_data[[#This Row],[revenue_month_1]:[revenue_month_12]])</f>
        <v>706964.0399999998</v>
      </c>
    </row>
    <row r="624" spans="1:32" x14ac:dyDescent="0.3">
      <c r="A624">
        <v>623</v>
      </c>
      <c r="B624" t="s">
        <v>647</v>
      </c>
      <c r="C624" t="s">
        <v>35</v>
      </c>
      <c r="D624" s="2">
        <v>188.38</v>
      </c>
      <c r="E624">
        <v>3.2</v>
      </c>
      <c r="F624">
        <v>957</v>
      </c>
      <c r="G624" s="1">
        <v>652</v>
      </c>
      <c r="H624" s="1">
        <v>573</v>
      </c>
      <c r="I624" s="1">
        <v>18</v>
      </c>
      <c r="J624" s="1">
        <v>52</v>
      </c>
      <c r="K624" s="1">
        <v>96</v>
      </c>
      <c r="L624" s="1">
        <v>432</v>
      </c>
      <c r="M624" s="1">
        <v>922</v>
      </c>
      <c r="N624" s="1">
        <v>503</v>
      </c>
      <c r="O624" s="1">
        <v>947</v>
      </c>
      <c r="P624" s="1">
        <v>585</v>
      </c>
      <c r="Q624" s="1">
        <v>126</v>
      </c>
      <c r="R624" s="1">
        <v>736</v>
      </c>
      <c r="S624" s="1">
        <f>SUM(ecommerce_sales_all_data[[#This Row],[sales_month_1]:[sales_month_12]])</f>
        <v>5642</v>
      </c>
      <c r="T624" s="3">
        <f t="shared" si="118"/>
        <v>122823.76</v>
      </c>
      <c r="U624" s="3">
        <f t="shared" si="119"/>
        <v>107941.73999999999</v>
      </c>
      <c r="V624" s="3">
        <f t="shared" si="120"/>
        <v>3390.84</v>
      </c>
      <c r="W624" s="3">
        <f t="shared" si="121"/>
        <v>9795.76</v>
      </c>
      <c r="X624" s="3">
        <f t="shared" si="122"/>
        <v>18084.48</v>
      </c>
      <c r="Y624" s="3">
        <f t="shared" si="123"/>
        <v>81380.160000000003</v>
      </c>
      <c r="Z624" s="3">
        <f t="shared" si="124"/>
        <v>173686.36</v>
      </c>
      <c r="AA624" s="3">
        <f t="shared" si="125"/>
        <v>94755.14</v>
      </c>
      <c r="AB624" s="3">
        <f t="shared" si="126"/>
        <v>178395.86</v>
      </c>
      <c r="AC624" s="3">
        <f t="shared" si="127"/>
        <v>110202.3</v>
      </c>
      <c r="AD624" s="3">
        <f t="shared" si="128"/>
        <v>23735.88</v>
      </c>
      <c r="AE624" s="3">
        <f t="shared" si="129"/>
        <v>138647.67999999999</v>
      </c>
      <c r="AF624" s="3">
        <f>SUM(ecommerce_sales_all_data[[#This Row],[revenue_month_1]:[revenue_month_12]])</f>
        <v>1062839.96</v>
      </c>
    </row>
    <row r="625" spans="1:32" x14ac:dyDescent="0.3">
      <c r="A625">
        <v>624</v>
      </c>
      <c r="B625" t="s">
        <v>648</v>
      </c>
      <c r="C625" t="s">
        <v>26</v>
      </c>
      <c r="D625" s="2">
        <v>244.84</v>
      </c>
      <c r="E625">
        <v>4.8</v>
      </c>
      <c r="F625">
        <v>109</v>
      </c>
      <c r="G625" s="1">
        <v>172</v>
      </c>
      <c r="H625" s="1">
        <v>937</v>
      </c>
      <c r="I625" s="1">
        <v>574</v>
      </c>
      <c r="J625" s="1">
        <v>479</v>
      </c>
      <c r="K625" s="1">
        <v>73</v>
      </c>
      <c r="L625" s="1">
        <v>108</v>
      </c>
      <c r="M625" s="1">
        <v>424</v>
      </c>
      <c r="N625" s="1">
        <v>903</v>
      </c>
      <c r="O625" s="1">
        <v>647</v>
      </c>
      <c r="P625" s="1">
        <v>686</v>
      </c>
      <c r="Q625" s="1">
        <v>204</v>
      </c>
      <c r="R625" s="1">
        <v>941</v>
      </c>
      <c r="S625" s="1">
        <f>SUM(ecommerce_sales_all_data[[#This Row],[sales_month_1]:[sales_month_12]])</f>
        <v>6148</v>
      </c>
      <c r="T625" s="3">
        <f t="shared" si="118"/>
        <v>42112.480000000003</v>
      </c>
      <c r="U625" s="3">
        <f t="shared" si="119"/>
        <v>229415.08000000002</v>
      </c>
      <c r="V625" s="3">
        <f t="shared" si="120"/>
        <v>140538.16</v>
      </c>
      <c r="W625" s="3">
        <f t="shared" si="121"/>
        <v>117278.36</v>
      </c>
      <c r="X625" s="3">
        <f t="shared" si="122"/>
        <v>17873.32</v>
      </c>
      <c r="Y625" s="3">
        <f t="shared" si="123"/>
        <v>26442.720000000001</v>
      </c>
      <c r="Z625" s="3">
        <f t="shared" si="124"/>
        <v>103812.16</v>
      </c>
      <c r="AA625" s="3">
        <f t="shared" si="125"/>
        <v>221090.52</v>
      </c>
      <c r="AB625" s="3">
        <f t="shared" si="126"/>
        <v>158411.48000000001</v>
      </c>
      <c r="AC625" s="3">
        <f t="shared" si="127"/>
        <v>167960.24</v>
      </c>
      <c r="AD625" s="3">
        <f t="shared" si="128"/>
        <v>49947.360000000001</v>
      </c>
      <c r="AE625" s="3">
        <f t="shared" si="129"/>
        <v>230394.44</v>
      </c>
      <c r="AF625" s="3">
        <f>SUM(ecommerce_sales_all_data[[#This Row],[revenue_month_1]:[revenue_month_12]])</f>
        <v>1505276.32</v>
      </c>
    </row>
    <row r="626" spans="1:32" x14ac:dyDescent="0.3">
      <c r="A626">
        <v>625</v>
      </c>
      <c r="B626" t="s">
        <v>649</v>
      </c>
      <c r="C626" t="s">
        <v>23</v>
      </c>
      <c r="D626" s="2">
        <v>311.04000000000002</v>
      </c>
      <c r="E626">
        <v>1.7</v>
      </c>
      <c r="F626">
        <v>268</v>
      </c>
      <c r="G626" s="1">
        <v>9</v>
      </c>
      <c r="H626" s="1">
        <v>843</v>
      </c>
      <c r="I626" s="1">
        <v>490</v>
      </c>
      <c r="J626" s="1">
        <v>442</v>
      </c>
      <c r="K626" s="1">
        <v>626</v>
      </c>
      <c r="L626" s="1">
        <v>640</v>
      </c>
      <c r="M626" s="1">
        <v>71</v>
      </c>
      <c r="N626" s="1">
        <v>165</v>
      </c>
      <c r="O626" s="1">
        <v>3</v>
      </c>
      <c r="P626" s="1">
        <v>183</v>
      </c>
      <c r="Q626" s="1">
        <v>28</v>
      </c>
      <c r="R626" s="1">
        <v>141</v>
      </c>
      <c r="S626" s="1">
        <f>SUM(ecommerce_sales_all_data[[#This Row],[sales_month_1]:[sales_month_12]])</f>
        <v>3641</v>
      </c>
      <c r="T626" s="3">
        <f t="shared" si="118"/>
        <v>2799.36</v>
      </c>
      <c r="U626" s="3">
        <f t="shared" si="119"/>
        <v>262206.72000000003</v>
      </c>
      <c r="V626" s="3">
        <f t="shared" si="120"/>
        <v>152409.60000000001</v>
      </c>
      <c r="W626" s="3">
        <f t="shared" si="121"/>
        <v>137479.68000000002</v>
      </c>
      <c r="X626" s="3">
        <f t="shared" si="122"/>
        <v>194711.04000000001</v>
      </c>
      <c r="Y626" s="3">
        <f t="shared" si="123"/>
        <v>199065.60000000001</v>
      </c>
      <c r="Z626" s="3">
        <f t="shared" si="124"/>
        <v>22083.84</v>
      </c>
      <c r="AA626" s="3">
        <f t="shared" si="125"/>
        <v>51321.600000000006</v>
      </c>
      <c r="AB626" s="3">
        <f t="shared" si="126"/>
        <v>933.12000000000012</v>
      </c>
      <c r="AC626" s="3">
        <f t="shared" si="127"/>
        <v>56920.320000000007</v>
      </c>
      <c r="AD626" s="3">
        <f t="shared" si="128"/>
        <v>8709.1200000000008</v>
      </c>
      <c r="AE626" s="3">
        <f t="shared" si="129"/>
        <v>43856.639999999999</v>
      </c>
      <c r="AF626" s="3">
        <f>SUM(ecommerce_sales_all_data[[#This Row],[revenue_month_1]:[revenue_month_12]])</f>
        <v>1132496.6400000001</v>
      </c>
    </row>
    <row r="627" spans="1:32" x14ac:dyDescent="0.3">
      <c r="A627">
        <v>626</v>
      </c>
      <c r="B627" t="s">
        <v>650</v>
      </c>
      <c r="C627" t="s">
        <v>29</v>
      </c>
      <c r="D627" s="2">
        <v>187.61</v>
      </c>
      <c r="E627">
        <v>3.8</v>
      </c>
      <c r="F627">
        <v>445</v>
      </c>
      <c r="G627" s="1">
        <v>739</v>
      </c>
      <c r="H627" s="1">
        <v>681</v>
      </c>
      <c r="I627" s="1">
        <v>750</v>
      </c>
      <c r="J627" s="1">
        <v>329</v>
      </c>
      <c r="K627" s="1">
        <v>190</v>
      </c>
      <c r="L627" s="1">
        <v>521</v>
      </c>
      <c r="M627" s="1">
        <v>987</v>
      </c>
      <c r="N627" s="1">
        <v>549</v>
      </c>
      <c r="O627" s="1">
        <v>666</v>
      </c>
      <c r="P627" s="1">
        <v>22</v>
      </c>
      <c r="Q627" s="1">
        <v>444</v>
      </c>
      <c r="R627" s="1">
        <v>647</v>
      </c>
      <c r="S627" s="1">
        <f>SUM(ecommerce_sales_all_data[[#This Row],[sales_month_1]:[sales_month_12]])</f>
        <v>6525</v>
      </c>
      <c r="T627" s="3">
        <f t="shared" si="118"/>
        <v>138643.79</v>
      </c>
      <c r="U627" s="3">
        <f t="shared" si="119"/>
        <v>127762.41</v>
      </c>
      <c r="V627" s="3">
        <f t="shared" si="120"/>
        <v>140707.5</v>
      </c>
      <c r="W627" s="3">
        <f t="shared" si="121"/>
        <v>61723.69</v>
      </c>
      <c r="X627" s="3">
        <f t="shared" si="122"/>
        <v>35645.9</v>
      </c>
      <c r="Y627" s="3">
        <f t="shared" si="123"/>
        <v>97744.810000000012</v>
      </c>
      <c r="Z627" s="3">
        <f t="shared" si="124"/>
        <v>185171.07</v>
      </c>
      <c r="AA627" s="3">
        <f t="shared" si="125"/>
        <v>102997.89000000001</v>
      </c>
      <c r="AB627" s="3">
        <f t="shared" si="126"/>
        <v>124948.26000000001</v>
      </c>
      <c r="AC627" s="3">
        <f t="shared" si="127"/>
        <v>4127.42</v>
      </c>
      <c r="AD627" s="3">
        <f t="shared" si="128"/>
        <v>83298.840000000011</v>
      </c>
      <c r="AE627" s="3">
        <f t="shared" si="129"/>
        <v>121383.67000000001</v>
      </c>
      <c r="AF627" s="3">
        <f>SUM(ecommerce_sales_all_data[[#This Row],[revenue_month_1]:[revenue_month_12]])</f>
        <v>1224155.2500000002</v>
      </c>
    </row>
    <row r="628" spans="1:32" x14ac:dyDescent="0.3">
      <c r="A628">
        <v>627</v>
      </c>
      <c r="B628" t="s">
        <v>651</v>
      </c>
      <c r="C628" t="s">
        <v>29</v>
      </c>
      <c r="D628" s="2">
        <v>233.95</v>
      </c>
      <c r="E628">
        <v>1.8</v>
      </c>
      <c r="F628">
        <v>240</v>
      </c>
      <c r="G628" s="1">
        <v>264</v>
      </c>
      <c r="H628" s="1">
        <v>444</v>
      </c>
      <c r="I628" s="1">
        <v>418</v>
      </c>
      <c r="J628" s="1">
        <v>250</v>
      </c>
      <c r="K628" s="1">
        <v>681</v>
      </c>
      <c r="L628" s="1">
        <v>46</v>
      </c>
      <c r="M628" s="1">
        <v>841</v>
      </c>
      <c r="N628" s="1">
        <v>180</v>
      </c>
      <c r="O628" s="1">
        <v>683</v>
      </c>
      <c r="P628" s="1">
        <v>785</v>
      </c>
      <c r="Q628" s="1">
        <v>965</v>
      </c>
      <c r="R628" s="1">
        <v>175</v>
      </c>
      <c r="S628" s="1">
        <f>SUM(ecommerce_sales_all_data[[#This Row],[sales_month_1]:[sales_month_12]])</f>
        <v>5732</v>
      </c>
      <c r="T628" s="3">
        <f t="shared" si="118"/>
        <v>61762.799999999996</v>
      </c>
      <c r="U628" s="3">
        <f t="shared" si="119"/>
        <v>103873.79999999999</v>
      </c>
      <c r="V628" s="3">
        <f t="shared" si="120"/>
        <v>97791.099999999991</v>
      </c>
      <c r="W628" s="3">
        <f t="shared" si="121"/>
        <v>58487.5</v>
      </c>
      <c r="X628" s="3">
        <f t="shared" si="122"/>
        <v>159319.94999999998</v>
      </c>
      <c r="Y628" s="3">
        <f t="shared" si="123"/>
        <v>10761.699999999999</v>
      </c>
      <c r="Z628" s="3">
        <f t="shared" si="124"/>
        <v>196751.94999999998</v>
      </c>
      <c r="AA628" s="3">
        <f t="shared" si="125"/>
        <v>42111</v>
      </c>
      <c r="AB628" s="3">
        <f t="shared" si="126"/>
        <v>159787.85</v>
      </c>
      <c r="AC628" s="3">
        <f t="shared" si="127"/>
        <v>183650.75</v>
      </c>
      <c r="AD628" s="3">
        <f t="shared" si="128"/>
        <v>225761.75</v>
      </c>
      <c r="AE628" s="3">
        <f t="shared" si="129"/>
        <v>40941.25</v>
      </c>
      <c r="AF628" s="3">
        <f>SUM(ecommerce_sales_all_data[[#This Row],[revenue_month_1]:[revenue_month_12]])</f>
        <v>1341001.3999999999</v>
      </c>
    </row>
    <row r="629" spans="1:32" x14ac:dyDescent="0.3">
      <c r="A629">
        <v>628</v>
      </c>
      <c r="B629" t="s">
        <v>652</v>
      </c>
      <c r="C629" t="s">
        <v>35</v>
      </c>
      <c r="D629" s="2">
        <v>375</v>
      </c>
      <c r="E629">
        <v>3.1</v>
      </c>
      <c r="F629">
        <v>929</v>
      </c>
      <c r="G629" s="1">
        <v>437</v>
      </c>
      <c r="H629" s="1">
        <v>268</v>
      </c>
      <c r="I629" s="1">
        <v>336</v>
      </c>
      <c r="J629" s="1">
        <v>806</v>
      </c>
      <c r="K629" s="1">
        <v>818</v>
      </c>
      <c r="L629" s="1">
        <v>378</v>
      </c>
      <c r="M629" s="1">
        <v>784</v>
      </c>
      <c r="N629" s="1">
        <v>860</v>
      </c>
      <c r="O629" s="1">
        <v>935</v>
      </c>
      <c r="P629" s="1">
        <v>128</v>
      </c>
      <c r="Q629" s="1">
        <v>718</v>
      </c>
      <c r="R629" s="1">
        <v>653</v>
      </c>
      <c r="S629" s="1">
        <f>SUM(ecommerce_sales_all_data[[#This Row],[sales_month_1]:[sales_month_12]])</f>
        <v>7121</v>
      </c>
      <c r="T629" s="3">
        <f t="shared" si="118"/>
        <v>163875</v>
      </c>
      <c r="U629" s="3">
        <f t="shared" si="119"/>
        <v>100500</v>
      </c>
      <c r="V629" s="3">
        <f t="shared" si="120"/>
        <v>126000</v>
      </c>
      <c r="W629" s="3">
        <f t="shared" si="121"/>
        <v>302250</v>
      </c>
      <c r="X629" s="3">
        <f t="shared" si="122"/>
        <v>306750</v>
      </c>
      <c r="Y629" s="3">
        <f t="shared" si="123"/>
        <v>141750</v>
      </c>
      <c r="Z629" s="3">
        <f t="shared" si="124"/>
        <v>294000</v>
      </c>
      <c r="AA629" s="3">
        <f t="shared" si="125"/>
        <v>322500</v>
      </c>
      <c r="AB629" s="3">
        <f t="shared" si="126"/>
        <v>350625</v>
      </c>
      <c r="AC629" s="3">
        <f t="shared" si="127"/>
        <v>48000</v>
      </c>
      <c r="AD629" s="3">
        <f t="shared" si="128"/>
        <v>269250</v>
      </c>
      <c r="AE629" s="3">
        <f t="shared" si="129"/>
        <v>244875</v>
      </c>
      <c r="AF629" s="3">
        <f>SUM(ecommerce_sales_all_data[[#This Row],[revenue_month_1]:[revenue_month_12]])</f>
        <v>2670375</v>
      </c>
    </row>
    <row r="630" spans="1:32" x14ac:dyDescent="0.3">
      <c r="A630">
        <v>629</v>
      </c>
      <c r="B630" t="s">
        <v>653</v>
      </c>
      <c r="C630" t="s">
        <v>19</v>
      </c>
      <c r="D630" s="2">
        <v>23.16</v>
      </c>
      <c r="E630">
        <v>1.4</v>
      </c>
      <c r="F630">
        <v>301</v>
      </c>
      <c r="G630" s="1">
        <v>759</v>
      </c>
      <c r="H630" s="1">
        <v>266</v>
      </c>
      <c r="I630" s="1">
        <v>418</v>
      </c>
      <c r="J630" s="1">
        <v>889</v>
      </c>
      <c r="K630" s="1">
        <v>959</v>
      </c>
      <c r="L630" s="1">
        <v>826</v>
      </c>
      <c r="M630" s="1">
        <v>758</v>
      </c>
      <c r="N630" s="1">
        <v>616</v>
      </c>
      <c r="O630" s="1">
        <v>869</v>
      </c>
      <c r="P630" s="1">
        <v>290</v>
      </c>
      <c r="Q630" s="1">
        <v>463</v>
      </c>
      <c r="R630" s="1">
        <v>448</v>
      </c>
      <c r="S630" s="1">
        <f>SUM(ecommerce_sales_all_data[[#This Row],[sales_month_1]:[sales_month_12]])</f>
        <v>7561</v>
      </c>
      <c r="T630" s="3">
        <f t="shared" si="118"/>
        <v>17578.439999999999</v>
      </c>
      <c r="U630" s="3">
        <f t="shared" si="119"/>
        <v>6160.56</v>
      </c>
      <c r="V630" s="3">
        <f t="shared" si="120"/>
        <v>9680.8799999999992</v>
      </c>
      <c r="W630" s="3">
        <f t="shared" si="121"/>
        <v>20589.240000000002</v>
      </c>
      <c r="X630" s="3">
        <f t="shared" si="122"/>
        <v>22210.44</v>
      </c>
      <c r="Y630" s="3">
        <f t="shared" si="123"/>
        <v>19130.16</v>
      </c>
      <c r="Z630" s="3">
        <f t="shared" si="124"/>
        <v>17555.28</v>
      </c>
      <c r="AA630" s="3">
        <f t="shared" si="125"/>
        <v>14266.56</v>
      </c>
      <c r="AB630" s="3">
        <f t="shared" si="126"/>
        <v>20126.04</v>
      </c>
      <c r="AC630" s="3">
        <f t="shared" si="127"/>
        <v>6716.4</v>
      </c>
      <c r="AD630" s="3">
        <f t="shared" si="128"/>
        <v>10723.08</v>
      </c>
      <c r="AE630" s="3">
        <f t="shared" si="129"/>
        <v>10375.68</v>
      </c>
      <c r="AF630" s="3">
        <f>SUM(ecommerce_sales_all_data[[#This Row],[revenue_month_1]:[revenue_month_12]])</f>
        <v>175112.75999999998</v>
      </c>
    </row>
    <row r="631" spans="1:32" x14ac:dyDescent="0.3">
      <c r="A631">
        <v>630</v>
      </c>
      <c r="B631" t="s">
        <v>654</v>
      </c>
      <c r="C631" t="s">
        <v>48</v>
      </c>
      <c r="D631" s="2">
        <v>129.96</v>
      </c>
      <c r="E631">
        <v>2.8</v>
      </c>
      <c r="F631">
        <v>602</v>
      </c>
      <c r="G631" s="1">
        <v>246</v>
      </c>
      <c r="H631" s="1">
        <v>53</v>
      </c>
      <c r="I631" s="1">
        <v>914</v>
      </c>
      <c r="J631" s="1">
        <v>782</v>
      </c>
      <c r="K631" s="1">
        <v>715</v>
      </c>
      <c r="L631" s="1">
        <v>95</v>
      </c>
      <c r="M631" s="1">
        <v>445</v>
      </c>
      <c r="N631" s="1">
        <v>611</v>
      </c>
      <c r="O631" s="1">
        <v>46</v>
      </c>
      <c r="P631" s="1">
        <v>831</v>
      </c>
      <c r="Q631" s="1">
        <v>279</v>
      </c>
      <c r="R631" s="1">
        <v>591</v>
      </c>
      <c r="S631" s="1">
        <f>SUM(ecommerce_sales_all_data[[#This Row],[sales_month_1]:[sales_month_12]])</f>
        <v>5608</v>
      </c>
      <c r="T631" s="3">
        <f t="shared" si="118"/>
        <v>31970.160000000003</v>
      </c>
      <c r="U631" s="3">
        <f t="shared" si="119"/>
        <v>6887.88</v>
      </c>
      <c r="V631" s="3">
        <f t="shared" si="120"/>
        <v>118783.44</v>
      </c>
      <c r="W631" s="3">
        <f t="shared" si="121"/>
        <v>101628.72</v>
      </c>
      <c r="X631" s="3">
        <f t="shared" si="122"/>
        <v>92921.400000000009</v>
      </c>
      <c r="Y631" s="3">
        <f t="shared" si="123"/>
        <v>12346.2</v>
      </c>
      <c r="Z631" s="3">
        <f t="shared" si="124"/>
        <v>57832.200000000004</v>
      </c>
      <c r="AA631" s="3">
        <f t="shared" si="125"/>
        <v>79405.56</v>
      </c>
      <c r="AB631" s="3">
        <f t="shared" si="126"/>
        <v>5978.1600000000008</v>
      </c>
      <c r="AC631" s="3">
        <f t="shared" si="127"/>
        <v>107996.76000000001</v>
      </c>
      <c r="AD631" s="3">
        <f t="shared" si="128"/>
        <v>36258.840000000004</v>
      </c>
      <c r="AE631" s="3">
        <f t="shared" si="129"/>
        <v>76806.36</v>
      </c>
      <c r="AF631" s="3">
        <f>SUM(ecommerce_sales_all_data[[#This Row],[revenue_month_1]:[revenue_month_12]])</f>
        <v>728815.67999999993</v>
      </c>
    </row>
    <row r="632" spans="1:32" x14ac:dyDescent="0.3">
      <c r="A632">
        <v>631</v>
      </c>
      <c r="B632" t="s">
        <v>655</v>
      </c>
      <c r="C632" t="s">
        <v>29</v>
      </c>
      <c r="D632" s="2">
        <v>358.11</v>
      </c>
      <c r="E632">
        <v>4</v>
      </c>
      <c r="F632">
        <v>103</v>
      </c>
      <c r="G632" s="1">
        <v>666</v>
      </c>
      <c r="H632" s="1">
        <v>527</v>
      </c>
      <c r="I632" s="1">
        <v>915</v>
      </c>
      <c r="J632" s="1">
        <v>966</v>
      </c>
      <c r="K632" s="1">
        <v>55</v>
      </c>
      <c r="L632" s="1">
        <v>957</v>
      </c>
      <c r="M632" s="1">
        <v>924</v>
      </c>
      <c r="N632" s="1">
        <v>601</v>
      </c>
      <c r="O632" s="1">
        <v>93</v>
      </c>
      <c r="P632" s="1">
        <v>500</v>
      </c>
      <c r="Q632" s="1">
        <v>150</v>
      </c>
      <c r="R632" s="1">
        <v>81</v>
      </c>
      <c r="S632" s="1">
        <f>SUM(ecommerce_sales_all_data[[#This Row],[sales_month_1]:[sales_month_12]])</f>
        <v>6435</v>
      </c>
      <c r="T632" s="3">
        <f t="shared" si="118"/>
        <v>238501.26</v>
      </c>
      <c r="U632" s="3">
        <f t="shared" si="119"/>
        <v>188723.97</v>
      </c>
      <c r="V632" s="3">
        <f t="shared" si="120"/>
        <v>327670.65000000002</v>
      </c>
      <c r="W632" s="3">
        <f t="shared" si="121"/>
        <v>345934.26</v>
      </c>
      <c r="X632" s="3">
        <f t="shared" si="122"/>
        <v>19696.05</v>
      </c>
      <c r="Y632" s="3">
        <f t="shared" si="123"/>
        <v>342711.27</v>
      </c>
      <c r="Z632" s="3">
        <f t="shared" si="124"/>
        <v>330893.64</v>
      </c>
      <c r="AA632" s="3">
        <f t="shared" si="125"/>
        <v>215224.11000000002</v>
      </c>
      <c r="AB632" s="3">
        <f t="shared" si="126"/>
        <v>33304.230000000003</v>
      </c>
      <c r="AC632" s="3">
        <f t="shared" si="127"/>
        <v>179055</v>
      </c>
      <c r="AD632" s="3">
        <f t="shared" si="128"/>
        <v>53716.5</v>
      </c>
      <c r="AE632" s="3">
        <f t="shared" si="129"/>
        <v>29006.91</v>
      </c>
      <c r="AF632" s="3">
        <f>SUM(ecommerce_sales_all_data[[#This Row],[revenue_month_1]:[revenue_month_12]])</f>
        <v>2304437.8500000006</v>
      </c>
    </row>
    <row r="633" spans="1:32" x14ac:dyDescent="0.3">
      <c r="A633">
        <v>632</v>
      </c>
      <c r="B633" t="s">
        <v>656</v>
      </c>
      <c r="C633" t="s">
        <v>29</v>
      </c>
      <c r="D633" s="2">
        <v>448.13</v>
      </c>
      <c r="E633">
        <v>2.4</v>
      </c>
      <c r="F633">
        <v>988</v>
      </c>
      <c r="G633" s="1">
        <v>545</v>
      </c>
      <c r="H633" s="1">
        <v>519</v>
      </c>
      <c r="I633" s="1">
        <v>611</v>
      </c>
      <c r="J633" s="1">
        <v>924</v>
      </c>
      <c r="K633" s="1">
        <v>719</v>
      </c>
      <c r="L633" s="1">
        <v>102</v>
      </c>
      <c r="M633" s="1">
        <v>185</v>
      </c>
      <c r="N633" s="1">
        <v>926</v>
      </c>
      <c r="O633" s="1">
        <v>939</v>
      </c>
      <c r="P633" s="1">
        <v>185</v>
      </c>
      <c r="Q633" s="1">
        <v>239</v>
      </c>
      <c r="R633" s="1">
        <v>134</v>
      </c>
      <c r="S633" s="1">
        <f>SUM(ecommerce_sales_all_data[[#This Row],[sales_month_1]:[sales_month_12]])</f>
        <v>6028</v>
      </c>
      <c r="T633" s="3">
        <f t="shared" si="118"/>
        <v>244230.85</v>
      </c>
      <c r="U633" s="3">
        <f t="shared" si="119"/>
        <v>232579.47</v>
      </c>
      <c r="V633" s="3">
        <f t="shared" si="120"/>
        <v>273807.43</v>
      </c>
      <c r="W633" s="3">
        <f t="shared" si="121"/>
        <v>414072.12</v>
      </c>
      <c r="X633" s="3">
        <f t="shared" si="122"/>
        <v>322205.46999999997</v>
      </c>
      <c r="Y633" s="3">
        <f t="shared" si="123"/>
        <v>45709.26</v>
      </c>
      <c r="Z633" s="3">
        <f t="shared" si="124"/>
        <v>82904.05</v>
      </c>
      <c r="AA633" s="3">
        <f t="shared" si="125"/>
        <v>414968.38</v>
      </c>
      <c r="AB633" s="3">
        <f t="shared" si="126"/>
        <v>420794.07</v>
      </c>
      <c r="AC633" s="3">
        <f t="shared" si="127"/>
        <v>82904.05</v>
      </c>
      <c r="AD633" s="3">
        <f t="shared" si="128"/>
        <v>107103.06999999999</v>
      </c>
      <c r="AE633" s="3">
        <f t="shared" si="129"/>
        <v>60049.42</v>
      </c>
      <c r="AF633" s="3">
        <f>SUM(ecommerce_sales_all_data[[#This Row],[revenue_month_1]:[revenue_month_12]])</f>
        <v>2701327.6399999997</v>
      </c>
    </row>
    <row r="634" spans="1:32" x14ac:dyDescent="0.3">
      <c r="A634">
        <v>633</v>
      </c>
      <c r="B634" t="s">
        <v>657</v>
      </c>
      <c r="C634" t="s">
        <v>29</v>
      </c>
      <c r="D634" s="2">
        <v>258.27999999999997</v>
      </c>
      <c r="E634">
        <v>3.7</v>
      </c>
      <c r="F634">
        <v>250</v>
      </c>
      <c r="G634" s="1">
        <v>498</v>
      </c>
      <c r="H634" s="1">
        <v>615</v>
      </c>
      <c r="I634" s="1">
        <v>674</v>
      </c>
      <c r="J634" s="1">
        <v>122</v>
      </c>
      <c r="K634" s="1">
        <v>552</v>
      </c>
      <c r="L634" s="1">
        <v>891</v>
      </c>
      <c r="M634" s="1">
        <v>69</v>
      </c>
      <c r="N634" s="1">
        <v>811</v>
      </c>
      <c r="O634" s="1">
        <v>559</v>
      </c>
      <c r="P634" s="1">
        <v>478</v>
      </c>
      <c r="Q634" s="1">
        <v>265</v>
      </c>
      <c r="R634" s="1">
        <v>718</v>
      </c>
      <c r="S634" s="1">
        <f>SUM(ecommerce_sales_all_data[[#This Row],[sales_month_1]:[sales_month_12]])</f>
        <v>6252</v>
      </c>
      <c r="T634" s="3">
        <f t="shared" si="118"/>
        <v>128623.43999999999</v>
      </c>
      <c r="U634" s="3">
        <f t="shared" si="119"/>
        <v>158842.19999999998</v>
      </c>
      <c r="V634" s="3">
        <f t="shared" si="120"/>
        <v>174080.71999999997</v>
      </c>
      <c r="W634" s="3">
        <f t="shared" si="121"/>
        <v>31510.159999999996</v>
      </c>
      <c r="X634" s="3">
        <f t="shared" si="122"/>
        <v>142570.56</v>
      </c>
      <c r="Y634" s="3">
        <f t="shared" si="123"/>
        <v>230127.47999999998</v>
      </c>
      <c r="Z634" s="3">
        <f t="shared" si="124"/>
        <v>17821.32</v>
      </c>
      <c r="AA634" s="3">
        <f t="shared" si="125"/>
        <v>209465.08</v>
      </c>
      <c r="AB634" s="3">
        <f t="shared" si="126"/>
        <v>144378.51999999999</v>
      </c>
      <c r="AC634" s="3">
        <f t="shared" si="127"/>
        <v>123457.83999999998</v>
      </c>
      <c r="AD634" s="3">
        <f t="shared" si="128"/>
        <v>68444.2</v>
      </c>
      <c r="AE634" s="3">
        <f t="shared" si="129"/>
        <v>185445.03999999998</v>
      </c>
      <c r="AF634" s="3">
        <f>SUM(ecommerce_sales_all_data[[#This Row],[revenue_month_1]:[revenue_month_12]])</f>
        <v>1614766.5599999998</v>
      </c>
    </row>
    <row r="635" spans="1:32" x14ac:dyDescent="0.3">
      <c r="A635">
        <v>634</v>
      </c>
      <c r="B635" t="s">
        <v>658</v>
      </c>
      <c r="C635" t="s">
        <v>26</v>
      </c>
      <c r="D635" s="2">
        <v>268.39999999999998</v>
      </c>
      <c r="E635">
        <v>4.2</v>
      </c>
      <c r="F635">
        <v>453</v>
      </c>
      <c r="G635" s="1">
        <v>128</v>
      </c>
      <c r="H635" s="1">
        <v>58</v>
      </c>
      <c r="I635" s="1">
        <v>927</v>
      </c>
      <c r="J635" s="1">
        <v>878</v>
      </c>
      <c r="K635" s="1">
        <v>31</v>
      </c>
      <c r="L635" s="1">
        <v>853</v>
      </c>
      <c r="M635" s="1">
        <v>973</v>
      </c>
      <c r="N635" s="1">
        <v>443</v>
      </c>
      <c r="O635" s="1">
        <v>751</v>
      </c>
      <c r="P635" s="1">
        <v>570</v>
      </c>
      <c r="Q635" s="1">
        <v>693</v>
      </c>
      <c r="R635" s="1">
        <v>855</v>
      </c>
      <c r="S635" s="1">
        <f>SUM(ecommerce_sales_all_data[[#This Row],[sales_month_1]:[sales_month_12]])</f>
        <v>7160</v>
      </c>
      <c r="T635" s="3">
        <f t="shared" si="118"/>
        <v>34355.199999999997</v>
      </c>
      <c r="U635" s="3">
        <f t="shared" si="119"/>
        <v>15567.199999999999</v>
      </c>
      <c r="V635" s="3">
        <f t="shared" si="120"/>
        <v>248806.8</v>
      </c>
      <c r="W635" s="3">
        <f t="shared" si="121"/>
        <v>235655.19999999998</v>
      </c>
      <c r="X635" s="3">
        <f t="shared" si="122"/>
        <v>8320.4</v>
      </c>
      <c r="Y635" s="3">
        <f t="shared" si="123"/>
        <v>228945.19999999998</v>
      </c>
      <c r="Z635" s="3">
        <f t="shared" si="124"/>
        <v>261153.19999999998</v>
      </c>
      <c r="AA635" s="3">
        <f t="shared" si="125"/>
        <v>118901.2</v>
      </c>
      <c r="AB635" s="3">
        <f t="shared" si="126"/>
        <v>201568.4</v>
      </c>
      <c r="AC635" s="3">
        <f t="shared" si="127"/>
        <v>152988</v>
      </c>
      <c r="AD635" s="3">
        <f t="shared" si="128"/>
        <v>186001.19999999998</v>
      </c>
      <c r="AE635" s="3">
        <f t="shared" si="129"/>
        <v>229481.99999999997</v>
      </c>
      <c r="AF635" s="3">
        <f>SUM(ecommerce_sales_all_data[[#This Row],[revenue_month_1]:[revenue_month_12]])</f>
        <v>1921743.9999999998</v>
      </c>
    </row>
    <row r="636" spans="1:32" x14ac:dyDescent="0.3">
      <c r="A636">
        <v>635</v>
      </c>
      <c r="B636" t="s">
        <v>659</v>
      </c>
      <c r="C636" t="s">
        <v>29</v>
      </c>
      <c r="D636" s="2">
        <v>58.05</v>
      </c>
      <c r="E636">
        <v>4.7</v>
      </c>
      <c r="F636">
        <v>520</v>
      </c>
      <c r="G636" s="1">
        <v>671</v>
      </c>
      <c r="H636" s="1">
        <v>824</v>
      </c>
      <c r="I636" s="1">
        <v>121</v>
      </c>
      <c r="J636" s="1">
        <v>386</v>
      </c>
      <c r="K636" s="1">
        <v>526</v>
      </c>
      <c r="L636" s="1">
        <v>145</v>
      </c>
      <c r="M636" s="1">
        <v>149</v>
      </c>
      <c r="N636" s="1">
        <v>331</v>
      </c>
      <c r="O636" s="1">
        <v>858</v>
      </c>
      <c r="P636" s="1">
        <v>491</v>
      </c>
      <c r="Q636" s="1">
        <v>104</v>
      </c>
      <c r="R636" s="1">
        <v>176</v>
      </c>
      <c r="S636" s="1">
        <f>SUM(ecommerce_sales_all_data[[#This Row],[sales_month_1]:[sales_month_12]])</f>
        <v>4782</v>
      </c>
      <c r="T636" s="3">
        <f t="shared" si="118"/>
        <v>38951.549999999996</v>
      </c>
      <c r="U636" s="3">
        <f t="shared" si="119"/>
        <v>47833.2</v>
      </c>
      <c r="V636" s="3">
        <f t="shared" si="120"/>
        <v>7024.0499999999993</v>
      </c>
      <c r="W636" s="3">
        <f t="shared" si="121"/>
        <v>22407.3</v>
      </c>
      <c r="X636" s="3">
        <f t="shared" si="122"/>
        <v>30534.3</v>
      </c>
      <c r="Y636" s="3">
        <f t="shared" si="123"/>
        <v>8417.25</v>
      </c>
      <c r="Z636" s="3">
        <f t="shared" si="124"/>
        <v>8649.4499999999989</v>
      </c>
      <c r="AA636" s="3">
        <f t="shared" si="125"/>
        <v>19214.55</v>
      </c>
      <c r="AB636" s="3">
        <f t="shared" si="126"/>
        <v>49806.899999999994</v>
      </c>
      <c r="AC636" s="3">
        <f t="shared" si="127"/>
        <v>28502.55</v>
      </c>
      <c r="AD636" s="3">
        <f t="shared" si="128"/>
        <v>6037.2</v>
      </c>
      <c r="AE636" s="3">
        <f t="shared" si="129"/>
        <v>10216.799999999999</v>
      </c>
      <c r="AF636" s="3">
        <f>SUM(ecommerce_sales_all_data[[#This Row],[revenue_month_1]:[revenue_month_12]])</f>
        <v>277595.09999999998</v>
      </c>
    </row>
    <row r="637" spans="1:32" x14ac:dyDescent="0.3">
      <c r="A637">
        <v>636</v>
      </c>
      <c r="B637" t="s">
        <v>660</v>
      </c>
      <c r="C637" t="s">
        <v>21</v>
      </c>
      <c r="D637" s="2">
        <v>226.47</v>
      </c>
      <c r="E637">
        <v>1.9</v>
      </c>
      <c r="F637">
        <v>153</v>
      </c>
      <c r="G637" s="1">
        <v>600</v>
      </c>
      <c r="H637" s="1">
        <v>39</v>
      </c>
      <c r="I637" s="1">
        <v>431</v>
      </c>
      <c r="J637" s="1">
        <v>338</v>
      </c>
      <c r="K637" s="1">
        <v>573</v>
      </c>
      <c r="L637" s="1">
        <v>879</v>
      </c>
      <c r="M637" s="1">
        <v>245</v>
      </c>
      <c r="N637" s="1">
        <v>502</v>
      </c>
      <c r="O637" s="1">
        <v>212</v>
      </c>
      <c r="P637" s="1">
        <v>512</v>
      </c>
      <c r="Q637" s="1">
        <v>936</v>
      </c>
      <c r="R637" s="1">
        <v>382</v>
      </c>
      <c r="S637" s="1">
        <f>SUM(ecommerce_sales_all_data[[#This Row],[sales_month_1]:[sales_month_12]])</f>
        <v>5649</v>
      </c>
      <c r="T637" s="3">
        <f t="shared" si="118"/>
        <v>135882</v>
      </c>
      <c r="U637" s="3">
        <f t="shared" si="119"/>
        <v>8832.33</v>
      </c>
      <c r="V637" s="3">
        <f t="shared" si="120"/>
        <v>97608.569999999992</v>
      </c>
      <c r="W637" s="3">
        <f t="shared" si="121"/>
        <v>76546.86</v>
      </c>
      <c r="X637" s="3">
        <f t="shared" si="122"/>
        <v>129767.31</v>
      </c>
      <c r="Y637" s="3">
        <f t="shared" si="123"/>
        <v>199067.13</v>
      </c>
      <c r="Z637" s="3">
        <f t="shared" si="124"/>
        <v>55485.15</v>
      </c>
      <c r="AA637" s="3">
        <f t="shared" si="125"/>
        <v>113687.94</v>
      </c>
      <c r="AB637" s="3">
        <f t="shared" si="126"/>
        <v>48011.64</v>
      </c>
      <c r="AC637" s="3">
        <f t="shared" si="127"/>
        <v>115952.64</v>
      </c>
      <c r="AD637" s="3">
        <f t="shared" si="128"/>
        <v>211975.92</v>
      </c>
      <c r="AE637" s="3">
        <f t="shared" si="129"/>
        <v>86511.54</v>
      </c>
      <c r="AF637" s="3">
        <f>SUM(ecommerce_sales_all_data[[#This Row],[revenue_month_1]:[revenue_month_12]])</f>
        <v>1279329.03</v>
      </c>
    </row>
    <row r="638" spans="1:32" x14ac:dyDescent="0.3">
      <c r="A638">
        <v>637</v>
      </c>
      <c r="B638" t="s">
        <v>661</v>
      </c>
      <c r="C638" t="s">
        <v>23</v>
      </c>
      <c r="D638" s="2">
        <v>268.64999999999998</v>
      </c>
      <c r="E638">
        <v>2.6</v>
      </c>
      <c r="F638">
        <v>859</v>
      </c>
      <c r="G638" s="1">
        <v>604</v>
      </c>
      <c r="H638" s="1">
        <v>236</v>
      </c>
      <c r="I638" s="1">
        <v>43</v>
      </c>
      <c r="J638" s="1">
        <v>777</v>
      </c>
      <c r="K638" s="1">
        <v>666</v>
      </c>
      <c r="L638" s="1">
        <v>941</v>
      </c>
      <c r="M638" s="1">
        <v>773</v>
      </c>
      <c r="N638" s="1">
        <v>912</v>
      </c>
      <c r="O638" s="1">
        <v>435</v>
      </c>
      <c r="P638" s="1">
        <v>642</v>
      </c>
      <c r="Q638" s="1">
        <v>432</v>
      </c>
      <c r="R638" s="1">
        <v>242</v>
      </c>
      <c r="S638" s="1">
        <f>SUM(ecommerce_sales_all_data[[#This Row],[sales_month_1]:[sales_month_12]])</f>
        <v>6703</v>
      </c>
      <c r="T638" s="3">
        <f t="shared" si="118"/>
        <v>162264.59999999998</v>
      </c>
      <c r="U638" s="3">
        <f t="shared" si="119"/>
        <v>63401.399999999994</v>
      </c>
      <c r="V638" s="3">
        <f t="shared" si="120"/>
        <v>11551.949999999999</v>
      </c>
      <c r="W638" s="3">
        <f t="shared" si="121"/>
        <v>208741.05</v>
      </c>
      <c r="X638" s="3">
        <f t="shared" si="122"/>
        <v>178920.9</v>
      </c>
      <c r="Y638" s="3">
        <f t="shared" si="123"/>
        <v>252799.64999999997</v>
      </c>
      <c r="Z638" s="3">
        <f t="shared" si="124"/>
        <v>207666.44999999998</v>
      </c>
      <c r="AA638" s="3">
        <f t="shared" si="125"/>
        <v>245008.8</v>
      </c>
      <c r="AB638" s="3">
        <f t="shared" si="126"/>
        <v>116862.74999999999</v>
      </c>
      <c r="AC638" s="3">
        <f t="shared" si="127"/>
        <v>172473.3</v>
      </c>
      <c r="AD638" s="3">
        <f t="shared" si="128"/>
        <v>116056.79999999999</v>
      </c>
      <c r="AE638" s="3">
        <f t="shared" si="129"/>
        <v>65013.299999999996</v>
      </c>
      <c r="AF638" s="3">
        <f>SUM(ecommerce_sales_all_data[[#This Row],[revenue_month_1]:[revenue_month_12]])</f>
        <v>1800760.9500000002</v>
      </c>
    </row>
    <row r="639" spans="1:32" x14ac:dyDescent="0.3">
      <c r="A639">
        <v>638</v>
      </c>
      <c r="B639" t="s">
        <v>662</v>
      </c>
      <c r="C639" t="s">
        <v>35</v>
      </c>
      <c r="D639" s="2">
        <v>125.02</v>
      </c>
      <c r="E639">
        <v>1.6</v>
      </c>
      <c r="F639">
        <v>174</v>
      </c>
      <c r="G639" s="1">
        <v>326</v>
      </c>
      <c r="H639" s="1">
        <v>954</v>
      </c>
      <c r="I639" s="1">
        <v>871</v>
      </c>
      <c r="J639" s="1">
        <v>347</v>
      </c>
      <c r="K639" s="1">
        <v>283</v>
      </c>
      <c r="L639" s="1">
        <v>927</v>
      </c>
      <c r="M639" s="1">
        <v>537</v>
      </c>
      <c r="N639" s="1">
        <v>78</v>
      </c>
      <c r="O639" s="1">
        <v>851</v>
      </c>
      <c r="P639" s="1">
        <v>66</v>
      </c>
      <c r="Q639" s="1">
        <v>912</v>
      </c>
      <c r="R639" s="1">
        <v>566</v>
      </c>
      <c r="S639" s="1">
        <f>SUM(ecommerce_sales_all_data[[#This Row],[sales_month_1]:[sales_month_12]])</f>
        <v>6718</v>
      </c>
      <c r="T639" s="3">
        <f t="shared" si="118"/>
        <v>40756.519999999997</v>
      </c>
      <c r="U639" s="3">
        <f t="shared" si="119"/>
        <v>119269.08</v>
      </c>
      <c r="V639" s="3">
        <f t="shared" si="120"/>
        <v>108892.42</v>
      </c>
      <c r="W639" s="3">
        <f t="shared" si="121"/>
        <v>43381.939999999995</v>
      </c>
      <c r="X639" s="3">
        <f t="shared" si="122"/>
        <v>35380.659999999996</v>
      </c>
      <c r="Y639" s="3">
        <f t="shared" si="123"/>
        <v>115893.54</v>
      </c>
      <c r="Z639" s="3">
        <f t="shared" si="124"/>
        <v>67135.739999999991</v>
      </c>
      <c r="AA639" s="3">
        <f t="shared" si="125"/>
        <v>9751.56</v>
      </c>
      <c r="AB639" s="3">
        <f t="shared" si="126"/>
        <v>106392.01999999999</v>
      </c>
      <c r="AC639" s="3">
        <f t="shared" si="127"/>
        <v>8251.32</v>
      </c>
      <c r="AD639" s="3">
        <f t="shared" si="128"/>
        <v>114018.23999999999</v>
      </c>
      <c r="AE639" s="3">
        <f t="shared" si="129"/>
        <v>70761.319999999992</v>
      </c>
      <c r="AF639" s="3">
        <f>SUM(ecommerce_sales_all_data[[#This Row],[revenue_month_1]:[revenue_month_12]])</f>
        <v>839884.35999999987</v>
      </c>
    </row>
    <row r="640" spans="1:32" x14ac:dyDescent="0.3">
      <c r="A640">
        <v>639</v>
      </c>
      <c r="B640" t="s">
        <v>663</v>
      </c>
      <c r="C640" t="s">
        <v>29</v>
      </c>
      <c r="D640" s="2">
        <v>138.28</v>
      </c>
      <c r="E640">
        <v>5</v>
      </c>
      <c r="F640">
        <v>343</v>
      </c>
      <c r="G640" s="1">
        <v>752</v>
      </c>
      <c r="H640" s="1">
        <v>385</v>
      </c>
      <c r="I640" s="1">
        <v>919</v>
      </c>
      <c r="J640" s="1">
        <v>28</v>
      </c>
      <c r="K640" s="1">
        <v>720</v>
      </c>
      <c r="L640" s="1">
        <v>26</v>
      </c>
      <c r="M640" s="1">
        <v>934</v>
      </c>
      <c r="N640" s="1">
        <v>584</v>
      </c>
      <c r="O640" s="1">
        <v>507</v>
      </c>
      <c r="P640" s="1">
        <v>804</v>
      </c>
      <c r="Q640" s="1">
        <v>496</v>
      </c>
      <c r="R640" s="1">
        <v>140</v>
      </c>
      <c r="S640" s="1">
        <f>SUM(ecommerce_sales_all_data[[#This Row],[sales_month_1]:[sales_month_12]])</f>
        <v>6295</v>
      </c>
      <c r="T640" s="3">
        <f t="shared" si="118"/>
        <v>103986.56</v>
      </c>
      <c r="U640" s="3">
        <f t="shared" si="119"/>
        <v>53237.8</v>
      </c>
      <c r="V640" s="3">
        <f t="shared" si="120"/>
        <v>127079.32</v>
      </c>
      <c r="W640" s="3">
        <f t="shared" si="121"/>
        <v>3871.84</v>
      </c>
      <c r="X640" s="3">
        <f t="shared" si="122"/>
        <v>99561.600000000006</v>
      </c>
      <c r="Y640" s="3">
        <f t="shared" si="123"/>
        <v>3595.28</v>
      </c>
      <c r="Z640" s="3">
        <f t="shared" si="124"/>
        <v>129153.52</v>
      </c>
      <c r="AA640" s="3">
        <f t="shared" si="125"/>
        <v>80755.520000000004</v>
      </c>
      <c r="AB640" s="3">
        <f t="shared" si="126"/>
        <v>70107.960000000006</v>
      </c>
      <c r="AC640" s="3">
        <f t="shared" si="127"/>
        <v>111177.12</v>
      </c>
      <c r="AD640" s="3">
        <f t="shared" si="128"/>
        <v>68586.880000000005</v>
      </c>
      <c r="AE640" s="3">
        <f t="shared" si="129"/>
        <v>19359.2</v>
      </c>
      <c r="AF640" s="3">
        <f>SUM(ecommerce_sales_all_data[[#This Row],[revenue_month_1]:[revenue_month_12]])</f>
        <v>870472.6</v>
      </c>
    </row>
    <row r="641" spans="1:32" x14ac:dyDescent="0.3">
      <c r="A641">
        <v>640</v>
      </c>
      <c r="B641" t="s">
        <v>664</v>
      </c>
      <c r="C641" t="s">
        <v>48</v>
      </c>
      <c r="D641" s="2">
        <v>191.76</v>
      </c>
      <c r="E641">
        <v>4.7</v>
      </c>
      <c r="F641">
        <v>670</v>
      </c>
      <c r="G641" s="1">
        <v>834</v>
      </c>
      <c r="H641" s="1">
        <v>605</v>
      </c>
      <c r="I641" s="1">
        <v>316</v>
      </c>
      <c r="J641" s="1">
        <v>974</v>
      </c>
      <c r="K641" s="1">
        <v>831</v>
      </c>
      <c r="L641" s="1">
        <v>731</v>
      </c>
      <c r="M641" s="1">
        <v>651</v>
      </c>
      <c r="N641" s="1">
        <v>934</v>
      </c>
      <c r="O641" s="1">
        <v>835</v>
      </c>
      <c r="P641" s="1">
        <v>466</v>
      </c>
      <c r="Q641" s="1">
        <v>439</v>
      </c>
      <c r="R641" s="1">
        <v>456</v>
      </c>
      <c r="S641" s="1">
        <f>SUM(ecommerce_sales_all_data[[#This Row],[sales_month_1]:[sales_month_12]])</f>
        <v>8072</v>
      </c>
      <c r="T641" s="3">
        <f t="shared" si="118"/>
        <v>159927.84</v>
      </c>
      <c r="U641" s="3">
        <f t="shared" si="119"/>
        <v>116014.79999999999</v>
      </c>
      <c r="V641" s="3">
        <f t="shared" si="120"/>
        <v>60596.159999999996</v>
      </c>
      <c r="W641" s="3">
        <f t="shared" si="121"/>
        <v>186774.24</v>
      </c>
      <c r="X641" s="3">
        <f t="shared" si="122"/>
        <v>159352.56</v>
      </c>
      <c r="Y641" s="3">
        <f t="shared" si="123"/>
        <v>140176.56</v>
      </c>
      <c r="Z641" s="3">
        <f t="shared" si="124"/>
        <v>124835.76</v>
      </c>
      <c r="AA641" s="3">
        <f t="shared" si="125"/>
        <v>179103.84</v>
      </c>
      <c r="AB641" s="3">
        <f t="shared" si="126"/>
        <v>160119.6</v>
      </c>
      <c r="AC641" s="3">
        <f t="shared" si="127"/>
        <v>89360.159999999989</v>
      </c>
      <c r="AD641" s="3">
        <f t="shared" si="128"/>
        <v>84182.64</v>
      </c>
      <c r="AE641" s="3">
        <f t="shared" si="129"/>
        <v>87442.559999999998</v>
      </c>
      <c r="AF641" s="3">
        <f>SUM(ecommerce_sales_all_data[[#This Row],[revenue_month_1]:[revenue_month_12]])</f>
        <v>1547886.72</v>
      </c>
    </row>
    <row r="642" spans="1:32" x14ac:dyDescent="0.3">
      <c r="A642">
        <v>641</v>
      </c>
      <c r="B642" t="s">
        <v>665</v>
      </c>
      <c r="C642" t="s">
        <v>48</v>
      </c>
      <c r="D642" s="2">
        <v>14.94</v>
      </c>
      <c r="E642">
        <v>3.2</v>
      </c>
      <c r="F642">
        <v>431</v>
      </c>
      <c r="G642" s="1">
        <v>979</v>
      </c>
      <c r="H642" s="1">
        <v>733</v>
      </c>
      <c r="I642" s="1">
        <v>380</v>
      </c>
      <c r="J642" s="1">
        <v>34</v>
      </c>
      <c r="K642" s="1">
        <v>493</v>
      </c>
      <c r="L642" s="1">
        <v>529</v>
      </c>
      <c r="M642" s="1">
        <v>98</v>
      </c>
      <c r="N642" s="1">
        <v>937</v>
      </c>
      <c r="O642" s="1">
        <v>650</v>
      </c>
      <c r="P642" s="1">
        <v>284</v>
      </c>
      <c r="Q642" s="1">
        <v>747</v>
      </c>
      <c r="R642" s="1">
        <v>439</v>
      </c>
      <c r="S642" s="1">
        <f>SUM(ecommerce_sales_all_data[[#This Row],[sales_month_1]:[sales_month_12]])</f>
        <v>6303</v>
      </c>
      <c r="T642" s="3">
        <f t="shared" ref="T642:T705" si="130">G642*$D642</f>
        <v>14626.26</v>
      </c>
      <c r="U642" s="3">
        <f t="shared" ref="U642:U705" si="131">H642*$D642</f>
        <v>10951.02</v>
      </c>
      <c r="V642" s="3">
        <f t="shared" si="120"/>
        <v>5677.2</v>
      </c>
      <c r="W642" s="3">
        <f t="shared" si="121"/>
        <v>507.96</v>
      </c>
      <c r="X642" s="3">
        <f t="shared" si="122"/>
        <v>7365.42</v>
      </c>
      <c r="Y642" s="3">
        <f t="shared" si="123"/>
        <v>7903.2599999999993</v>
      </c>
      <c r="Z642" s="3">
        <f t="shared" si="124"/>
        <v>1464.12</v>
      </c>
      <c r="AA642" s="3">
        <f t="shared" si="125"/>
        <v>13998.779999999999</v>
      </c>
      <c r="AB642" s="3">
        <f t="shared" si="126"/>
        <v>9711</v>
      </c>
      <c r="AC642" s="3">
        <f t="shared" si="127"/>
        <v>4242.96</v>
      </c>
      <c r="AD642" s="3">
        <f t="shared" si="128"/>
        <v>11160.18</v>
      </c>
      <c r="AE642" s="3">
        <f t="shared" si="129"/>
        <v>6558.66</v>
      </c>
      <c r="AF642" s="3">
        <f>SUM(ecommerce_sales_all_data[[#This Row],[revenue_month_1]:[revenue_month_12]])</f>
        <v>94166.82</v>
      </c>
    </row>
    <row r="643" spans="1:32" x14ac:dyDescent="0.3">
      <c r="A643">
        <v>642</v>
      </c>
      <c r="B643" t="s">
        <v>666</v>
      </c>
      <c r="C643" t="s">
        <v>29</v>
      </c>
      <c r="D643" s="2">
        <v>164.43</v>
      </c>
      <c r="E643">
        <v>4.4000000000000004</v>
      </c>
      <c r="F643">
        <v>727</v>
      </c>
      <c r="G643" s="1">
        <v>403</v>
      </c>
      <c r="H643" s="1">
        <v>715</v>
      </c>
      <c r="I643" s="1">
        <v>144</v>
      </c>
      <c r="J643" s="1">
        <v>517</v>
      </c>
      <c r="K643" s="1">
        <v>186</v>
      </c>
      <c r="L643" s="1">
        <v>678</v>
      </c>
      <c r="M643" s="1">
        <v>909</v>
      </c>
      <c r="N643" s="1">
        <v>687</v>
      </c>
      <c r="O643" s="1">
        <v>204</v>
      </c>
      <c r="P643" s="1">
        <v>600</v>
      </c>
      <c r="Q643" s="1">
        <v>684</v>
      </c>
      <c r="R643" s="1">
        <v>55</v>
      </c>
      <c r="S643" s="1">
        <f>SUM(ecommerce_sales_all_data[[#This Row],[sales_month_1]:[sales_month_12]])</f>
        <v>5782</v>
      </c>
      <c r="T643" s="3">
        <f t="shared" si="130"/>
        <v>66265.290000000008</v>
      </c>
      <c r="U643" s="3">
        <f t="shared" si="131"/>
        <v>117567.45000000001</v>
      </c>
      <c r="V643" s="3">
        <f t="shared" ref="V643:V706" si="132">I643*$D643</f>
        <v>23677.920000000002</v>
      </c>
      <c r="W643" s="3">
        <f t="shared" ref="W643:W706" si="133">J643*$D643</f>
        <v>85010.31</v>
      </c>
      <c r="X643" s="3">
        <f t="shared" ref="X643:X706" si="134">K643*$D643</f>
        <v>30583.98</v>
      </c>
      <c r="Y643" s="3">
        <f t="shared" ref="Y643:Y706" si="135">L643*$D643</f>
        <v>111483.54000000001</v>
      </c>
      <c r="Z643" s="3">
        <f t="shared" ref="Z643:Z706" si="136">M643*$D643</f>
        <v>149466.87</v>
      </c>
      <c r="AA643" s="3">
        <f t="shared" ref="AA643:AA706" si="137">N643*$D643</f>
        <v>112963.41</v>
      </c>
      <c r="AB643" s="3">
        <f t="shared" ref="AB643:AB706" si="138">O643*$D643</f>
        <v>33543.72</v>
      </c>
      <c r="AC643" s="3">
        <f t="shared" ref="AC643:AC706" si="139">P643*$D643</f>
        <v>98658</v>
      </c>
      <c r="AD643" s="3">
        <f t="shared" ref="AD643:AD706" si="140">Q643*$D643</f>
        <v>112470.12000000001</v>
      </c>
      <c r="AE643" s="3">
        <f t="shared" ref="AE643:AE706" si="141">R643*$D643</f>
        <v>9043.65</v>
      </c>
      <c r="AF643" s="3">
        <f>SUM(ecommerce_sales_all_data[[#This Row],[revenue_month_1]:[revenue_month_12]])</f>
        <v>950734.26</v>
      </c>
    </row>
    <row r="644" spans="1:32" x14ac:dyDescent="0.3">
      <c r="A644">
        <v>643</v>
      </c>
      <c r="B644" t="s">
        <v>667</v>
      </c>
      <c r="C644" t="s">
        <v>29</v>
      </c>
      <c r="D644" s="2">
        <v>109.67</v>
      </c>
      <c r="E644">
        <v>3.1</v>
      </c>
      <c r="F644">
        <v>689</v>
      </c>
      <c r="G644" s="1">
        <v>628</v>
      </c>
      <c r="H644" s="1">
        <v>649</v>
      </c>
      <c r="I644" s="1">
        <v>326</v>
      </c>
      <c r="J644" s="1">
        <v>395</v>
      </c>
      <c r="K644" s="1">
        <v>497</v>
      </c>
      <c r="L644" s="1">
        <v>944</v>
      </c>
      <c r="M644" s="1">
        <v>277</v>
      </c>
      <c r="N644" s="1">
        <v>395</v>
      </c>
      <c r="O644" s="1">
        <v>380</v>
      </c>
      <c r="P644" s="1">
        <v>416</v>
      </c>
      <c r="Q644" s="1">
        <v>157</v>
      </c>
      <c r="R644" s="1">
        <v>526</v>
      </c>
      <c r="S644" s="1">
        <f>SUM(ecommerce_sales_all_data[[#This Row],[sales_month_1]:[sales_month_12]])</f>
        <v>5590</v>
      </c>
      <c r="T644" s="3">
        <f t="shared" si="130"/>
        <v>68872.759999999995</v>
      </c>
      <c r="U644" s="3">
        <f t="shared" si="131"/>
        <v>71175.83</v>
      </c>
      <c r="V644" s="3">
        <f t="shared" si="132"/>
        <v>35752.42</v>
      </c>
      <c r="W644" s="3">
        <f t="shared" si="133"/>
        <v>43319.65</v>
      </c>
      <c r="X644" s="3">
        <f t="shared" si="134"/>
        <v>54505.99</v>
      </c>
      <c r="Y644" s="3">
        <f t="shared" si="135"/>
        <v>103528.48</v>
      </c>
      <c r="Z644" s="3">
        <f t="shared" si="136"/>
        <v>30378.59</v>
      </c>
      <c r="AA644" s="3">
        <f t="shared" si="137"/>
        <v>43319.65</v>
      </c>
      <c r="AB644" s="3">
        <f t="shared" si="138"/>
        <v>41674.6</v>
      </c>
      <c r="AC644" s="3">
        <f t="shared" si="139"/>
        <v>45622.720000000001</v>
      </c>
      <c r="AD644" s="3">
        <f t="shared" si="140"/>
        <v>17218.189999999999</v>
      </c>
      <c r="AE644" s="3">
        <f t="shared" si="141"/>
        <v>57686.42</v>
      </c>
      <c r="AF644" s="3">
        <f>SUM(ecommerce_sales_all_data[[#This Row],[revenue_month_1]:[revenue_month_12]])</f>
        <v>613055.30000000005</v>
      </c>
    </row>
    <row r="645" spans="1:32" x14ac:dyDescent="0.3">
      <c r="A645">
        <v>644</v>
      </c>
      <c r="B645" t="s">
        <v>668</v>
      </c>
      <c r="C645" t="s">
        <v>21</v>
      </c>
      <c r="D645" s="2">
        <v>167.11</v>
      </c>
      <c r="E645">
        <v>3.5</v>
      </c>
      <c r="F645">
        <v>687</v>
      </c>
      <c r="G645" s="1">
        <v>605</v>
      </c>
      <c r="H645" s="1">
        <v>299</v>
      </c>
      <c r="I645" s="1">
        <v>362</v>
      </c>
      <c r="J645" s="1">
        <v>622</v>
      </c>
      <c r="K645" s="1">
        <v>441</v>
      </c>
      <c r="L645" s="1">
        <v>988</v>
      </c>
      <c r="M645" s="1">
        <v>562</v>
      </c>
      <c r="N645" s="1">
        <v>607</v>
      </c>
      <c r="O645" s="1">
        <v>72</v>
      </c>
      <c r="P645" s="1">
        <v>99</v>
      </c>
      <c r="Q645" s="1">
        <v>171</v>
      </c>
      <c r="R645" s="1">
        <v>696</v>
      </c>
      <c r="S645" s="1">
        <f>SUM(ecommerce_sales_all_data[[#This Row],[sales_month_1]:[sales_month_12]])</f>
        <v>5524</v>
      </c>
      <c r="T645" s="3">
        <f t="shared" si="130"/>
        <v>101101.55</v>
      </c>
      <c r="U645" s="3">
        <f t="shared" si="131"/>
        <v>49965.890000000007</v>
      </c>
      <c r="V645" s="3">
        <f t="shared" si="132"/>
        <v>60493.820000000007</v>
      </c>
      <c r="W645" s="3">
        <f t="shared" si="133"/>
        <v>103942.42000000001</v>
      </c>
      <c r="X645" s="3">
        <f t="shared" si="134"/>
        <v>73695.510000000009</v>
      </c>
      <c r="Y645" s="3">
        <f t="shared" si="135"/>
        <v>165104.68000000002</v>
      </c>
      <c r="Z645" s="3">
        <f t="shared" si="136"/>
        <v>93915.82</v>
      </c>
      <c r="AA645" s="3">
        <f t="shared" si="137"/>
        <v>101435.77</v>
      </c>
      <c r="AB645" s="3">
        <f t="shared" si="138"/>
        <v>12031.920000000002</v>
      </c>
      <c r="AC645" s="3">
        <f t="shared" si="139"/>
        <v>16543.890000000003</v>
      </c>
      <c r="AD645" s="3">
        <f t="shared" si="140"/>
        <v>28575.81</v>
      </c>
      <c r="AE645" s="3">
        <f t="shared" si="141"/>
        <v>116308.56000000001</v>
      </c>
      <c r="AF645" s="3">
        <f>SUM(ecommerce_sales_all_data[[#This Row],[revenue_month_1]:[revenue_month_12]])</f>
        <v>923115.64000000036</v>
      </c>
    </row>
    <row r="646" spans="1:32" x14ac:dyDescent="0.3">
      <c r="A646">
        <v>645</v>
      </c>
      <c r="B646" t="s">
        <v>669</v>
      </c>
      <c r="C646" t="s">
        <v>29</v>
      </c>
      <c r="D646" s="2">
        <v>64.28</v>
      </c>
      <c r="E646">
        <v>1.4</v>
      </c>
      <c r="F646">
        <v>852</v>
      </c>
      <c r="G646" s="1">
        <v>674</v>
      </c>
      <c r="H646" s="1">
        <v>394</v>
      </c>
      <c r="I646" s="1">
        <v>49</v>
      </c>
      <c r="J646" s="1">
        <v>293</v>
      </c>
      <c r="K646" s="1">
        <v>129</v>
      </c>
      <c r="L646" s="1">
        <v>81</v>
      </c>
      <c r="M646" s="1">
        <v>662</v>
      </c>
      <c r="N646" s="1">
        <v>856</v>
      </c>
      <c r="O646" s="1">
        <v>515</v>
      </c>
      <c r="P646" s="1">
        <v>188</v>
      </c>
      <c r="Q646" s="1">
        <v>493</v>
      </c>
      <c r="R646" s="1">
        <v>825</v>
      </c>
      <c r="S646" s="1">
        <f>SUM(ecommerce_sales_all_data[[#This Row],[sales_month_1]:[sales_month_12]])</f>
        <v>5159</v>
      </c>
      <c r="T646" s="3">
        <f t="shared" si="130"/>
        <v>43324.72</v>
      </c>
      <c r="U646" s="3">
        <f t="shared" si="131"/>
        <v>25326.32</v>
      </c>
      <c r="V646" s="3">
        <f t="shared" si="132"/>
        <v>3149.7200000000003</v>
      </c>
      <c r="W646" s="3">
        <f t="shared" si="133"/>
        <v>18834.04</v>
      </c>
      <c r="X646" s="3">
        <f t="shared" si="134"/>
        <v>8292.1200000000008</v>
      </c>
      <c r="Y646" s="3">
        <f t="shared" si="135"/>
        <v>5206.68</v>
      </c>
      <c r="Z646" s="3">
        <f t="shared" si="136"/>
        <v>42553.36</v>
      </c>
      <c r="AA646" s="3">
        <f t="shared" si="137"/>
        <v>55023.68</v>
      </c>
      <c r="AB646" s="3">
        <f t="shared" si="138"/>
        <v>33104.199999999997</v>
      </c>
      <c r="AC646" s="3">
        <f t="shared" si="139"/>
        <v>12084.64</v>
      </c>
      <c r="AD646" s="3">
        <f t="shared" si="140"/>
        <v>31690.04</v>
      </c>
      <c r="AE646" s="3">
        <f t="shared" si="141"/>
        <v>53031</v>
      </c>
      <c r="AF646" s="3">
        <f>SUM(ecommerce_sales_all_data[[#This Row],[revenue_month_1]:[revenue_month_12]])</f>
        <v>331620.52</v>
      </c>
    </row>
    <row r="647" spans="1:32" x14ac:dyDescent="0.3">
      <c r="A647">
        <v>646</v>
      </c>
      <c r="B647" t="s">
        <v>670</v>
      </c>
      <c r="C647" t="s">
        <v>29</v>
      </c>
      <c r="D647" s="2">
        <v>445.81</v>
      </c>
      <c r="E647">
        <v>4</v>
      </c>
      <c r="F647">
        <v>850</v>
      </c>
      <c r="G647" s="1">
        <v>610</v>
      </c>
      <c r="H647" s="1">
        <v>206</v>
      </c>
      <c r="I647" s="1">
        <v>64</v>
      </c>
      <c r="J647" s="1">
        <v>588</v>
      </c>
      <c r="K647" s="1">
        <v>638</v>
      </c>
      <c r="L647" s="1">
        <v>427</v>
      </c>
      <c r="M647" s="1">
        <v>943</v>
      </c>
      <c r="N647" s="1">
        <v>102</v>
      </c>
      <c r="O647" s="1">
        <v>75</v>
      </c>
      <c r="P647" s="1">
        <v>988</v>
      </c>
      <c r="Q647" s="1">
        <v>969</v>
      </c>
      <c r="R647" s="1">
        <v>418</v>
      </c>
      <c r="S647" s="1">
        <f>SUM(ecommerce_sales_all_data[[#This Row],[sales_month_1]:[sales_month_12]])</f>
        <v>6028</v>
      </c>
      <c r="T647" s="3">
        <f t="shared" si="130"/>
        <v>271944.09999999998</v>
      </c>
      <c r="U647" s="3">
        <f t="shared" si="131"/>
        <v>91836.86</v>
      </c>
      <c r="V647" s="3">
        <f t="shared" si="132"/>
        <v>28531.84</v>
      </c>
      <c r="W647" s="3">
        <f t="shared" si="133"/>
        <v>262136.28</v>
      </c>
      <c r="X647" s="3">
        <f t="shared" si="134"/>
        <v>284426.78000000003</v>
      </c>
      <c r="Y647" s="3">
        <f t="shared" si="135"/>
        <v>190360.87</v>
      </c>
      <c r="Z647" s="3">
        <f t="shared" si="136"/>
        <v>420398.83</v>
      </c>
      <c r="AA647" s="3">
        <f t="shared" si="137"/>
        <v>45472.62</v>
      </c>
      <c r="AB647" s="3">
        <f t="shared" si="138"/>
        <v>33435.75</v>
      </c>
      <c r="AC647" s="3">
        <f t="shared" si="139"/>
        <v>440460.28</v>
      </c>
      <c r="AD647" s="3">
        <f t="shared" si="140"/>
        <v>431989.89</v>
      </c>
      <c r="AE647" s="3">
        <f t="shared" si="141"/>
        <v>186348.58</v>
      </c>
      <c r="AF647" s="3">
        <f>SUM(ecommerce_sales_all_data[[#This Row],[revenue_month_1]:[revenue_month_12]])</f>
        <v>2687342.68</v>
      </c>
    </row>
    <row r="648" spans="1:32" x14ac:dyDescent="0.3">
      <c r="A648">
        <v>647</v>
      </c>
      <c r="B648" t="s">
        <v>671</v>
      </c>
      <c r="C648" t="s">
        <v>23</v>
      </c>
      <c r="D648" s="2">
        <v>298.83</v>
      </c>
      <c r="E648">
        <v>1.5</v>
      </c>
      <c r="F648">
        <v>658</v>
      </c>
      <c r="G648" s="1">
        <v>624</v>
      </c>
      <c r="H648" s="1">
        <v>335</v>
      </c>
      <c r="I648" s="1">
        <v>354</v>
      </c>
      <c r="J648" s="1">
        <v>348</v>
      </c>
      <c r="K648" s="1">
        <v>291</v>
      </c>
      <c r="L648" s="1">
        <v>583</v>
      </c>
      <c r="M648" s="1">
        <v>454</v>
      </c>
      <c r="N648" s="1">
        <v>401</v>
      </c>
      <c r="O648" s="1">
        <v>840</v>
      </c>
      <c r="P648" s="1">
        <v>889</v>
      </c>
      <c r="Q648" s="1">
        <v>310</v>
      </c>
      <c r="R648" s="1">
        <v>87</v>
      </c>
      <c r="S648" s="1">
        <f>SUM(ecommerce_sales_all_data[[#This Row],[sales_month_1]:[sales_month_12]])</f>
        <v>5516</v>
      </c>
      <c r="T648" s="3">
        <f t="shared" si="130"/>
        <v>186469.91999999998</v>
      </c>
      <c r="U648" s="3">
        <f t="shared" si="131"/>
        <v>100108.04999999999</v>
      </c>
      <c r="V648" s="3">
        <f t="shared" si="132"/>
        <v>105785.81999999999</v>
      </c>
      <c r="W648" s="3">
        <f t="shared" si="133"/>
        <v>103992.84</v>
      </c>
      <c r="X648" s="3">
        <f t="shared" si="134"/>
        <v>86959.53</v>
      </c>
      <c r="Y648" s="3">
        <f t="shared" si="135"/>
        <v>174217.88999999998</v>
      </c>
      <c r="Z648" s="3">
        <f t="shared" si="136"/>
        <v>135668.82</v>
      </c>
      <c r="AA648" s="3">
        <f t="shared" si="137"/>
        <v>119830.82999999999</v>
      </c>
      <c r="AB648" s="3">
        <f t="shared" si="138"/>
        <v>251017.19999999998</v>
      </c>
      <c r="AC648" s="3">
        <f t="shared" si="139"/>
        <v>265659.87</v>
      </c>
      <c r="AD648" s="3">
        <f t="shared" si="140"/>
        <v>92637.299999999988</v>
      </c>
      <c r="AE648" s="3">
        <f t="shared" si="141"/>
        <v>25998.21</v>
      </c>
      <c r="AF648" s="3">
        <f>SUM(ecommerce_sales_all_data[[#This Row],[revenue_month_1]:[revenue_month_12]])</f>
        <v>1648346.28</v>
      </c>
    </row>
    <row r="649" spans="1:32" x14ac:dyDescent="0.3">
      <c r="A649">
        <v>648</v>
      </c>
      <c r="B649" t="s">
        <v>672</v>
      </c>
      <c r="C649" t="s">
        <v>48</v>
      </c>
      <c r="D649" s="2">
        <v>341.16</v>
      </c>
      <c r="E649">
        <v>4.3</v>
      </c>
      <c r="F649">
        <v>962</v>
      </c>
      <c r="G649" s="1">
        <v>358</v>
      </c>
      <c r="H649" s="1">
        <v>592</v>
      </c>
      <c r="I649" s="1">
        <v>799</v>
      </c>
      <c r="J649" s="1">
        <v>146</v>
      </c>
      <c r="K649" s="1">
        <v>113</v>
      </c>
      <c r="L649" s="1">
        <v>821</v>
      </c>
      <c r="M649" s="1">
        <v>103</v>
      </c>
      <c r="N649" s="1">
        <v>974</v>
      </c>
      <c r="O649" s="1">
        <v>76</v>
      </c>
      <c r="P649" s="1">
        <v>857</v>
      </c>
      <c r="Q649" s="1">
        <v>402</v>
      </c>
      <c r="R649" s="1">
        <v>608</v>
      </c>
      <c r="S649" s="1">
        <f>SUM(ecommerce_sales_all_data[[#This Row],[sales_month_1]:[sales_month_12]])</f>
        <v>5849</v>
      </c>
      <c r="T649" s="3">
        <f t="shared" si="130"/>
        <v>122135.28000000001</v>
      </c>
      <c r="U649" s="3">
        <f t="shared" si="131"/>
        <v>201966.72</v>
      </c>
      <c r="V649" s="3">
        <f t="shared" si="132"/>
        <v>272586.84000000003</v>
      </c>
      <c r="W649" s="3">
        <f t="shared" si="133"/>
        <v>49809.36</v>
      </c>
      <c r="X649" s="3">
        <f t="shared" si="134"/>
        <v>38551.08</v>
      </c>
      <c r="Y649" s="3">
        <f t="shared" si="135"/>
        <v>280092.36000000004</v>
      </c>
      <c r="Z649" s="3">
        <f t="shared" si="136"/>
        <v>35139.480000000003</v>
      </c>
      <c r="AA649" s="3">
        <f t="shared" si="137"/>
        <v>332289.84000000003</v>
      </c>
      <c r="AB649" s="3">
        <f t="shared" si="138"/>
        <v>25928.160000000003</v>
      </c>
      <c r="AC649" s="3">
        <f t="shared" si="139"/>
        <v>292374.12</v>
      </c>
      <c r="AD649" s="3">
        <f t="shared" si="140"/>
        <v>137146.32</v>
      </c>
      <c r="AE649" s="3">
        <f t="shared" si="141"/>
        <v>207425.28000000003</v>
      </c>
      <c r="AF649" s="3">
        <f>SUM(ecommerce_sales_all_data[[#This Row],[revenue_month_1]:[revenue_month_12]])</f>
        <v>1995444.8400000003</v>
      </c>
    </row>
    <row r="650" spans="1:32" x14ac:dyDescent="0.3">
      <c r="A650">
        <v>649</v>
      </c>
      <c r="B650" t="s">
        <v>673</v>
      </c>
      <c r="C650" t="s">
        <v>21</v>
      </c>
      <c r="D650" s="2">
        <v>395.64</v>
      </c>
      <c r="E650">
        <v>4.0999999999999996</v>
      </c>
      <c r="F650">
        <v>324</v>
      </c>
      <c r="G650" s="1">
        <v>602</v>
      </c>
      <c r="H650" s="1">
        <v>729</v>
      </c>
      <c r="I650" s="1">
        <v>163</v>
      </c>
      <c r="J650" s="1">
        <v>66</v>
      </c>
      <c r="K650" s="1">
        <v>198</v>
      </c>
      <c r="L650" s="1">
        <v>478</v>
      </c>
      <c r="M650" s="1">
        <v>945</v>
      </c>
      <c r="N650" s="1">
        <v>223</v>
      </c>
      <c r="O650" s="1">
        <v>815</v>
      </c>
      <c r="P650" s="1">
        <v>387</v>
      </c>
      <c r="Q650" s="1">
        <v>668</v>
      </c>
      <c r="R650" s="1">
        <v>655</v>
      </c>
      <c r="S650" s="1">
        <f>SUM(ecommerce_sales_all_data[[#This Row],[sales_month_1]:[sales_month_12]])</f>
        <v>5929</v>
      </c>
      <c r="T650" s="3">
        <f t="shared" si="130"/>
        <v>238175.28</v>
      </c>
      <c r="U650" s="3">
        <f t="shared" si="131"/>
        <v>288421.56</v>
      </c>
      <c r="V650" s="3">
        <f t="shared" si="132"/>
        <v>64489.32</v>
      </c>
      <c r="W650" s="3">
        <f t="shared" si="133"/>
        <v>26112.239999999998</v>
      </c>
      <c r="X650" s="3">
        <f t="shared" si="134"/>
        <v>78336.72</v>
      </c>
      <c r="Y650" s="3">
        <f t="shared" si="135"/>
        <v>189115.91999999998</v>
      </c>
      <c r="Z650" s="3">
        <f t="shared" si="136"/>
        <v>373879.8</v>
      </c>
      <c r="AA650" s="3">
        <f t="shared" si="137"/>
        <v>88227.72</v>
      </c>
      <c r="AB650" s="3">
        <f t="shared" si="138"/>
        <v>322446.59999999998</v>
      </c>
      <c r="AC650" s="3">
        <f t="shared" si="139"/>
        <v>153112.68</v>
      </c>
      <c r="AD650" s="3">
        <f t="shared" si="140"/>
        <v>264287.52</v>
      </c>
      <c r="AE650" s="3">
        <f t="shared" si="141"/>
        <v>259144.19999999998</v>
      </c>
      <c r="AF650" s="3">
        <f>SUM(ecommerce_sales_all_data[[#This Row],[revenue_month_1]:[revenue_month_12]])</f>
        <v>2345749.5599999996</v>
      </c>
    </row>
    <row r="651" spans="1:32" x14ac:dyDescent="0.3">
      <c r="A651">
        <v>650</v>
      </c>
      <c r="B651" t="s">
        <v>674</v>
      </c>
      <c r="C651" t="s">
        <v>48</v>
      </c>
      <c r="D651" s="2">
        <v>251.73</v>
      </c>
      <c r="E651">
        <v>3.8</v>
      </c>
      <c r="F651">
        <v>990</v>
      </c>
      <c r="G651" s="1">
        <v>857</v>
      </c>
      <c r="H651" s="1">
        <v>513</v>
      </c>
      <c r="I651" s="1">
        <v>140</v>
      </c>
      <c r="J651" s="1">
        <v>903</v>
      </c>
      <c r="K651" s="1">
        <v>12</v>
      </c>
      <c r="L651" s="1">
        <v>765</v>
      </c>
      <c r="M651" s="1">
        <v>600</v>
      </c>
      <c r="N651" s="1">
        <v>517</v>
      </c>
      <c r="O651" s="1">
        <v>767</v>
      </c>
      <c r="P651" s="1">
        <v>240</v>
      </c>
      <c r="Q651" s="1">
        <v>769</v>
      </c>
      <c r="R651" s="1">
        <v>7</v>
      </c>
      <c r="S651" s="1">
        <f>SUM(ecommerce_sales_all_data[[#This Row],[sales_month_1]:[sales_month_12]])</f>
        <v>6090</v>
      </c>
      <c r="T651" s="3">
        <f t="shared" si="130"/>
        <v>215732.61</v>
      </c>
      <c r="U651" s="3">
        <f t="shared" si="131"/>
        <v>129137.48999999999</v>
      </c>
      <c r="V651" s="3">
        <f t="shared" si="132"/>
        <v>35242.199999999997</v>
      </c>
      <c r="W651" s="3">
        <f t="shared" si="133"/>
        <v>227312.19</v>
      </c>
      <c r="X651" s="3">
        <f t="shared" si="134"/>
        <v>3020.7599999999998</v>
      </c>
      <c r="Y651" s="3">
        <f t="shared" si="135"/>
        <v>192573.44999999998</v>
      </c>
      <c r="Z651" s="3">
        <f t="shared" si="136"/>
        <v>151038</v>
      </c>
      <c r="AA651" s="3">
        <f t="shared" si="137"/>
        <v>130144.40999999999</v>
      </c>
      <c r="AB651" s="3">
        <f t="shared" si="138"/>
        <v>193076.91</v>
      </c>
      <c r="AC651" s="3">
        <f t="shared" si="139"/>
        <v>60415.199999999997</v>
      </c>
      <c r="AD651" s="3">
        <f t="shared" si="140"/>
        <v>193580.37</v>
      </c>
      <c r="AE651" s="3">
        <f t="shared" si="141"/>
        <v>1762.11</v>
      </c>
      <c r="AF651" s="3">
        <f>SUM(ecommerce_sales_all_data[[#This Row],[revenue_month_1]:[revenue_month_12]])</f>
        <v>1533035.7</v>
      </c>
    </row>
    <row r="652" spans="1:32" x14ac:dyDescent="0.3">
      <c r="A652">
        <v>651</v>
      </c>
      <c r="B652" t="s">
        <v>675</v>
      </c>
      <c r="C652" t="s">
        <v>21</v>
      </c>
      <c r="D652" s="2">
        <v>48.03</v>
      </c>
      <c r="E652">
        <v>1.1000000000000001</v>
      </c>
      <c r="F652">
        <v>673</v>
      </c>
      <c r="G652" s="1">
        <v>717</v>
      </c>
      <c r="H652" s="1">
        <v>177</v>
      </c>
      <c r="I652" s="1">
        <v>965</v>
      </c>
      <c r="J652" s="1">
        <v>519</v>
      </c>
      <c r="K652" s="1">
        <v>270</v>
      </c>
      <c r="L652" s="1">
        <v>161</v>
      </c>
      <c r="M652" s="1">
        <v>652</v>
      </c>
      <c r="N652" s="1">
        <v>633</v>
      </c>
      <c r="O652" s="1">
        <v>409</v>
      </c>
      <c r="P652" s="1">
        <v>781</v>
      </c>
      <c r="Q652" s="1">
        <v>675</v>
      </c>
      <c r="R652" s="1">
        <v>476</v>
      </c>
      <c r="S652" s="1">
        <f>SUM(ecommerce_sales_all_data[[#This Row],[sales_month_1]:[sales_month_12]])</f>
        <v>6435</v>
      </c>
      <c r="T652" s="3">
        <f t="shared" si="130"/>
        <v>34437.51</v>
      </c>
      <c r="U652" s="3">
        <f t="shared" si="131"/>
        <v>8501.31</v>
      </c>
      <c r="V652" s="3">
        <f t="shared" si="132"/>
        <v>46348.950000000004</v>
      </c>
      <c r="W652" s="3">
        <f t="shared" si="133"/>
        <v>24927.57</v>
      </c>
      <c r="X652" s="3">
        <f t="shared" si="134"/>
        <v>12968.1</v>
      </c>
      <c r="Y652" s="3">
        <f t="shared" si="135"/>
        <v>7732.83</v>
      </c>
      <c r="Z652" s="3">
        <f t="shared" si="136"/>
        <v>31315.56</v>
      </c>
      <c r="AA652" s="3">
        <f t="shared" si="137"/>
        <v>30402.99</v>
      </c>
      <c r="AB652" s="3">
        <f t="shared" si="138"/>
        <v>19644.27</v>
      </c>
      <c r="AC652" s="3">
        <f t="shared" si="139"/>
        <v>37511.43</v>
      </c>
      <c r="AD652" s="3">
        <f t="shared" si="140"/>
        <v>32420.25</v>
      </c>
      <c r="AE652" s="3">
        <f t="shared" si="141"/>
        <v>22862.28</v>
      </c>
      <c r="AF652" s="3">
        <f>SUM(ecommerce_sales_all_data[[#This Row],[revenue_month_1]:[revenue_month_12]])</f>
        <v>309073.04999999993</v>
      </c>
    </row>
    <row r="653" spans="1:32" x14ac:dyDescent="0.3">
      <c r="A653">
        <v>652</v>
      </c>
      <c r="B653" t="s">
        <v>676</v>
      </c>
      <c r="C653" t="s">
        <v>48</v>
      </c>
      <c r="D653" s="2">
        <v>270.87</v>
      </c>
      <c r="E653">
        <v>2.2000000000000002</v>
      </c>
      <c r="F653">
        <v>639</v>
      </c>
      <c r="G653" s="1">
        <v>16</v>
      </c>
      <c r="H653" s="1">
        <v>395</v>
      </c>
      <c r="I653" s="1">
        <v>825</v>
      </c>
      <c r="J653" s="1">
        <v>121</v>
      </c>
      <c r="K653" s="1">
        <v>600</v>
      </c>
      <c r="L653" s="1">
        <v>838</v>
      </c>
      <c r="M653" s="1">
        <v>724</v>
      </c>
      <c r="N653" s="1">
        <v>235</v>
      </c>
      <c r="O653" s="1">
        <v>613</v>
      </c>
      <c r="P653" s="1">
        <v>730</v>
      </c>
      <c r="Q653" s="1">
        <v>658</v>
      </c>
      <c r="R653" s="1">
        <v>214</v>
      </c>
      <c r="S653" s="1">
        <f>SUM(ecommerce_sales_all_data[[#This Row],[sales_month_1]:[sales_month_12]])</f>
        <v>5969</v>
      </c>
      <c r="T653" s="3">
        <f t="shared" si="130"/>
        <v>4333.92</v>
      </c>
      <c r="U653" s="3">
        <f t="shared" si="131"/>
        <v>106993.65000000001</v>
      </c>
      <c r="V653" s="3">
        <f t="shared" si="132"/>
        <v>223467.75</v>
      </c>
      <c r="W653" s="3">
        <f t="shared" si="133"/>
        <v>32775.270000000004</v>
      </c>
      <c r="X653" s="3">
        <f t="shared" si="134"/>
        <v>162522</v>
      </c>
      <c r="Y653" s="3">
        <f t="shared" si="135"/>
        <v>226989.06</v>
      </c>
      <c r="Z653" s="3">
        <f t="shared" si="136"/>
        <v>196109.88</v>
      </c>
      <c r="AA653" s="3">
        <f t="shared" si="137"/>
        <v>63654.450000000004</v>
      </c>
      <c r="AB653" s="3">
        <f t="shared" si="138"/>
        <v>166043.31</v>
      </c>
      <c r="AC653" s="3">
        <f t="shared" si="139"/>
        <v>197735.1</v>
      </c>
      <c r="AD653" s="3">
        <f t="shared" si="140"/>
        <v>178232.46</v>
      </c>
      <c r="AE653" s="3">
        <f t="shared" si="141"/>
        <v>57966.18</v>
      </c>
      <c r="AF653" s="3">
        <f>SUM(ecommerce_sales_all_data[[#This Row],[revenue_month_1]:[revenue_month_12]])</f>
        <v>1616823.03</v>
      </c>
    </row>
    <row r="654" spans="1:32" x14ac:dyDescent="0.3">
      <c r="A654">
        <v>653</v>
      </c>
      <c r="B654" t="s">
        <v>677</v>
      </c>
      <c r="C654" t="s">
        <v>29</v>
      </c>
      <c r="D654" s="2">
        <v>295.49</v>
      </c>
      <c r="E654">
        <v>2.1</v>
      </c>
      <c r="F654">
        <v>420</v>
      </c>
      <c r="G654" s="1">
        <v>273</v>
      </c>
      <c r="H654" s="1">
        <v>370</v>
      </c>
      <c r="I654" s="1">
        <v>127</v>
      </c>
      <c r="J654" s="1">
        <v>339</v>
      </c>
      <c r="K654" s="1">
        <v>214</v>
      </c>
      <c r="L654" s="1">
        <v>931</v>
      </c>
      <c r="M654" s="1">
        <v>232</v>
      </c>
      <c r="N654" s="1">
        <v>426</v>
      </c>
      <c r="O654" s="1">
        <v>105</v>
      </c>
      <c r="P654" s="1">
        <v>416</v>
      </c>
      <c r="Q654" s="1">
        <v>902</v>
      </c>
      <c r="R654" s="1">
        <v>684</v>
      </c>
      <c r="S654" s="1">
        <f>SUM(ecommerce_sales_all_data[[#This Row],[sales_month_1]:[sales_month_12]])</f>
        <v>5019</v>
      </c>
      <c r="T654" s="3">
        <f t="shared" si="130"/>
        <v>80668.77</v>
      </c>
      <c r="U654" s="3">
        <f t="shared" si="131"/>
        <v>109331.3</v>
      </c>
      <c r="V654" s="3">
        <f t="shared" si="132"/>
        <v>37527.230000000003</v>
      </c>
      <c r="W654" s="3">
        <f t="shared" si="133"/>
        <v>100171.11</v>
      </c>
      <c r="X654" s="3">
        <f t="shared" si="134"/>
        <v>63234.86</v>
      </c>
      <c r="Y654" s="3">
        <f t="shared" si="135"/>
        <v>275101.19</v>
      </c>
      <c r="Z654" s="3">
        <f t="shared" si="136"/>
        <v>68553.680000000008</v>
      </c>
      <c r="AA654" s="3">
        <f t="shared" si="137"/>
        <v>125878.74</v>
      </c>
      <c r="AB654" s="3">
        <f t="shared" si="138"/>
        <v>31026.45</v>
      </c>
      <c r="AC654" s="3">
        <f t="shared" si="139"/>
        <v>122923.84</v>
      </c>
      <c r="AD654" s="3">
        <f t="shared" si="140"/>
        <v>266531.98</v>
      </c>
      <c r="AE654" s="3">
        <f t="shared" si="141"/>
        <v>202115.16</v>
      </c>
      <c r="AF654" s="3">
        <f>SUM(ecommerce_sales_all_data[[#This Row],[revenue_month_1]:[revenue_month_12]])</f>
        <v>1483064.3099999998</v>
      </c>
    </row>
    <row r="655" spans="1:32" x14ac:dyDescent="0.3">
      <c r="A655">
        <v>654</v>
      </c>
      <c r="B655" t="s">
        <v>678</v>
      </c>
      <c r="C655" t="s">
        <v>48</v>
      </c>
      <c r="D655" s="2">
        <v>373.99</v>
      </c>
      <c r="E655">
        <v>2.4</v>
      </c>
      <c r="F655">
        <v>594</v>
      </c>
      <c r="G655" s="1">
        <v>684</v>
      </c>
      <c r="H655" s="1">
        <v>857</v>
      </c>
      <c r="I655" s="1">
        <v>397</v>
      </c>
      <c r="J655" s="1">
        <v>174</v>
      </c>
      <c r="K655" s="1">
        <v>443</v>
      </c>
      <c r="L655" s="1">
        <v>401</v>
      </c>
      <c r="M655" s="1">
        <v>393</v>
      </c>
      <c r="N655" s="1">
        <v>115</v>
      </c>
      <c r="O655" s="1">
        <v>844</v>
      </c>
      <c r="P655" s="1">
        <v>917</v>
      </c>
      <c r="Q655" s="1">
        <v>665</v>
      </c>
      <c r="R655" s="1">
        <v>734</v>
      </c>
      <c r="S655" s="1">
        <f>SUM(ecommerce_sales_all_data[[#This Row],[sales_month_1]:[sales_month_12]])</f>
        <v>6624</v>
      </c>
      <c r="T655" s="3">
        <f t="shared" si="130"/>
        <v>255809.16</v>
      </c>
      <c r="U655" s="3">
        <f t="shared" si="131"/>
        <v>320509.43</v>
      </c>
      <c r="V655" s="3">
        <f t="shared" si="132"/>
        <v>148474.03</v>
      </c>
      <c r="W655" s="3">
        <f t="shared" si="133"/>
        <v>65074.26</v>
      </c>
      <c r="X655" s="3">
        <f t="shared" si="134"/>
        <v>165677.57</v>
      </c>
      <c r="Y655" s="3">
        <f t="shared" si="135"/>
        <v>149969.99</v>
      </c>
      <c r="Z655" s="3">
        <f t="shared" si="136"/>
        <v>146978.07</v>
      </c>
      <c r="AA655" s="3">
        <f t="shared" si="137"/>
        <v>43008.85</v>
      </c>
      <c r="AB655" s="3">
        <f t="shared" si="138"/>
        <v>315647.56</v>
      </c>
      <c r="AC655" s="3">
        <f t="shared" si="139"/>
        <v>342948.83</v>
      </c>
      <c r="AD655" s="3">
        <f t="shared" si="140"/>
        <v>248703.35</v>
      </c>
      <c r="AE655" s="3">
        <f t="shared" si="141"/>
        <v>274508.66000000003</v>
      </c>
      <c r="AF655" s="3">
        <f>SUM(ecommerce_sales_all_data[[#This Row],[revenue_month_1]:[revenue_month_12]])</f>
        <v>2477309.7600000002</v>
      </c>
    </row>
    <row r="656" spans="1:32" x14ac:dyDescent="0.3">
      <c r="A656">
        <v>655</v>
      </c>
      <c r="B656" t="s">
        <v>679</v>
      </c>
      <c r="C656" t="s">
        <v>48</v>
      </c>
      <c r="D656" s="2">
        <v>218.67</v>
      </c>
      <c r="E656">
        <v>1.4</v>
      </c>
      <c r="F656">
        <v>485</v>
      </c>
      <c r="G656" s="1">
        <v>115</v>
      </c>
      <c r="H656" s="1">
        <v>790</v>
      </c>
      <c r="I656" s="1">
        <v>932</v>
      </c>
      <c r="J656" s="1">
        <v>899</v>
      </c>
      <c r="K656" s="1">
        <v>789</v>
      </c>
      <c r="L656" s="1">
        <v>507</v>
      </c>
      <c r="M656" s="1">
        <v>500</v>
      </c>
      <c r="N656" s="1">
        <v>162</v>
      </c>
      <c r="O656" s="1">
        <v>550</v>
      </c>
      <c r="P656" s="1">
        <v>175</v>
      </c>
      <c r="Q656" s="1">
        <v>462</v>
      </c>
      <c r="R656" s="1">
        <v>551</v>
      </c>
      <c r="S656" s="1">
        <f>SUM(ecommerce_sales_all_data[[#This Row],[sales_month_1]:[sales_month_12]])</f>
        <v>6432</v>
      </c>
      <c r="T656" s="3">
        <f t="shared" si="130"/>
        <v>25147.05</v>
      </c>
      <c r="U656" s="3">
        <f t="shared" si="131"/>
        <v>172749.3</v>
      </c>
      <c r="V656" s="3">
        <f t="shared" si="132"/>
        <v>203800.44</v>
      </c>
      <c r="W656" s="3">
        <f t="shared" si="133"/>
        <v>196584.33</v>
      </c>
      <c r="X656" s="3">
        <f t="shared" si="134"/>
        <v>172530.63</v>
      </c>
      <c r="Y656" s="3">
        <f t="shared" si="135"/>
        <v>110865.68999999999</v>
      </c>
      <c r="Z656" s="3">
        <f t="shared" si="136"/>
        <v>109335</v>
      </c>
      <c r="AA656" s="3">
        <f t="shared" si="137"/>
        <v>35424.54</v>
      </c>
      <c r="AB656" s="3">
        <f t="shared" si="138"/>
        <v>120268.5</v>
      </c>
      <c r="AC656" s="3">
        <f t="shared" si="139"/>
        <v>38267.25</v>
      </c>
      <c r="AD656" s="3">
        <f t="shared" si="140"/>
        <v>101025.54</v>
      </c>
      <c r="AE656" s="3">
        <f t="shared" si="141"/>
        <v>120487.17</v>
      </c>
      <c r="AF656" s="3">
        <f>SUM(ecommerce_sales_all_data[[#This Row],[revenue_month_1]:[revenue_month_12]])</f>
        <v>1406485.44</v>
      </c>
    </row>
    <row r="657" spans="1:32" x14ac:dyDescent="0.3">
      <c r="A657">
        <v>656</v>
      </c>
      <c r="B657" t="s">
        <v>680</v>
      </c>
      <c r="C657" t="s">
        <v>21</v>
      </c>
      <c r="D657" s="2">
        <v>68.150000000000006</v>
      </c>
      <c r="E657">
        <v>4.7</v>
      </c>
      <c r="F657">
        <v>659</v>
      </c>
      <c r="G657" s="1">
        <v>860</v>
      </c>
      <c r="H657" s="1">
        <v>657</v>
      </c>
      <c r="I657" s="1">
        <v>879</v>
      </c>
      <c r="J657" s="1">
        <v>690</v>
      </c>
      <c r="K657" s="1">
        <v>511</v>
      </c>
      <c r="L657" s="1">
        <v>37</v>
      </c>
      <c r="M657" s="1">
        <v>694</v>
      </c>
      <c r="N657" s="1">
        <v>225</v>
      </c>
      <c r="O657" s="1">
        <v>475</v>
      </c>
      <c r="P657" s="1">
        <v>386</v>
      </c>
      <c r="Q657" s="1">
        <v>366</v>
      </c>
      <c r="R657" s="1">
        <v>496</v>
      </c>
      <c r="S657" s="1">
        <f>SUM(ecommerce_sales_all_data[[#This Row],[sales_month_1]:[sales_month_12]])</f>
        <v>6276</v>
      </c>
      <c r="T657" s="3">
        <f t="shared" si="130"/>
        <v>58609.000000000007</v>
      </c>
      <c r="U657" s="3">
        <f t="shared" si="131"/>
        <v>44774.55</v>
      </c>
      <c r="V657" s="3">
        <f t="shared" si="132"/>
        <v>59903.850000000006</v>
      </c>
      <c r="W657" s="3">
        <f t="shared" si="133"/>
        <v>47023.500000000007</v>
      </c>
      <c r="X657" s="3">
        <f t="shared" si="134"/>
        <v>34824.65</v>
      </c>
      <c r="Y657" s="3">
        <f t="shared" si="135"/>
        <v>2521.5500000000002</v>
      </c>
      <c r="Z657" s="3">
        <f t="shared" si="136"/>
        <v>47296.100000000006</v>
      </c>
      <c r="AA657" s="3">
        <f t="shared" si="137"/>
        <v>15333.750000000002</v>
      </c>
      <c r="AB657" s="3">
        <f t="shared" si="138"/>
        <v>32371.250000000004</v>
      </c>
      <c r="AC657" s="3">
        <f t="shared" si="139"/>
        <v>26305.9</v>
      </c>
      <c r="AD657" s="3">
        <f t="shared" si="140"/>
        <v>24942.9</v>
      </c>
      <c r="AE657" s="3">
        <f t="shared" si="141"/>
        <v>33802.400000000001</v>
      </c>
      <c r="AF657" s="3">
        <f>SUM(ecommerce_sales_all_data[[#This Row],[revenue_month_1]:[revenue_month_12]])</f>
        <v>427709.40000000008</v>
      </c>
    </row>
    <row r="658" spans="1:32" x14ac:dyDescent="0.3">
      <c r="A658">
        <v>657</v>
      </c>
      <c r="B658" t="s">
        <v>681</v>
      </c>
      <c r="C658" t="s">
        <v>35</v>
      </c>
      <c r="D658" s="2">
        <v>145.47</v>
      </c>
      <c r="E658">
        <v>3.2</v>
      </c>
      <c r="F658">
        <v>751</v>
      </c>
      <c r="G658" s="1">
        <v>979</v>
      </c>
      <c r="H658" s="1">
        <v>317</v>
      </c>
      <c r="I658" s="1">
        <v>462</v>
      </c>
      <c r="J658" s="1">
        <v>596</v>
      </c>
      <c r="K658" s="1">
        <v>446</v>
      </c>
      <c r="L658" s="1">
        <v>954</v>
      </c>
      <c r="M658" s="1">
        <v>250</v>
      </c>
      <c r="N658" s="1">
        <v>229</v>
      </c>
      <c r="O658" s="1">
        <v>825</v>
      </c>
      <c r="P658" s="1">
        <v>470</v>
      </c>
      <c r="Q658" s="1">
        <v>549</v>
      </c>
      <c r="R658" s="1">
        <v>693</v>
      </c>
      <c r="S658" s="1">
        <f>SUM(ecommerce_sales_all_data[[#This Row],[sales_month_1]:[sales_month_12]])</f>
        <v>6770</v>
      </c>
      <c r="T658" s="3">
        <f t="shared" si="130"/>
        <v>142415.13</v>
      </c>
      <c r="U658" s="3">
        <f t="shared" si="131"/>
        <v>46113.99</v>
      </c>
      <c r="V658" s="3">
        <f t="shared" si="132"/>
        <v>67207.14</v>
      </c>
      <c r="W658" s="3">
        <f t="shared" si="133"/>
        <v>86700.12</v>
      </c>
      <c r="X658" s="3">
        <f t="shared" si="134"/>
        <v>64879.62</v>
      </c>
      <c r="Y658" s="3">
        <f t="shared" si="135"/>
        <v>138778.38</v>
      </c>
      <c r="Z658" s="3">
        <f t="shared" si="136"/>
        <v>36367.5</v>
      </c>
      <c r="AA658" s="3">
        <f t="shared" si="137"/>
        <v>33312.629999999997</v>
      </c>
      <c r="AB658" s="3">
        <f t="shared" si="138"/>
        <v>120012.75</v>
      </c>
      <c r="AC658" s="3">
        <f t="shared" si="139"/>
        <v>68370.899999999994</v>
      </c>
      <c r="AD658" s="3">
        <f t="shared" si="140"/>
        <v>79863.03</v>
      </c>
      <c r="AE658" s="3">
        <f t="shared" si="141"/>
        <v>100810.71</v>
      </c>
      <c r="AF658" s="3">
        <f>SUM(ecommerce_sales_all_data[[#This Row],[revenue_month_1]:[revenue_month_12]])</f>
        <v>984831.9</v>
      </c>
    </row>
    <row r="659" spans="1:32" x14ac:dyDescent="0.3">
      <c r="A659">
        <v>658</v>
      </c>
      <c r="B659" t="s">
        <v>682</v>
      </c>
      <c r="C659" t="s">
        <v>19</v>
      </c>
      <c r="D659" s="2">
        <v>184.73</v>
      </c>
      <c r="E659">
        <v>2.2000000000000002</v>
      </c>
      <c r="F659">
        <v>412</v>
      </c>
      <c r="G659" s="1">
        <v>692</v>
      </c>
      <c r="H659" s="1">
        <v>735</v>
      </c>
      <c r="I659" s="1">
        <v>750</v>
      </c>
      <c r="J659" s="1">
        <v>450</v>
      </c>
      <c r="K659" s="1">
        <v>985</v>
      </c>
      <c r="L659" s="1">
        <v>510</v>
      </c>
      <c r="M659" s="1">
        <v>520</v>
      </c>
      <c r="N659" s="1">
        <v>181</v>
      </c>
      <c r="O659" s="1">
        <v>274</v>
      </c>
      <c r="P659" s="1">
        <v>852</v>
      </c>
      <c r="Q659" s="1">
        <v>642</v>
      </c>
      <c r="R659" s="1">
        <v>502</v>
      </c>
      <c r="S659" s="1">
        <f>SUM(ecommerce_sales_all_data[[#This Row],[sales_month_1]:[sales_month_12]])</f>
        <v>7093</v>
      </c>
      <c r="T659" s="3">
        <f t="shared" si="130"/>
        <v>127833.15999999999</v>
      </c>
      <c r="U659" s="3">
        <f t="shared" si="131"/>
        <v>135776.54999999999</v>
      </c>
      <c r="V659" s="3">
        <f t="shared" si="132"/>
        <v>138547.5</v>
      </c>
      <c r="W659" s="3">
        <f t="shared" si="133"/>
        <v>83128.5</v>
      </c>
      <c r="X659" s="3">
        <f t="shared" si="134"/>
        <v>181959.05</v>
      </c>
      <c r="Y659" s="3">
        <f t="shared" si="135"/>
        <v>94212.299999999988</v>
      </c>
      <c r="Z659" s="3">
        <f t="shared" si="136"/>
        <v>96059.599999999991</v>
      </c>
      <c r="AA659" s="3">
        <f t="shared" si="137"/>
        <v>33436.129999999997</v>
      </c>
      <c r="AB659" s="3">
        <f t="shared" si="138"/>
        <v>50616.02</v>
      </c>
      <c r="AC659" s="3">
        <f t="shared" si="139"/>
        <v>157389.96</v>
      </c>
      <c r="AD659" s="3">
        <f t="shared" si="140"/>
        <v>118596.65999999999</v>
      </c>
      <c r="AE659" s="3">
        <f t="shared" si="141"/>
        <v>92734.459999999992</v>
      </c>
      <c r="AF659" s="3">
        <f>SUM(ecommerce_sales_all_data[[#This Row],[revenue_month_1]:[revenue_month_12]])</f>
        <v>1310289.8899999999</v>
      </c>
    </row>
    <row r="660" spans="1:32" x14ac:dyDescent="0.3">
      <c r="A660">
        <v>659</v>
      </c>
      <c r="B660" t="s">
        <v>683</v>
      </c>
      <c r="C660" t="s">
        <v>21</v>
      </c>
      <c r="D660" s="2">
        <v>324.73</v>
      </c>
      <c r="E660">
        <v>2.6</v>
      </c>
      <c r="F660">
        <v>936</v>
      </c>
      <c r="G660" s="1">
        <v>90</v>
      </c>
      <c r="H660" s="1">
        <v>368</v>
      </c>
      <c r="I660" s="1">
        <v>835</v>
      </c>
      <c r="J660" s="1">
        <v>556</v>
      </c>
      <c r="K660" s="1">
        <v>992</v>
      </c>
      <c r="L660" s="1">
        <v>392</v>
      </c>
      <c r="M660" s="1">
        <v>78</v>
      </c>
      <c r="N660" s="1">
        <v>248</v>
      </c>
      <c r="O660" s="1">
        <v>87</v>
      </c>
      <c r="P660" s="1">
        <v>232</v>
      </c>
      <c r="Q660" s="1">
        <v>869</v>
      </c>
      <c r="R660" s="1">
        <v>781</v>
      </c>
      <c r="S660" s="1">
        <f>SUM(ecommerce_sales_all_data[[#This Row],[sales_month_1]:[sales_month_12]])</f>
        <v>5528</v>
      </c>
      <c r="T660" s="3">
        <f t="shared" si="130"/>
        <v>29225.7</v>
      </c>
      <c r="U660" s="3">
        <f t="shared" si="131"/>
        <v>119500.64000000001</v>
      </c>
      <c r="V660" s="3">
        <f t="shared" si="132"/>
        <v>271149.55</v>
      </c>
      <c r="W660" s="3">
        <f t="shared" si="133"/>
        <v>180549.88</v>
      </c>
      <c r="X660" s="3">
        <f t="shared" si="134"/>
        <v>322132.16000000003</v>
      </c>
      <c r="Y660" s="3">
        <f t="shared" si="135"/>
        <v>127294.16</v>
      </c>
      <c r="Z660" s="3">
        <f t="shared" si="136"/>
        <v>25328.940000000002</v>
      </c>
      <c r="AA660" s="3">
        <f t="shared" si="137"/>
        <v>80533.040000000008</v>
      </c>
      <c r="AB660" s="3">
        <f t="shared" si="138"/>
        <v>28251.510000000002</v>
      </c>
      <c r="AC660" s="3">
        <f t="shared" si="139"/>
        <v>75337.36</v>
      </c>
      <c r="AD660" s="3">
        <f t="shared" si="140"/>
        <v>282190.37</v>
      </c>
      <c r="AE660" s="3">
        <f t="shared" si="141"/>
        <v>253614.13</v>
      </c>
      <c r="AF660" s="3">
        <f>SUM(ecommerce_sales_all_data[[#This Row],[revenue_month_1]:[revenue_month_12]])</f>
        <v>1795107.44</v>
      </c>
    </row>
    <row r="661" spans="1:32" x14ac:dyDescent="0.3">
      <c r="A661">
        <v>660</v>
      </c>
      <c r="B661" t="s">
        <v>684</v>
      </c>
      <c r="C661" t="s">
        <v>21</v>
      </c>
      <c r="D661" s="2">
        <v>287.54000000000002</v>
      </c>
      <c r="E661">
        <v>2.8</v>
      </c>
      <c r="F661">
        <v>84</v>
      </c>
      <c r="G661" s="1">
        <v>81</v>
      </c>
      <c r="H661" s="1">
        <v>383</v>
      </c>
      <c r="I661" s="1">
        <v>807</v>
      </c>
      <c r="J661" s="1">
        <v>135</v>
      </c>
      <c r="K661" s="1">
        <v>714</v>
      </c>
      <c r="L661" s="1">
        <v>712</v>
      </c>
      <c r="M661" s="1">
        <v>51</v>
      </c>
      <c r="N661" s="1">
        <v>317</v>
      </c>
      <c r="O661" s="1">
        <v>722</v>
      </c>
      <c r="P661" s="1">
        <v>662</v>
      </c>
      <c r="Q661" s="1">
        <v>254</v>
      </c>
      <c r="R661" s="1">
        <v>698</v>
      </c>
      <c r="S661" s="1">
        <f>SUM(ecommerce_sales_all_data[[#This Row],[sales_month_1]:[sales_month_12]])</f>
        <v>5536</v>
      </c>
      <c r="T661" s="3">
        <f t="shared" si="130"/>
        <v>23290.74</v>
      </c>
      <c r="U661" s="3">
        <f t="shared" si="131"/>
        <v>110127.82</v>
      </c>
      <c r="V661" s="3">
        <f t="shared" si="132"/>
        <v>232044.78000000003</v>
      </c>
      <c r="W661" s="3">
        <f t="shared" si="133"/>
        <v>38817.9</v>
      </c>
      <c r="X661" s="3">
        <f t="shared" si="134"/>
        <v>205303.56000000003</v>
      </c>
      <c r="Y661" s="3">
        <f t="shared" si="135"/>
        <v>204728.48</v>
      </c>
      <c r="Z661" s="3">
        <f t="shared" si="136"/>
        <v>14664.54</v>
      </c>
      <c r="AA661" s="3">
        <f t="shared" si="137"/>
        <v>91150.180000000008</v>
      </c>
      <c r="AB661" s="3">
        <f t="shared" si="138"/>
        <v>207603.88</v>
      </c>
      <c r="AC661" s="3">
        <f t="shared" si="139"/>
        <v>190351.48</v>
      </c>
      <c r="AD661" s="3">
        <f t="shared" si="140"/>
        <v>73035.16</v>
      </c>
      <c r="AE661" s="3">
        <f t="shared" si="141"/>
        <v>200702.92</v>
      </c>
      <c r="AF661" s="3">
        <f>SUM(ecommerce_sales_all_data[[#This Row],[revenue_month_1]:[revenue_month_12]])</f>
        <v>1591821.44</v>
      </c>
    </row>
    <row r="662" spans="1:32" x14ac:dyDescent="0.3">
      <c r="A662">
        <v>661</v>
      </c>
      <c r="B662" t="s">
        <v>685</v>
      </c>
      <c r="C662" t="s">
        <v>21</v>
      </c>
      <c r="D662" s="2">
        <v>181.27</v>
      </c>
      <c r="E662">
        <v>3.4</v>
      </c>
      <c r="F662">
        <v>113</v>
      </c>
      <c r="G662" s="1">
        <v>323</v>
      </c>
      <c r="H662" s="1">
        <v>61</v>
      </c>
      <c r="I662" s="1">
        <v>186</v>
      </c>
      <c r="J662" s="1">
        <v>854</v>
      </c>
      <c r="K662" s="1">
        <v>73</v>
      </c>
      <c r="L662" s="1">
        <v>493</v>
      </c>
      <c r="M662" s="1">
        <v>897</v>
      </c>
      <c r="N662" s="1">
        <v>964</v>
      </c>
      <c r="O662" s="1">
        <v>880</v>
      </c>
      <c r="P662" s="1">
        <v>451</v>
      </c>
      <c r="Q662" s="1">
        <v>207</v>
      </c>
      <c r="R662" s="1">
        <v>244</v>
      </c>
      <c r="S662" s="1">
        <f>SUM(ecommerce_sales_all_data[[#This Row],[sales_month_1]:[sales_month_12]])</f>
        <v>5633</v>
      </c>
      <c r="T662" s="3">
        <f t="shared" si="130"/>
        <v>58550.210000000006</v>
      </c>
      <c r="U662" s="3">
        <f t="shared" si="131"/>
        <v>11057.470000000001</v>
      </c>
      <c r="V662" s="3">
        <f t="shared" si="132"/>
        <v>33716.22</v>
      </c>
      <c r="W662" s="3">
        <f t="shared" si="133"/>
        <v>154804.58000000002</v>
      </c>
      <c r="X662" s="3">
        <f t="shared" si="134"/>
        <v>13232.710000000001</v>
      </c>
      <c r="Y662" s="3">
        <f t="shared" si="135"/>
        <v>89366.11</v>
      </c>
      <c r="Z662" s="3">
        <f t="shared" si="136"/>
        <v>162599.19</v>
      </c>
      <c r="AA662" s="3">
        <f t="shared" si="137"/>
        <v>174744.28</v>
      </c>
      <c r="AB662" s="3">
        <f t="shared" si="138"/>
        <v>159517.6</v>
      </c>
      <c r="AC662" s="3">
        <f t="shared" si="139"/>
        <v>81752.77</v>
      </c>
      <c r="AD662" s="3">
        <f t="shared" si="140"/>
        <v>37522.89</v>
      </c>
      <c r="AE662" s="3">
        <f t="shared" si="141"/>
        <v>44229.880000000005</v>
      </c>
      <c r="AF662" s="3">
        <f>SUM(ecommerce_sales_all_data[[#This Row],[revenue_month_1]:[revenue_month_12]])</f>
        <v>1021093.91</v>
      </c>
    </row>
    <row r="663" spans="1:32" x14ac:dyDescent="0.3">
      <c r="A663">
        <v>662</v>
      </c>
      <c r="B663" t="s">
        <v>686</v>
      </c>
      <c r="C663" t="s">
        <v>26</v>
      </c>
      <c r="D663" s="2">
        <v>493.33</v>
      </c>
      <c r="E663">
        <v>3.1</v>
      </c>
      <c r="F663">
        <v>737</v>
      </c>
      <c r="G663" s="1">
        <v>960</v>
      </c>
      <c r="H663" s="1">
        <v>805</v>
      </c>
      <c r="I663" s="1">
        <v>719</v>
      </c>
      <c r="J663" s="1">
        <v>15</v>
      </c>
      <c r="K663" s="1">
        <v>536</v>
      </c>
      <c r="L663" s="1">
        <v>199</v>
      </c>
      <c r="M663" s="1">
        <v>920</v>
      </c>
      <c r="N663" s="1">
        <v>209</v>
      </c>
      <c r="O663" s="1">
        <v>76</v>
      </c>
      <c r="P663" s="1">
        <v>276</v>
      </c>
      <c r="Q663" s="1">
        <v>449</v>
      </c>
      <c r="R663" s="1">
        <v>477</v>
      </c>
      <c r="S663" s="1">
        <f>SUM(ecommerce_sales_all_data[[#This Row],[sales_month_1]:[sales_month_12]])</f>
        <v>5641</v>
      </c>
      <c r="T663" s="3">
        <f t="shared" si="130"/>
        <v>473596.8</v>
      </c>
      <c r="U663" s="3">
        <f t="shared" si="131"/>
        <v>397130.64999999997</v>
      </c>
      <c r="V663" s="3">
        <f t="shared" si="132"/>
        <v>354704.26999999996</v>
      </c>
      <c r="W663" s="3">
        <f t="shared" si="133"/>
        <v>7399.95</v>
      </c>
      <c r="X663" s="3">
        <f t="shared" si="134"/>
        <v>264424.88</v>
      </c>
      <c r="Y663" s="3">
        <f t="shared" si="135"/>
        <v>98172.67</v>
      </c>
      <c r="Z663" s="3">
        <f t="shared" si="136"/>
        <v>453863.6</v>
      </c>
      <c r="AA663" s="3">
        <f t="shared" si="137"/>
        <v>103105.97</v>
      </c>
      <c r="AB663" s="3">
        <f t="shared" si="138"/>
        <v>37493.08</v>
      </c>
      <c r="AC663" s="3">
        <f t="shared" si="139"/>
        <v>136159.07999999999</v>
      </c>
      <c r="AD663" s="3">
        <f t="shared" si="140"/>
        <v>221505.16999999998</v>
      </c>
      <c r="AE663" s="3">
        <f t="shared" si="141"/>
        <v>235318.41</v>
      </c>
      <c r="AF663" s="3">
        <f>SUM(ecommerce_sales_all_data[[#This Row],[revenue_month_1]:[revenue_month_12]])</f>
        <v>2782874.5300000003</v>
      </c>
    </row>
    <row r="664" spans="1:32" x14ac:dyDescent="0.3">
      <c r="A664">
        <v>663</v>
      </c>
      <c r="B664" t="s">
        <v>687</v>
      </c>
      <c r="C664" t="s">
        <v>35</v>
      </c>
      <c r="D664" s="2">
        <v>304.86</v>
      </c>
      <c r="E664">
        <v>4.7</v>
      </c>
      <c r="F664">
        <v>332</v>
      </c>
      <c r="G664" s="1">
        <v>113</v>
      </c>
      <c r="H664" s="1">
        <v>504</v>
      </c>
      <c r="I664" s="1">
        <v>731</v>
      </c>
      <c r="J664" s="1">
        <v>332</v>
      </c>
      <c r="K664" s="1">
        <v>100</v>
      </c>
      <c r="L664" s="1">
        <v>254</v>
      </c>
      <c r="M664" s="1">
        <v>780</v>
      </c>
      <c r="N664" s="1">
        <v>655</v>
      </c>
      <c r="O664" s="1">
        <v>76</v>
      </c>
      <c r="P664" s="1">
        <v>228</v>
      </c>
      <c r="Q664" s="1">
        <v>94</v>
      </c>
      <c r="R664" s="1">
        <v>308</v>
      </c>
      <c r="S664" s="1">
        <f>SUM(ecommerce_sales_all_data[[#This Row],[sales_month_1]:[sales_month_12]])</f>
        <v>4175</v>
      </c>
      <c r="T664" s="3">
        <f t="shared" si="130"/>
        <v>34449.18</v>
      </c>
      <c r="U664" s="3">
        <f t="shared" si="131"/>
        <v>153649.44</v>
      </c>
      <c r="V664" s="3">
        <f t="shared" si="132"/>
        <v>222852.66</v>
      </c>
      <c r="W664" s="3">
        <f t="shared" si="133"/>
        <v>101213.52</v>
      </c>
      <c r="X664" s="3">
        <f t="shared" si="134"/>
        <v>30486</v>
      </c>
      <c r="Y664" s="3">
        <f t="shared" si="135"/>
        <v>77434.44</v>
      </c>
      <c r="Z664" s="3">
        <f t="shared" si="136"/>
        <v>237790.80000000002</v>
      </c>
      <c r="AA664" s="3">
        <f t="shared" si="137"/>
        <v>199683.30000000002</v>
      </c>
      <c r="AB664" s="3">
        <f t="shared" si="138"/>
        <v>23169.360000000001</v>
      </c>
      <c r="AC664" s="3">
        <f t="shared" si="139"/>
        <v>69508.08</v>
      </c>
      <c r="AD664" s="3">
        <f t="shared" si="140"/>
        <v>28656.84</v>
      </c>
      <c r="AE664" s="3">
        <f t="shared" si="141"/>
        <v>93896.88</v>
      </c>
      <c r="AF664" s="3">
        <f>SUM(ecommerce_sales_all_data[[#This Row],[revenue_month_1]:[revenue_month_12]])</f>
        <v>1272790.5000000005</v>
      </c>
    </row>
    <row r="665" spans="1:32" x14ac:dyDescent="0.3">
      <c r="A665">
        <v>664</v>
      </c>
      <c r="B665" t="s">
        <v>688</v>
      </c>
      <c r="C665" t="s">
        <v>26</v>
      </c>
      <c r="D665" s="2">
        <v>122.43</v>
      </c>
      <c r="E665">
        <v>3</v>
      </c>
      <c r="F665">
        <v>378</v>
      </c>
      <c r="G665" s="1">
        <v>768</v>
      </c>
      <c r="H665" s="1">
        <v>238</v>
      </c>
      <c r="I665" s="1">
        <v>911</v>
      </c>
      <c r="J665" s="1">
        <v>194</v>
      </c>
      <c r="K665" s="1">
        <v>175</v>
      </c>
      <c r="L665" s="1">
        <v>178</v>
      </c>
      <c r="M665" s="1">
        <v>225</v>
      </c>
      <c r="N665" s="1">
        <v>391</v>
      </c>
      <c r="O665" s="1">
        <v>441</v>
      </c>
      <c r="P665" s="1">
        <v>170</v>
      </c>
      <c r="Q665" s="1">
        <v>859</v>
      </c>
      <c r="R665" s="1">
        <v>230</v>
      </c>
      <c r="S665" s="1">
        <f>SUM(ecommerce_sales_all_data[[#This Row],[sales_month_1]:[sales_month_12]])</f>
        <v>4780</v>
      </c>
      <c r="T665" s="3">
        <f t="shared" si="130"/>
        <v>94026.240000000005</v>
      </c>
      <c r="U665" s="3">
        <f t="shared" si="131"/>
        <v>29138.34</v>
      </c>
      <c r="V665" s="3">
        <f t="shared" si="132"/>
        <v>111533.73000000001</v>
      </c>
      <c r="W665" s="3">
        <f t="shared" si="133"/>
        <v>23751.420000000002</v>
      </c>
      <c r="X665" s="3">
        <f t="shared" si="134"/>
        <v>21425.25</v>
      </c>
      <c r="Y665" s="3">
        <f t="shared" si="135"/>
        <v>21792.54</v>
      </c>
      <c r="Z665" s="3">
        <f t="shared" si="136"/>
        <v>27546.75</v>
      </c>
      <c r="AA665" s="3">
        <f t="shared" si="137"/>
        <v>47870.130000000005</v>
      </c>
      <c r="AB665" s="3">
        <f t="shared" si="138"/>
        <v>53991.630000000005</v>
      </c>
      <c r="AC665" s="3">
        <f t="shared" si="139"/>
        <v>20813.100000000002</v>
      </c>
      <c r="AD665" s="3">
        <f t="shared" si="140"/>
        <v>105167.37000000001</v>
      </c>
      <c r="AE665" s="3">
        <f t="shared" si="141"/>
        <v>28158.9</v>
      </c>
      <c r="AF665" s="3">
        <f>SUM(ecommerce_sales_all_data[[#This Row],[revenue_month_1]:[revenue_month_12]])</f>
        <v>585215.4</v>
      </c>
    </row>
    <row r="666" spans="1:32" x14ac:dyDescent="0.3">
      <c r="A666">
        <v>665</v>
      </c>
      <c r="B666" t="s">
        <v>689</v>
      </c>
      <c r="C666" t="s">
        <v>26</v>
      </c>
      <c r="D666" s="2">
        <v>55.38</v>
      </c>
      <c r="E666">
        <v>5</v>
      </c>
      <c r="F666">
        <v>755</v>
      </c>
      <c r="G666" s="1">
        <v>57</v>
      </c>
      <c r="H666" s="1">
        <v>194</v>
      </c>
      <c r="I666" s="1">
        <v>189</v>
      </c>
      <c r="J666" s="1">
        <v>495</v>
      </c>
      <c r="K666" s="1">
        <v>426</v>
      </c>
      <c r="L666" s="1">
        <v>546</v>
      </c>
      <c r="M666" s="1">
        <v>50</v>
      </c>
      <c r="N666" s="1">
        <v>856</v>
      </c>
      <c r="O666" s="1">
        <v>539</v>
      </c>
      <c r="P666" s="1">
        <v>734</v>
      </c>
      <c r="Q666" s="1">
        <v>838</v>
      </c>
      <c r="R666" s="1">
        <v>382</v>
      </c>
      <c r="S666" s="1">
        <f>SUM(ecommerce_sales_all_data[[#This Row],[sales_month_1]:[sales_month_12]])</f>
        <v>5306</v>
      </c>
      <c r="T666" s="3">
        <f t="shared" si="130"/>
        <v>3156.6600000000003</v>
      </c>
      <c r="U666" s="3">
        <f t="shared" si="131"/>
        <v>10743.720000000001</v>
      </c>
      <c r="V666" s="3">
        <f t="shared" si="132"/>
        <v>10466.82</v>
      </c>
      <c r="W666" s="3">
        <f t="shared" si="133"/>
        <v>27413.100000000002</v>
      </c>
      <c r="X666" s="3">
        <f t="shared" si="134"/>
        <v>23591.88</v>
      </c>
      <c r="Y666" s="3">
        <f t="shared" si="135"/>
        <v>30237.480000000003</v>
      </c>
      <c r="Z666" s="3">
        <f t="shared" si="136"/>
        <v>2769</v>
      </c>
      <c r="AA666" s="3">
        <f t="shared" si="137"/>
        <v>47405.279999999999</v>
      </c>
      <c r="AB666" s="3">
        <f t="shared" si="138"/>
        <v>29849.82</v>
      </c>
      <c r="AC666" s="3">
        <f t="shared" si="139"/>
        <v>40648.92</v>
      </c>
      <c r="AD666" s="3">
        <f t="shared" si="140"/>
        <v>46408.44</v>
      </c>
      <c r="AE666" s="3">
        <f t="shared" si="141"/>
        <v>21155.16</v>
      </c>
      <c r="AF666" s="3">
        <f>SUM(ecommerce_sales_all_data[[#This Row],[revenue_month_1]:[revenue_month_12]])</f>
        <v>293846.27999999997</v>
      </c>
    </row>
    <row r="667" spans="1:32" x14ac:dyDescent="0.3">
      <c r="A667">
        <v>666</v>
      </c>
      <c r="B667" t="s">
        <v>690</v>
      </c>
      <c r="C667" t="s">
        <v>21</v>
      </c>
      <c r="D667" s="2">
        <v>80.67</v>
      </c>
      <c r="E667">
        <v>4.4000000000000004</v>
      </c>
      <c r="F667">
        <v>655</v>
      </c>
      <c r="G667" s="1">
        <v>153</v>
      </c>
      <c r="H667" s="1">
        <v>677</v>
      </c>
      <c r="I667" s="1">
        <v>387</v>
      </c>
      <c r="J667" s="1">
        <v>8</v>
      </c>
      <c r="K667" s="1">
        <v>116</v>
      </c>
      <c r="L667" s="1">
        <v>593</v>
      </c>
      <c r="M667" s="1">
        <v>185</v>
      </c>
      <c r="N667" s="1">
        <v>95</v>
      </c>
      <c r="O667" s="1">
        <v>244</v>
      </c>
      <c r="P667" s="1">
        <v>212</v>
      </c>
      <c r="Q667" s="1">
        <v>477</v>
      </c>
      <c r="R667" s="1">
        <v>154</v>
      </c>
      <c r="S667" s="1">
        <f>SUM(ecommerce_sales_all_data[[#This Row],[sales_month_1]:[sales_month_12]])</f>
        <v>3301</v>
      </c>
      <c r="T667" s="3">
        <f t="shared" si="130"/>
        <v>12342.51</v>
      </c>
      <c r="U667" s="3">
        <f t="shared" si="131"/>
        <v>54613.590000000004</v>
      </c>
      <c r="V667" s="3">
        <f t="shared" si="132"/>
        <v>31219.29</v>
      </c>
      <c r="W667" s="3">
        <f t="shared" si="133"/>
        <v>645.36</v>
      </c>
      <c r="X667" s="3">
        <f t="shared" si="134"/>
        <v>9357.7199999999993</v>
      </c>
      <c r="Y667" s="3">
        <f t="shared" si="135"/>
        <v>47837.31</v>
      </c>
      <c r="Z667" s="3">
        <f t="shared" si="136"/>
        <v>14923.95</v>
      </c>
      <c r="AA667" s="3">
        <f t="shared" si="137"/>
        <v>7663.6500000000005</v>
      </c>
      <c r="AB667" s="3">
        <f t="shared" si="138"/>
        <v>19683.48</v>
      </c>
      <c r="AC667" s="3">
        <f t="shared" si="139"/>
        <v>17102.04</v>
      </c>
      <c r="AD667" s="3">
        <f t="shared" si="140"/>
        <v>38479.590000000004</v>
      </c>
      <c r="AE667" s="3">
        <f t="shared" si="141"/>
        <v>12423.18</v>
      </c>
      <c r="AF667" s="3">
        <f>SUM(ecommerce_sales_all_data[[#This Row],[revenue_month_1]:[revenue_month_12]])</f>
        <v>266291.67000000004</v>
      </c>
    </row>
    <row r="668" spans="1:32" x14ac:dyDescent="0.3">
      <c r="A668">
        <v>667</v>
      </c>
      <c r="B668" t="s">
        <v>691</v>
      </c>
      <c r="C668" t="s">
        <v>19</v>
      </c>
      <c r="D668" s="2">
        <v>126.75</v>
      </c>
      <c r="E668">
        <v>1.8</v>
      </c>
      <c r="F668">
        <v>41</v>
      </c>
      <c r="G668" s="1">
        <v>876</v>
      </c>
      <c r="H668" s="1">
        <v>962</v>
      </c>
      <c r="I668" s="1">
        <v>428</v>
      </c>
      <c r="J668" s="1">
        <v>827</v>
      </c>
      <c r="K668" s="1">
        <v>165</v>
      </c>
      <c r="L668" s="1">
        <v>388</v>
      </c>
      <c r="M668" s="1">
        <v>33</v>
      </c>
      <c r="N668" s="1">
        <v>893</v>
      </c>
      <c r="O668" s="1">
        <v>577</v>
      </c>
      <c r="P668" s="1">
        <v>281</v>
      </c>
      <c r="Q668" s="1">
        <v>682</v>
      </c>
      <c r="R668" s="1">
        <v>174</v>
      </c>
      <c r="S668" s="1">
        <f>SUM(ecommerce_sales_all_data[[#This Row],[sales_month_1]:[sales_month_12]])</f>
        <v>6286</v>
      </c>
      <c r="T668" s="3">
        <f t="shared" si="130"/>
        <v>111033</v>
      </c>
      <c r="U668" s="3">
        <f t="shared" si="131"/>
        <v>121933.5</v>
      </c>
      <c r="V668" s="3">
        <f t="shared" si="132"/>
        <v>54249</v>
      </c>
      <c r="W668" s="3">
        <f t="shared" si="133"/>
        <v>104822.25</v>
      </c>
      <c r="X668" s="3">
        <f t="shared" si="134"/>
        <v>20913.75</v>
      </c>
      <c r="Y668" s="3">
        <f t="shared" si="135"/>
        <v>49179</v>
      </c>
      <c r="Z668" s="3">
        <f t="shared" si="136"/>
        <v>4182.75</v>
      </c>
      <c r="AA668" s="3">
        <f t="shared" si="137"/>
        <v>113187.75</v>
      </c>
      <c r="AB668" s="3">
        <f t="shared" si="138"/>
        <v>73134.75</v>
      </c>
      <c r="AC668" s="3">
        <f t="shared" si="139"/>
        <v>35616.75</v>
      </c>
      <c r="AD668" s="3">
        <f t="shared" si="140"/>
        <v>86443.5</v>
      </c>
      <c r="AE668" s="3">
        <f t="shared" si="141"/>
        <v>22054.5</v>
      </c>
      <c r="AF668" s="3">
        <f>SUM(ecommerce_sales_all_data[[#This Row],[revenue_month_1]:[revenue_month_12]])</f>
        <v>796750.5</v>
      </c>
    </row>
    <row r="669" spans="1:32" x14ac:dyDescent="0.3">
      <c r="A669">
        <v>668</v>
      </c>
      <c r="B669" t="s">
        <v>692</v>
      </c>
      <c r="C669" t="s">
        <v>21</v>
      </c>
      <c r="D669" s="2">
        <v>84.54</v>
      </c>
      <c r="E669">
        <v>4.7</v>
      </c>
      <c r="F669">
        <v>935</v>
      </c>
      <c r="G669" s="1">
        <v>403</v>
      </c>
      <c r="H669" s="1">
        <v>221</v>
      </c>
      <c r="I669" s="1">
        <v>857</v>
      </c>
      <c r="J669" s="1">
        <v>333</v>
      </c>
      <c r="K669" s="1">
        <v>40</v>
      </c>
      <c r="L669" s="1">
        <v>397</v>
      </c>
      <c r="M669" s="1">
        <v>802</v>
      </c>
      <c r="N669" s="1">
        <v>857</v>
      </c>
      <c r="O669" s="1">
        <v>777</v>
      </c>
      <c r="P669" s="1">
        <v>40</v>
      </c>
      <c r="Q669" s="1">
        <v>761</v>
      </c>
      <c r="R669" s="1">
        <v>847</v>
      </c>
      <c r="S669" s="1">
        <f>SUM(ecommerce_sales_all_data[[#This Row],[sales_month_1]:[sales_month_12]])</f>
        <v>6335</v>
      </c>
      <c r="T669" s="3">
        <f t="shared" si="130"/>
        <v>34069.620000000003</v>
      </c>
      <c r="U669" s="3">
        <f t="shared" si="131"/>
        <v>18683.34</v>
      </c>
      <c r="V669" s="3">
        <f t="shared" si="132"/>
        <v>72450.78</v>
      </c>
      <c r="W669" s="3">
        <f t="shared" si="133"/>
        <v>28151.820000000003</v>
      </c>
      <c r="X669" s="3">
        <f t="shared" si="134"/>
        <v>3381.6000000000004</v>
      </c>
      <c r="Y669" s="3">
        <f t="shared" si="135"/>
        <v>33562.380000000005</v>
      </c>
      <c r="Z669" s="3">
        <f t="shared" si="136"/>
        <v>67801.08</v>
      </c>
      <c r="AA669" s="3">
        <f t="shared" si="137"/>
        <v>72450.78</v>
      </c>
      <c r="AB669" s="3">
        <f t="shared" si="138"/>
        <v>65687.58</v>
      </c>
      <c r="AC669" s="3">
        <f t="shared" si="139"/>
        <v>3381.6000000000004</v>
      </c>
      <c r="AD669" s="3">
        <f t="shared" si="140"/>
        <v>64334.94</v>
      </c>
      <c r="AE669" s="3">
        <f t="shared" si="141"/>
        <v>71605.38</v>
      </c>
      <c r="AF669" s="3">
        <f>SUM(ecommerce_sales_all_data[[#This Row],[revenue_month_1]:[revenue_month_12]])</f>
        <v>535560.9</v>
      </c>
    </row>
    <row r="670" spans="1:32" x14ac:dyDescent="0.3">
      <c r="A670">
        <v>669</v>
      </c>
      <c r="B670" t="s">
        <v>693</v>
      </c>
      <c r="C670" t="s">
        <v>29</v>
      </c>
      <c r="D670" s="2">
        <v>97.35</v>
      </c>
      <c r="E670">
        <v>1.5</v>
      </c>
      <c r="F670">
        <v>770</v>
      </c>
      <c r="G670" s="1">
        <v>627</v>
      </c>
      <c r="H670" s="1">
        <v>60</v>
      </c>
      <c r="I670" s="1">
        <v>283</v>
      </c>
      <c r="J670" s="1">
        <v>332</v>
      </c>
      <c r="K670" s="1">
        <v>428</v>
      </c>
      <c r="L670" s="1">
        <v>731</v>
      </c>
      <c r="M670" s="1">
        <v>741</v>
      </c>
      <c r="N670" s="1">
        <v>755</v>
      </c>
      <c r="O670" s="1">
        <v>381</v>
      </c>
      <c r="P670" s="1">
        <v>121</v>
      </c>
      <c r="Q670" s="1">
        <v>189</v>
      </c>
      <c r="R670" s="1">
        <v>114</v>
      </c>
      <c r="S670" s="1">
        <f>SUM(ecommerce_sales_all_data[[#This Row],[sales_month_1]:[sales_month_12]])</f>
        <v>4762</v>
      </c>
      <c r="T670" s="3">
        <f t="shared" si="130"/>
        <v>61038.45</v>
      </c>
      <c r="U670" s="3">
        <f t="shared" si="131"/>
        <v>5841</v>
      </c>
      <c r="V670" s="3">
        <f t="shared" si="132"/>
        <v>27550.05</v>
      </c>
      <c r="W670" s="3">
        <f t="shared" si="133"/>
        <v>32320.199999999997</v>
      </c>
      <c r="X670" s="3">
        <f t="shared" si="134"/>
        <v>41665.799999999996</v>
      </c>
      <c r="Y670" s="3">
        <f t="shared" si="135"/>
        <v>71162.849999999991</v>
      </c>
      <c r="Z670" s="3">
        <f t="shared" si="136"/>
        <v>72136.349999999991</v>
      </c>
      <c r="AA670" s="3">
        <f t="shared" si="137"/>
        <v>73499.25</v>
      </c>
      <c r="AB670" s="3">
        <f t="shared" si="138"/>
        <v>37090.35</v>
      </c>
      <c r="AC670" s="3">
        <f t="shared" si="139"/>
        <v>11779.349999999999</v>
      </c>
      <c r="AD670" s="3">
        <f t="shared" si="140"/>
        <v>18399.149999999998</v>
      </c>
      <c r="AE670" s="3">
        <f t="shared" si="141"/>
        <v>11097.9</v>
      </c>
      <c r="AF670" s="3">
        <f>SUM(ecommerce_sales_all_data[[#This Row],[revenue_month_1]:[revenue_month_12]])</f>
        <v>463580.69999999995</v>
      </c>
    </row>
    <row r="671" spans="1:32" x14ac:dyDescent="0.3">
      <c r="A671">
        <v>670</v>
      </c>
      <c r="B671" t="s">
        <v>694</v>
      </c>
      <c r="C671" t="s">
        <v>19</v>
      </c>
      <c r="D671" s="2">
        <v>146.12</v>
      </c>
      <c r="E671">
        <v>4.3</v>
      </c>
      <c r="F671">
        <v>959</v>
      </c>
      <c r="G671" s="1">
        <v>854</v>
      </c>
      <c r="H671" s="1">
        <v>128</v>
      </c>
      <c r="I671" s="1">
        <v>863</v>
      </c>
      <c r="J671" s="1">
        <v>326</v>
      </c>
      <c r="K671" s="1">
        <v>343</v>
      </c>
      <c r="L671" s="1">
        <v>157</v>
      </c>
      <c r="M671" s="1">
        <v>130</v>
      </c>
      <c r="N671" s="1">
        <v>85</v>
      </c>
      <c r="O671" s="1">
        <v>981</v>
      </c>
      <c r="P671" s="1">
        <v>226</v>
      </c>
      <c r="Q671" s="1">
        <v>710</v>
      </c>
      <c r="R671" s="1">
        <v>389</v>
      </c>
      <c r="S671" s="1">
        <f>SUM(ecommerce_sales_all_data[[#This Row],[sales_month_1]:[sales_month_12]])</f>
        <v>5192</v>
      </c>
      <c r="T671" s="3">
        <f t="shared" si="130"/>
        <v>124786.48000000001</v>
      </c>
      <c r="U671" s="3">
        <f t="shared" si="131"/>
        <v>18703.36</v>
      </c>
      <c r="V671" s="3">
        <f t="shared" si="132"/>
        <v>126101.56</v>
      </c>
      <c r="W671" s="3">
        <f t="shared" si="133"/>
        <v>47635.12</v>
      </c>
      <c r="X671" s="3">
        <f t="shared" si="134"/>
        <v>50119.16</v>
      </c>
      <c r="Y671" s="3">
        <f t="shared" si="135"/>
        <v>22940.84</v>
      </c>
      <c r="Z671" s="3">
        <f t="shared" si="136"/>
        <v>18995.600000000002</v>
      </c>
      <c r="AA671" s="3">
        <f t="shared" si="137"/>
        <v>12420.2</v>
      </c>
      <c r="AB671" s="3">
        <f t="shared" si="138"/>
        <v>143343.72</v>
      </c>
      <c r="AC671" s="3">
        <f t="shared" si="139"/>
        <v>33023.120000000003</v>
      </c>
      <c r="AD671" s="3">
        <f t="shared" si="140"/>
        <v>103745.2</v>
      </c>
      <c r="AE671" s="3">
        <f t="shared" si="141"/>
        <v>56840.68</v>
      </c>
      <c r="AF671" s="3">
        <f>SUM(ecommerce_sales_all_data[[#This Row],[revenue_month_1]:[revenue_month_12]])</f>
        <v>758655.04</v>
      </c>
    </row>
    <row r="672" spans="1:32" x14ac:dyDescent="0.3">
      <c r="A672">
        <v>671</v>
      </c>
      <c r="B672" t="s">
        <v>695</v>
      </c>
      <c r="C672" t="s">
        <v>26</v>
      </c>
      <c r="D672" s="2">
        <v>90.82</v>
      </c>
      <c r="E672">
        <v>2.5</v>
      </c>
      <c r="F672">
        <v>797</v>
      </c>
      <c r="G672" s="1">
        <v>265</v>
      </c>
      <c r="H672" s="1">
        <v>989</v>
      </c>
      <c r="I672" s="1">
        <v>236</v>
      </c>
      <c r="J672" s="1">
        <v>14</v>
      </c>
      <c r="K672" s="1">
        <v>423</v>
      </c>
      <c r="L672" s="1">
        <v>3</v>
      </c>
      <c r="M672" s="1">
        <v>631</v>
      </c>
      <c r="N672" s="1">
        <v>414</v>
      </c>
      <c r="O672" s="1">
        <v>716</v>
      </c>
      <c r="P672" s="1">
        <v>293</v>
      </c>
      <c r="Q672" s="1">
        <v>483</v>
      </c>
      <c r="R672" s="1">
        <v>310</v>
      </c>
      <c r="S672" s="1">
        <f>SUM(ecommerce_sales_all_data[[#This Row],[sales_month_1]:[sales_month_12]])</f>
        <v>4777</v>
      </c>
      <c r="T672" s="3">
        <f t="shared" si="130"/>
        <v>24067.3</v>
      </c>
      <c r="U672" s="3">
        <f t="shared" si="131"/>
        <v>89820.98</v>
      </c>
      <c r="V672" s="3">
        <f t="shared" si="132"/>
        <v>21433.519999999997</v>
      </c>
      <c r="W672" s="3">
        <f t="shared" si="133"/>
        <v>1271.48</v>
      </c>
      <c r="X672" s="3">
        <f t="shared" si="134"/>
        <v>38416.86</v>
      </c>
      <c r="Y672" s="3">
        <f t="shared" si="135"/>
        <v>272.45999999999998</v>
      </c>
      <c r="Z672" s="3">
        <f t="shared" si="136"/>
        <v>57307.42</v>
      </c>
      <c r="AA672" s="3">
        <f t="shared" si="137"/>
        <v>37599.479999999996</v>
      </c>
      <c r="AB672" s="3">
        <f t="shared" si="138"/>
        <v>65027.119999999995</v>
      </c>
      <c r="AC672" s="3">
        <f t="shared" si="139"/>
        <v>26610.26</v>
      </c>
      <c r="AD672" s="3">
        <f t="shared" si="140"/>
        <v>43866.06</v>
      </c>
      <c r="AE672" s="3">
        <f t="shared" si="141"/>
        <v>28154.199999999997</v>
      </c>
      <c r="AF672" s="3">
        <f>SUM(ecommerce_sales_all_data[[#This Row],[revenue_month_1]:[revenue_month_12]])</f>
        <v>433847.14</v>
      </c>
    </row>
    <row r="673" spans="1:32" x14ac:dyDescent="0.3">
      <c r="A673">
        <v>672</v>
      </c>
      <c r="B673" t="s">
        <v>696</v>
      </c>
      <c r="C673" t="s">
        <v>48</v>
      </c>
      <c r="D673" s="2">
        <v>448.9</v>
      </c>
      <c r="E673">
        <v>4.5</v>
      </c>
      <c r="F673">
        <v>105</v>
      </c>
      <c r="G673" s="1">
        <v>314</v>
      </c>
      <c r="H673" s="1">
        <v>684</v>
      </c>
      <c r="I673" s="1">
        <v>193</v>
      </c>
      <c r="J673" s="1">
        <v>838</v>
      </c>
      <c r="K673" s="1">
        <v>365</v>
      </c>
      <c r="L673" s="1">
        <v>166</v>
      </c>
      <c r="M673" s="1">
        <v>442</v>
      </c>
      <c r="N673" s="1">
        <v>393</v>
      </c>
      <c r="O673" s="1">
        <v>569</v>
      </c>
      <c r="P673" s="1">
        <v>599</v>
      </c>
      <c r="Q673" s="1">
        <v>732</v>
      </c>
      <c r="R673" s="1">
        <v>992</v>
      </c>
      <c r="S673" s="1">
        <f>SUM(ecommerce_sales_all_data[[#This Row],[sales_month_1]:[sales_month_12]])</f>
        <v>6287</v>
      </c>
      <c r="T673" s="3">
        <f t="shared" si="130"/>
        <v>140954.6</v>
      </c>
      <c r="U673" s="3">
        <f t="shared" si="131"/>
        <v>307047.59999999998</v>
      </c>
      <c r="V673" s="3">
        <f t="shared" si="132"/>
        <v>86637.7</v>
      </c>
      <c r="W673" s="3">
        <f t="shared" si="133"/>
        <v>376178.19999999995</v>
      </c>
      <c r="X673" s="3">
        <f t="shared" si="134"/>
        <v>163848.5</v>
      </c>
      <c r="Y673" s="3">
        <f t="shared" si="135"/>
        <v>74517.399999999994</v>
      </c>
      <c r="Z673" s="3">
        <f t="shared" si="136"/>
        <v>198413.8</v>
      </c>
      <c r="AA673" s="3">
        <f t="shared" si="137"/>
        <v>176417.69999999998</v>
      </c>
      <c r="AB673" s="3">
        <f t="shared" si="138"/>
        <v>255424.09999999998</v>
      </c>
      <c r="AC673" s="3">
        <f t="shared" si="139"/>
        <v>268891.09999999998</v>
      </c>
      <c r="AD673" s="3">
        <f t="shared" si="140"/>
        <v>328594.8</v>
      </c>
      <c r="AE673" s="3">
        <f t="shared" si="141"/>
        <v>445308.8</v>
      </c>
      <c r="AF673" s="3">
        <f>SUM(ecommerce_sales_all_data[[#This Row],[revenue_month_1]:[revenue_month_12]])</f>
        <v>2822234.2999999993</v>
      </c>
    </row>
    <row r="674" spans="1:32" x14ac:dyDescent="0.3">
      <c r="A674">
        <v>673</v>
      </c>
      <c r="B674" t="s">
        <v>697</v>
      </c>
      <c r="C674" t="s">
        <v>48</v>
      </c>
      <c r="D674" s="2">
        <v>44.72</v>
      </c>
      <c r="E674">
        <v>4.5</v>
      </c>
      <c r="F674">
        <v>202</v>
      </c>
      <c r="G674" s="1">
        <v>714</v>
      </c>
      <c r="H674" s="1">
        <v>991</v>
      </c>
      <c r="I674" s="1">
        <v>286</v>
      </c>
      <c r="J674" s="1">
        <v>613</v>
      </c>
      <c r="K674" s="1">
        <v>119</v>
      </c>
      <c r="L674" s="1">
        <v>467</v>
      </c>
      <c r="M674" s="1">
        <v>837</v>
      </c>
      <c r="N674" s="1">
        <v>695</v>
      </c>
      <c r="O674" s="1">
        <v>712</v>
      </c>
      <c r="P674" s="1">
        <v>266</v>
      </c>
      <c r="Q674" s="1">
        <v>535</v>
      </c>
      <c r="R674" s="1">
        <v>299</v>
      </c>
      <c r="S674" s="1">
        <f>SUM(ecommerce_sales_all_data[[#This Row],[sales_month_1]:[sales_month_12]])</f>
        <v>6534</v>
      </c>
      <c r="T674" s="3">
        <f t="shared" si="130"/>
        <v>31930.079999999998</v>
      </c>
      <c r="U674" s="3">
        <f t="shared" si="131"/>
        <v>44317.52</v>
      </c>
      <c r="V674" s="3">
        <f t="shared" si="132"/>
        <v>12789.92</v>
      </c>
      <c r="W674" s="3">
        <f t="shared" si="133"/>
        <v>27413.360000000001</v>
      </c>
      <c r="X674" s="3">
        <f t="shared" si="134"/>
        <v>5321.68</v>
      </c>
      <c r="Y674" s="3">
        <f t="shared" si="135"/>
        <v>20884.239999999998</v>
      </c>
      <c r="Z674" s="3">
        <f t="shared" si="136"/>
        <v>37430.639999999999</v>
      </c>
      <c r="AA674" s="3">
        <f t="shared" si="137"/>
        <v>31080.399999999998</v>
      </c>
      <c r="AB674" s="3">
        <f t="shared" si="138"/>
        <v>31840.639999999999</v>
      </c>
      <c r="AC674" s="3">
        <f t="shared" si="139"/>
        <v>11895.52</v>
      </c>
      <c r="AD674" s="3">
        <f t="shared" si="140"/>
        <v>23925.200000000001</v>
      </c>
      <c r="AE674" s="3">
        <f t="shared" si="141"/>
        <v>13371.279999999999</v>
      </c>
      <c r="AF674" s="3">
        <f>SUM(ecommerce_sales_all_data[[#This Row],[revenue_month_1]:[revenue_month_12]])</f>
        <v>292200.48</v>
      </c>
    </row>
    <row r="675" spans="1:32" x14ac:dyDescent="0.3">
      <c r="A675">
        <v>674</v>
      </c>
      <c r="B675" t="s">
        <v>698</v>
      </c>
      <c r="C675" t="s">
        <v>35</v>
      </c>
      <c r="D675" s="2">
        <v>264.63</v>
      </c>
      <c r="E675">
        <v>4.2</v>
      </c>
      <c r="F675">
        <v>450</v>
      </c>
      <c r="G675" s="1">
        <v>40</v>
      </c>
      <c r="H675" s="1">
        <v>155</v>
      </c>
      <c r="I675" s="1">
        <v>770</v>
      </c>
      <c r="J675" s="1">
        <v>225</v>
      </c>
      <c r="K675" s="1">
        <v>608</v>
      </c>
      <c r="L675" s="1">
        <v>959</v>
      </c>
      <c r="M675" s="1">
        <v>758</v>
      </c>
      <c r="N675" s="1">
        <v>632</v>
      </c>
      <c r="O675" s="1">
        <v>736</v>
      </c>
      <c r="P675" s="1">
        <v>1000</v>
      </c>
      <c r="Q675" s="1">
        <v>755</v>
      </c>
      <c r="R675" s="1">
        <v>17</v>
      </c>
      <c r="S675" s="1">
        <f>SUM(ecommerce_sales_all_data[[#This Row],[sales_month_1]:[sales_month_12]])</f>
        <v>6655</v>
      </c>
      <c r="T675" s="3">
        <f t="shared" si="130"/>
        <v>10585.2</v>
      </c>
      <c r="U675" s="3">
        <f t="shared" si="131"/>
        <v>41017.65</v>
      </c>
      <c r="V675" s="3">
        <f t="shared" si="132"/>
        <v>203765.1</v>
      </c>
      <c r="W675" s="3">
        <f t="shared" si="133"/>
        <v>59541.75</v>
      </c>
      <c r="X675" s="3">
        <f t="shared" si="134"/>
        <v>160895.04000000001</v>
      </c>
      <c r="Y675" s="3">
        <f t="shared" si="135"/>
        <v>253780.16999999998</v>
      </c>
      <c r="Z675" s="3">
        <f t="shared" si="136"/>
        <v>200589.54</v>
      </c>
      <c r="AA675" s="3">
        <f t="shared" si="137"/>
        <v>167246.16</v>
      </c>
      <c r="AB675" s="3">
        <f t="shared" si="138"/>
        <v>194767.68</v>
      </c>
      <c r="AC675" s="3">
        <f t="shared" si="139"/>
        <v>264630</v>
      </c>
      <c r="AD675" s="3">
        <f t="shared" si="140"/>
        <v>199795.65</v>
      </c>
      <c r="AE675" s="3">
        <f t="shared" si="141"/>
        <v>4498.71</v>
      </c>
      <c r="AF675" s="3">
        <f>SUM(ecommerce_sales_all_data[[#This Row],[revenue_month_1]:[revenue_month_12]])</f>
        <v>1761112.6499999997</v>
      </c>
    </row>
    <row r="676" spans="1:32" x14ac:dyDescent="0.3">
      <c r="A676">
        <v>675</v>
      </c>
      <c r="B676" t="s">
        <v>699</v>
      </c>
      <c r="C676" t="s">
        <v>23</v>
      </c>
      <c r="D676" s="2">
        <v>208.15</v>
      </c>
      <c r="E676">
        <v>4.2</v>
      </c>
      <c r="F676">
        <v>819</v>
      </c>
      <c r="G676" s="1">
        <v>104</v>
      </c>
      <c r="H676" s="1">
        <v>916</v>
      </c>
      <c r="I676" s="1">
        <v>757</v>
      </c>
      <c r="J676" s="1">
        <v>424</v>
      </c>
      <c r="K676" s="1">
        <v>656</v>
      </c>
      <c r="L676" s="1">
        <v>408</v>
      </c>
      <c r="M676" s="1">
        <v>431</v>
      </c>
      <c r="N676" s="1">
        <v>843</v>
      </c>
      <c r="O676" s="1">
        <v>141</v>
      </c>
      <c r="P676" s="1">
        <v>540</v>
      </c>
      <c r="Q676" s="1">
        <v>422</v>
      </c>
      <c r="R676" s="1">
        <v>783</v>
      </c>
      <c r="S676" s="1">
        <f>SUM(ecommerce_sales_all_data[[#This Row],[sales_month_1]:[sales_month_12]])</f>
        <v>6425</v>
      </c>
      <c r="T676" s="3">
        <f t="shared" si="130"/>
        <v>21647.600000000002</v>
      </c>
      <c r="U676" s="3">
        <f t="shared" si="131"/>
        <v>190665.4</v>
      </c>
      <c r="V676" s="3">
        <f t="shared" si="132"/>
        <v>157569.55000000002</v>
      </c>
      <c r="W676" s="3">
        <f t="shared" si="133"/>
        <v>88255.6</v>
      </c>
      <c r="X676" s="3">
        <f t="shared" si="134"/>
        <v>136546.4</v>
      </c>
      <c r="Y676" s="3">
        <f t="shared" si="135"/>
        <v>84925.2</v>
      </c>
      <c r="Z676" s="3">
        <f t="shared" si="136"/>
        <v>89712.650000000009</v>
      </c>
      <c r="AA676" s="3">
        <f t="shared" si="137"/>
        <v>175470.45</v>
      </c>
      <c r="AB676" s="3">
        <f t="shared" si="138"/>
        <v>29349.15</v>
      </c>
      <c r="AC676" s="3">
        <f t="shared" si="139"/>
        <v>112401</v>
      </c>
      <c r="AD676" s="3">
        <f t="shared" si="140"/>
        <v>87839.3</v>
      </c>
      <c r="AE676" s="3">
        <f t="shared" si="141"/>
        <v>162981.45000000001</v>
      </c>
      <c r="AF676" s="3">
        <f>SUM(ecommerce_sales_all_data[[#This Row],[revenue_month_1]:[revenue_month_12]])</f>
        <v>1337363.75</v>
      </c>
    </row>
    <row r="677" spans="1:32" x14ac:dyDescent="0.3">
      <c r="A677">
        <v>676</v>
      </c>
      <c r="B677" t="s">
        <v>700</v>
      </c>
      <c r="C677" t="s">
        <v>35</v>
      </c>
      <c r="D677" s="2">
        <v>491.28</v>
      </c>
      <c r="E677">
        <v>2.2000000000000002</v>
      </c>
      <c r="F677">
        <v>843</v>
      </c>
      <c r="G677" s="1">
        <v>900</v>
      </c>
      <c r="H677" s="1">
        <v>377</v>
      </c>
      <c r="I677" s="1">
        <v>135</v>
      </c>
      <c r="J677" s="1">
        <v>789</v>
      </c>
      <c r="K677" s="1">
        <v>727</v>
      </c>
      <c r="L677" s="1">
        <v>411</v>
      </c>
      <c r="M677" s="1">
        <v>703</v>
      </c>
      <c r="N677" s="1">
        <v>500</v>
      </c>
      <c r="O677" s="1">
        <v>892</v>
      </c>
      <c r="P677" s="1">
        <v>758</v>
      </c>
      <c r="Q677" s="1">
        <v>835</v>
      </c>
      <c r="R677" s="1">
        <v>11</v>
      </c>
      <c r="S677" s="1">
        <f>SUM(ecommerce_sales_all_data[[#This Row],[sales_month_1]:[sales_month_12]])</f>
        <v>7038</v>
      </c>
      <c r="T677" s="3">
        <f t="shared" si="130"/>
        <v>442152</v>
      </c>
      <c r="U677" s="3">
        <f t="shared" si="131"/>
        <v>185212.56</v>
      </c>
      <c r="V677" s="3">
        <f t="shared" si="132"/>
        <v>66322.8</v>
      </c>
      <c r="W677" s="3">
        <f t="shared" si="133"/>
        <v>387619.92</v>
      </c>
      <c r="X677" s="3">
        <f t="shared" si="134"/>
        <v>357160.56</v>
      </c>
      <c r="Y677" s="3">
        <f t="shared" si="135"/>
        <v>201916.08</v>
      </c>
      <c r="Z677" s="3">
        <f t="shared" si="136"/>
        <v>345369.83999999997</v>
      </c>
      <c r="AA677" s="3">
        <f t="shared" si="137"/>
        <v>245640</v>
      </c>
      <c r="AB677" s="3">
        <f t="shared" si="138"/>
        <v>438221.75999999995</v>
      </c>
      <c r="AC677" s="3">
        <f t="shared" si="139"/>
        <v>372390.24</v>
      </c>
      <c r="AD677" s="3">
        <f t="shared" si="140"/>
        <v>410218.8</v>
      </c>
      <c r="AE677" s="3">
        <f t="shared" si="141"/>
        <v>5404.08</v>
      </c>
      <c r="AF677" s="3">
        <f>SUM(ecommerce_sales_all_data[[#This Row],[revenue_month_1]:[revenue_month_12]])</f>
        <v>3457628.6399999997</v>
      </c>
    </row>
    <row r="678" spans="1:32" x14ac:dyDescent="0.3">
      <c r="A678">
        <v>677</v>
      </c>
      <c r="B678" t="s">
        <v>701</v>
      </c>
      <c r="C678" t="s">
        <v>19</v>
      </c>
      <c r="D678" s="2">
        <v>60.46</v>
      </c>
      <c r="E678">
        <v>1.3</v>
      </c>
      <c r="F678">
        <v>973</v>
      </c>
      <c r="G678" s="1">
        <v>889</v>
      </c>
      <c r="H678" s="1">
        <v>621</v>
      </c>
      <c r="I678" s="1">
        <v>791</v>
      </c>
      <c r="J678" s="1">
        <v>407</v>
      </c>
      <c r="K678" s="1">
        <v>228</v>
      </c>
      <c r="L678" s="1">
        <v>203</v>
      </c>
      <c r="M678" s="1">
        <v>496</v>
      </c>
      <c r="N678" s="1">
        <v>603</v>
      </c>
      <c r="O678" s="1">
        <v>367</v>
      </c>
      <c r="P678" s="1">
        <v>827</v>
      </c>
      <c r="Q678" s="1">
        <v>639</v>
      </c>
      <c r="R678" s="1">
        <v>403</v>
      </c>
      <c r="S678" s="1">
        <f>SUM(ecommerce_sales_all_data[[#This Row],[sales_month_1]:[sales_month_12]])</f>
        <v>6474</v>
      </c>
      <c r="T678" s="3">
        <f t="shared" si="130"/>
        <v>53748.94</v>
      </c>
      <c r="U678" s="3">
        <f t="shared" si="131"/>
        <v>37545.660000000003</v>
      </c>
      <c r="V678" s="3">
        <f t="shared" si="132"/>
        <v>47823.86</v>
      </c>
      <c r="W678" s="3">
        <f t="shared" si="133"/>
        <v>24607.22</v>
      </c>
      <c r="X678" s="3">
        <f t="shared" si="134"/>
        <v>13784.880000000001</v>
      </c>
      <c r="Y678" s="3">
        <f t="shared" si="135"/>
        <v>12273.380000000001</v>
      </c>
      <c r="Z678" s="3">
        <f t="shared" si="136"/>
        <v>29988.16</v>
      </c>
      <c r="AA678" s="3">
        <f t="shared" si="137"/>
        <v>36457.379999999997</v>
      </c>
      <c r="AB678" s="3">
        <f t="shared" si="138"/>
        <v>22188.82</v>
      </c>
      <c r="AC678" s="3">
        <f t="shared" si="139"/>
        <v>50000.42</v>
      </c>
      <c r="AD678" s="3">
        <f t="shared" si="140"/>
        <v>38633.94</v>
      </c>
      <c r="AE678" s="3">
        <f t="shared" si="141"/>
        <v>24365.38</v>
      </c>
      <c r="AF678" s="3">
        <f>SUM(ecommerce_sales_all_data[[#This Row],[revenue_month_1]:[revenue_month_12]])</f>
        <v>391418.04000000004</v>
      </c>
    </row>
    <row r="679" spans="1:32" x14ac:dyDescent="0.3">
      <c r="A679">
        <v>678</v>
      </c>
      <c r="B679" t="s">
        <v>702</v>
      </c>
      <c r="C679" t="s">
        <v>26</v>
      </c>
      <c r="D679" s="2">
        <v>201.94</v>
      </c>
      <c r="E679">
        <v>2.6</v>
      </c>
      <c r="F679">
        <v>266</v>
      </c>
      <c r="G679" s="1">
        <v>192</v>
      </c>
      <c r="H679" s="1">
        <v>780</v>
      </c>
      <c r="I679" s="1">
        <v>782</v>
      </c>
      <c r="J679" s="1">
        <v>112</v>
      </c>
      <c r="K679" s="1">
        <v>824</v>
      </c>
      <c r="L679" s="1">
        <v>193</v>
      </c>
      <c r="M679" s="1">
        <v>402</v>
      </c>
      <c r="N679" s="1">
        <v>581</v>
      </c>
      <c r="O679" s="1">
        <v>83</v>
      </c>
      <c r="P679" s="1">
        <v>450</v>
      </c>
      <c r="Q679" s="1">
        <v>604</v>
      </c>
      <c r="R679" s="1">
        <v>812</v>
      </c>
      <c r="S679" s="1">
        <f>SUM(ecommerce_sales_all_data[[#This Row],[sales_month_1]:[sales_month_12]])</f>
        <v>5815</v>
      </c>
      <c r="T679" s="3">
        <f t="shared" si="130"/>
        <v>38772.479999999996</v>
      </c>
      <c r="U679" s="3">
        <f t="shared" si="131"/>
        <v>157513.20000000001</v>
      </c>
      <c r="V679" s="3">
        <f t="shared" si="132"/>
        <v>157917.07999999999</v>
      </c>
      <c r="W679" s="3">
        <f t="shared" si="133"/>
        <v>22617.279999999999</v>
      </c>
      <c r="X679" s="3">
        <f t="shared" si="134"/>
        <v>166398.56</v>
      </c>
      <c r="Y679" s="3">
        <f t="shared" si="135"/>
        <v>38974.42</v>
      </c>
      <c r="Z679" s="3">
        <f t="shared" si="136"/>
        <v>81179.88</v>
      </c>
      <c r="AA679" s="3">
        <f t="shared" si="137"/>
        <v>117327.14</v>
      </c>
      <c r="AB679" s="3">
        <f t="shared" si="138"/>
        <v>16761.02</v>
      </c>
      <c r="AC679" s="3">
        <f t="shared" si="139"/>
        <v>90873</v>
      </c>
      <c r="AD679" s="3">
        <f t="shared" si="140"/>
        <v>121971.76</v>
      </c>
      <c r="AE679" s="3">
        <f t="shared" si="141"/>
        <v>163975.28</v>
      </c>
      <c r="AF679" s="3">
        <f>SUM(ecommerce_sales_all_data[[#This Row],[revenue_month_1]:[revenue_month_12]])</f>
        <v>1174281.1000000001</v>
      </c>
    </row>
    <row r="680" spans="1:32" x14ac:dyDescent="0.3">
      <c r="A680">
        <v>679</v>
      </c>
      <c r="B680" t="s">
        <v>703</v>
      </c>
      <c r="C680" t="s">
        <v>19</v>
      </c>
      <c r="D680" s="2">
        <v>484.89</v>
      </c>
      <c r="E680">
        <v>1.7</v>
      </c>
      <c r="F680">
        <v>910</v>
      </c>
      <c r="G680" s="1">
        <v>400</v>
      </c>
      <c r="H680" s="1">
        <v>922</v>
      </c>
      <c r="I680" s="1">
        <v>170</v>
      </c>
      <c r="J680" s="1">
        <v>996</v>
      </c>
      <c r="K680" s="1">
        <v>129</v>
      </c>
      <c r="L680" s="1">
        <v>234</v>
      </c>
      <c r="M680" s="1">
        <v>322</v>
      </c>
      <c r="N680" s="1">
        <v>915</v>
      </c>
      <c r="O680" s="1">
        <v>142</v>
      </c>
      <c r="P680" s="1">
        <v>448</v>
      </c>
      <c r="Q680" s="1">
        <v>811</v>
      </c>
      <c r="R680" s="1">
        <v>703</v>
      </c>
      <c r="S680" s="1">
        <f>SUM(ecommerce_sales_all_data[[#This Row],[sales_month_1]:[sales_month_12]])</f>
        <v>6192</v>
      </c>
      <c r="T680" s="3">
        <f t="shared" si="130"/>
        <v>193956</v>
      </c>
      <c r="U680" s="3">
        <f t="shared" si="131"/>
        <v>447068.58</v>
      </c>
      <c r="V680" s="3">
        <f t="shared" si="132"/>
        <v>82431.3</v>
      </c>
      <c r="W680" s="3">
        <f t="shared" si="133"/>
        <v>482950.44</v>
      </c>
      <c r="X680" s="3">
        <f t="shared" si="134"/>
        <v>62550.81</v>
      </c>
      <c r="Y680" s="3">
        <f t="shared" si="135"/>
        <v>113464.26</v>
      </c>
      <c r="Z680" s="3">
        <f t="shared" si="136"/>
        <v>156134.57999999999</v>
      </c>
      <c r="AA680" s="3">
        <f t="shared" si="137"/>
        <v>443674.35</v>
      </c>
      <c r="AB680" s="3">
        <f t="shared" si="138"/>
        <v>68854.38</v>
      </c>
      <c r="AC680" s="3">
        <f t="shared" si="139"/>
        <v>217230.72</v>
      </c>
      <c r="AD680" s="3">
        <f t="shared" si="140"/>
        <v>393245.79</v>
      </c>
      <c r="AE680" s="3">
        <f t="shared" si="141"/>
        <v>340877.67</v>
      </c>
      <c r="AF680" s="3">
        <f>SUM(ecommerce_sales_all_data[[#This Row],[revenue_month_1]:[revenue_month_12]])</f>
        <v>3002438.8800000004</v>
      </c>
    </row>
    <row r="681" spans="1:32" x14ac:dyDescent="0.3">
      <c r="A681">
        <v>680</v>
      </c>
      <c r="B681" t="s">
        <v>704</v>
      </c>
      <c r="C681" t="s">
        <v>19</v>
      </c>
      <c r="D681" s="2">
        <v>433.43</v>
      </c>
      <c r="E681">
        <v>3.8</v>
      </c>
      <c r="F681">
        <v>210</v>
      </c>
      <c r="G681" s="1">
        <v>277</v>
      </c>
      <c r="H681" s="1">
        <v>867</v>
      </c>
      <c r="I681" s="1">
        <v>158</v>
      </c>
      <c r="J681" s="1">
        <v>427</v>
      </c>
      <c r="K681" s="1">
        <v>351</v>
      </c>
      <c r="L681" s="1">
        <v>717</v>
      </c>
      <c r="M681" s="1">
        <v>209</v>
      </c>
      <c r="N681" s="1">
        <v>132</v>
      </c>
      <c r="O681" s="1">
        <v>351</v>
      </c>
      <c r="P681" s="1">
        <v>755</v>
      </c>
      <c r="Q681" s="1">
        <v>132</v>
      </c>
      <c r="R681" s="1">
        <v>231</v>
      </c>
      <c r="S681" s="1">
        <f>SUM(ecommerce_sales_all_data[[#This Row],[sales_month_1]:[sales_month_12]])</f>
        <v>4607</v>
      </c>
      <c r="T681" s="3">
        <f t="shared" si="130"/>
        <v>120060.11</v>
      </c>
      <c r="U681" s="3">
        <f t="shared" si="131"/>
        <v>375783.81</v>
      </c>
      <c r="V681" s="3">
        <f t="shared" si="132"/>
        <v>68481.94</v>
      </c>
      <c r="W681" s="3">
        <f t="shared" si="133"/>
        <v>185074.61000000002</v>
      </c>
      <c r="X681" s="3">
        <f t="shared" si="134"/>
        <v>152133.93</v>
      </c>
      <c r="Y681" s="3">
        <f t="shared" si="135"/>
        <v>310769.31</v>
      </c>
      <c r="Z681" s="3">
        <f t="shared" si="136"/>
        <v>90586.87</v>
      </c>
      <c r="AA681" s="3">
        <f t="shared" si="137"/>
        <v>57212.76</v>
      </c>
      <c r="AB681" s="3">
        <f t="shared" si="138"/>
        <v>152133.93</v>
      </c>
      <c r="AC681" s="3">
        <f t="shared" si="139"/>
        <v>327239.65000000002</v>
      </c>
      <c r="AD681" s="3">
        <f t="shared" si="140"/>
        <v>57212.76</v>
      </c>
      <c r="AE681" s="3">
        <f t="shared" si="141"/>
        <v>100122.33</v>
      </c>
      <c r="AF681" s="3">
        <f>SUM(ecommerce_sales_all_data[[#This Row],[revenue_month_1]:[revenue_month_12]])</f>
        <v>1996812.01</v>
      </c>
    </row>
    <row r="682" spans="1:32" x14ac:dyDescent="0.3">
      <c r="A682">
        <v>681</v>
      </c>
      <c r="B682" t="s">
        <v>705</v>
      </c>
      <c r="C682" t="s">
        <v>48</v>
      </c>
      <c r="D682" s="2">
        <v>409.45</v>
      </c>
      <c r="E682">
        <v>2.4</v>
      </c>
      <c r="F682">
        <v>563</v>
      </c>
      <c r="G682" s="1">
        <v>353</v>
      </c>
      <c r="H682" s="1">
        <v>902</v>
      </c>
      <c r="I682" s="1">
        <v>200</v>
      </c>
      <c r="J682" s="1">
        <v>0</v>
      </c>
      <c r="K682" s="1">
        <v>888</v>
      </c>
      <c r="L682" s="1">
        <v>149</v>
      </c>
      <c r="M682" s="1">
        <v>614</v>
      </c>
      <c r="N682" s="1">
        <v>790</v>
      </c>
      <c r="O682" s="1">
        <v>544</v>
      </c>
      <c r="P682" s="1">
        <v>60</v>
      </c>
      <c r="Q682" s="1">
        <v>54</v>
      </c>
      <c r="R682" s="1">
        <v>954</v>
      </c>
      <c r="S682" s="1">
        <f>SUM(ecommerce_sales_all_data[[#This Row],[sales_month_1]:[sales_month_12]])</f>
        <v>5508</v>
      </c>
      <c r="T682" s="3">
        <f t="shared" si="130"/>
        <v>144535.85</v>
      </c>
      <c r="U682" s="3">
        <f t="shared" si="131"/>
        <v>369323.89999999997</v>
      </c>
      <c r="V682" s="3">
        <f t="shared" si="132"/>
        <v>81890</v>
      </c>
      <c r="W682" s="3">
        <f t="shared" si="133"/>
        <v>0</v>
      </c>
      <c r="X682" s="3">
        <f t="shared" si="134"/>
        <v>363591.6</v>
      </c>
      <c r="Y682" s="3">
        <f t="shared" si="135"/>
        <v>61008.049999999996</v>
      </c>
      <c r="Z682" s="3">
        <f t="shared" si="136"/>
        <v>251402.3</v>
      </c>
      <c r="AA682" s="3">
        <f t="shared" si="137"/>
        <v>323465.5</v>
      </c>
      <c r="AB682" s="3">
        <f t="shared" si="138"/>
        <v>222740.8</v>
      </c>
      <c r="AC682" s="3">
        <f t="shared" si="139"/>
        <v>24567</v>
      </c>
      <c r="AD682" s="3">
        <f t="shared" si="140"/>
        <v>22110.3</v>
      </c>
      <c r="AE682" s="3">
        <f t="shared" si="141"/>
        <v>390615.3</v>
      </c>
      <c r="AF682" s="3">
        <f>SUM(ecommerce_sales_all_data[[#This Row],[revenue_month_1]:[revenue_month_12]])</f>
        <v>2255250.6</v>
      </c>
    </row>
    <row r="683" spans="1:32" x14ac:dyDescent="0.3">
      <c r="A683">
        <v>682</v>
      </c>
      <c r="B683" t="s">
        <v>706</v>
      </c>
      <c r="C683" t="s">
        <v>21</v>
      </c>
      <c r="D683" s="2">
        <v>132.66</v>
      </c>
      <c r="E683">
        <v>4.9000000000000004</v>
      </c>
      <c r="F683">
        <v>118</v>
      </c>
      <c r="G683" s="1">
        <v>748</v>
      </c>
      <c r="H683" s="1">
        <v>789</v>
      </c>
      <c r="I683" s="1">
        <v>486</v>
      </c>
      <c r="J683" s="1">
        <v>265</v>
      </c>
      <c r="K683" s="1">
        <v>317</v>
      </c>
      <c r="L683" s="1">
        <v>158</v>
      </c>
      <c r="M683" s="1">
        <v>328</v>
      </c>
      <c r="N683" s="1">
        <v>648</v>
      </c>
      <c r="O683" s="1">
        <v>912</v>
      </c>
      <c r="P683" s="1">
        <v>501</v>
      </c>
      <c r="Q683" s="1">
        <v>988</v>
      </c>
      <c r="R683" s="1">
        <v>604</v>
      </c>
      <c r="S683" s="1">
        <f>SUM(ecommerce_sales_all_data[[#This Row],[sales_month_1]:[sales_month_12]])</f>
        <v>6744</v>
      </c>
      <c r="T683" s="3">
        <f t="shared" si="130"/>
        <v>99229.68</v>
      </c>
      <c r="U683" s="3">
        <f t="shared" si="131"/>
        <v>104668.73999999999</v>
      </c>
      <c r="V683" s="3">
        <f t="shared" si="132"/>
        <v>64472.759999999995</v>
      </c>
      <c r="W683" s="3">
        <f t="shared" si="133"/>
        <v>35154.9</v>
      </c>
      <c r="X683" s="3">
        <f t="shared" si="134"/>
        <v>42053.22</v>
      </c>
      <c r="Y683" s="3">
        <f t="shared" si="135"/>
        <v>20960.28</v>
      </c>
      <c r="Z683" s="3">
        <f t="shared" si="136"/>
        <v>43512.479999999996</v>
      </c>
      <c r="AA683" s="3">
        <f t="shared" si="137"/>
        <v>85963.68</v>
      </c>
      <c r="AB683" s="3">
        <f t="shared" si="138"/>
        <v>120985.92</v>
      </c>
      <c r="AC683" s="3">
        <f t="shared" si="139"/>
        <v>66462.66</v>
      </c>
      <c r="AD683" s="3">
        <f t="shared" si="140"/>
        <v>131068.08</v>
      </c>
      <c r="AE683" s="3">
        <f t="shared" si="141"/>
        <v>80126.64</v>
      </c>
      <c r="AF683" s="3">
        <f>SUM(ecommerce_sales_all_data[[#This Row],[revenue_month_1]:[revenue_month_12]])</f>
        <v>894659.04</v>
      </c>
    </row>
    <row r="684" spans="1:32" x14ac:dyDescent="0.3">
      <c r="A684">
        <v>683</v>
      </c>
      <c r="B684" t="s">
        <v>707</v>
      </c>
      <c r="C684" t="s">
        <v>29</v>
      </c>
      <c r="D684" s="2">
        <v>89.59</v>
      </c>
      <c r="E684">
        <v>3.6</v>
      </c>
      <c r="F684">
        <v>713</v>
      </c>
      <c r="G684" s="1">
        <v>936</v>
      </c>
      <c r="H684" s="1">
        <v>585</v>
      </c>
      <c r="I684" s="1">
        <v>556</v>
      </c>
      <c r="J684" s="1">
        <v>490</v>
      </c>
      <c r="K684" s="1">
        <v>983</v>
      </c>
      <c r="L684" s="1">
        <v>278</v>
      </c>
      <c r="M684" s="1">
        <v>371</v>
      </c>
      <c r="N684" s="1">
        <v>313</v>
      </c>
      <c r="O684" s="1">
        <v>151</v>
      </c>
      <c r="P684" s="1">
        <v>146</v>
      </c>
      <c r="Q684" s="1">
        <v>509</v>
      </c>
      <c r="R684" s="1">
        <v>989</v>
      </c>
      <c r="S684" s="1">
        <f>SUM(ecommerce_sales_all_data[[#This Row],[sales_month_1]:[sales_month_12]])</f>
        <v>6307</v>
      </c>
      <c r="T684" s="3">
        <f t="shared" si="130"/>
        <v>83856.240000000005</v>
      </c>
      <c r="U684" s="3">
        <f t="shared" si="131"/>
        <v>52410.15</v>
      </c>
      <c r="V684" s="3">
        <f t="shared" si="132"/>
        <v>49812.04</v>
      </c>
      <c r="W684" s="3">
        <f t="shared" si="133"/>
        <v>43899.1</v>
      </c>
      <c r="X684" s="3">
        <f t="shared" si="134"/>
        <v>88066.97</v>
      </c>
      <c r="Y684" s="3">
        <f t="shared" si="135"/>
        <v>24906.02</v>
      </c>
      <c r="Z684" s="3">
        <f t="shared" si="136"/>
        <v>33237.89</v>
      </c>
      <c r="AA684" s="3">
        <f t="shared" si="137"/>
        <v>28041.670000000002</v>
      </c>
      <c r="AB684" s="3">
        <f t="shared" si="138"/>
        <v>13528.09</v>
      </c>
      <c r="AC684" s="3">
        <f t="shared" si="139"/>
        <v>13080.140000000001</v>
      </c>
      <c r="AD684" s="3">
        <f t="shared" si="140"/>
        <v>45601.310000000005</v>
      </c>
      <c r="AE684" s="3">
        <f t="shared" si="141"/>
        <v>88604.510000000009</v>
      </c>
      <c r="AF684" s="3">
        <f>SUM(ecommerce_sales_all_data[[#This Row],[revenue_month_1]:[revenue_month_12]])</f>
        <v>565044.13000000012</v>
      </c>
    </row>
    <row r="685" spans="1:32" x14ac:dyDescent="0.3">
      <c r="A685">
        <v>684</v>
      </c>
      <c r="B685" t="s">
        <v>708</v>
      </c>
      <c r="C685" t="s">
        <v>23</v>
      </c>
      <c r="D685" s="2">
        <v>335.98</v>
      </c>
      <c r="E685">
        <v>4.3</v>
      </c>
      <c r="F685">
        <v>377</v>
      </c>
      <c r="G685" s="1">
        <v>732</v>
      </c>
      <c r="H685" s="1">
        <v>998</v>
      </c>
      <c r="I685" s="1">
        <v>961</v>
      </c>
      <c r="J685" s="1">
        <v>207</v>
      </c>
      <c r="K685" s="1">
        <v>648</v>
      </c>
      <c r="L685" s="1">
        <v>815</v>
      </c>
      <c r="M685" s="1">
        <v>459</v>
      </c>
      <c r="N685" s="1">
        <v>698</v>
      </c>
      <c r="O685" s="1">
        <v>157</v>
      </c>
      <c r="P685" s="1">
        <v>685</v>
      </c>
      <c r="Q685" s="1">
        <v>669</v>
      </c>
      <c r="R685" s="1">
        <v>729</v>
      </c>
      <c r="S685" s="1">
        <f>SUM(ecommerce_sales_all_data[[#This Row],[sales_month_1]:[sales_month_12]])</f>
        <v>7758</v>
      </c>
      <c r="T685" s="3">
        <f t="shared" si="130"/>
        <v>245937.36000000002</v>
      </c>
      <c r="U685" s="3">
        <f t="shared" si="131"/>
        <v>335308.04000000004</v>
      </c>
      <c r="V685" s="3">
        <f t="shared" si="132"/>
        <v>322876.78000000003</v>
      </c>
      <c r="W685" s="3">
        <f t="shared" si="133"/>
        <v>69547.86</v>
      </c>
      <c r="X685" s="3">
        <f t="shared" si="134"/>
        <v>217715.04</v>
      </c>
      <c r="Y685" s="3">
        <f t="shared" si="135"/>
        <v>273823.7</v>
      </c>
      <c r="Z685" s="3">
        <f t="shared" si="136"/>
        <v>154214.82</v>
      </c>
      <c r="AA685" s="3">
        <f t="shared" si="137"/>
        <v>234514.04</v>
      </c>
      <c r="AB685" s="3">
        <f t="shared" si="138"/>
        <v>52748.86</v>
      </c>
      <c r="AC685" s="3">
        <f t="shared" si="139"/>
        <v>230146.30000000002</v>
      </c>
      <c r="AD685" s="3">
        <f t="shared" si="140"/>
        <v>224770.62000000002</v>
      </c>
      <c r="AE685" s="3">
        <f t="shared" si="141"/>
        <v>244929.42</v>
      </c>
      <c r="AF685" s="3">
        <f>SUM(ecommerce_sales_all_data[[#This Row],[revenue_month_1]:[revenue_month_12]])</f>
        <v>2606532.8400000003</v>
      </c>
    </row>
    <row r="686" spans="1:32" x14ac:dyDescent="0.3">
      <c r="A686">
        <v>685</v>
      </c>
      <c r="B686" t="s">
        <v>709</v>
      </c>
      <c r="C686" t="s">
        <v>26</v>
      </c>
      <c r="D686" s="2">
        <v>465.04</v>
      </c>
      <c r="E686">
        <v>1.5</v>
      </c>
      <c r="F686">
        <v>551</v>
      </c>
      <c r="G686" s="1">
        <v>579</v>
      </c>
      <c r="H686" s="1">
        <v>436</v>
      </c>
      <c r="I686" s="1">
        <v>775</v>
      </c>
      <c r="J686" s="1">
        <v>621</v>
      </c>
      <c r="K686" s="1">
        <v>835</v>
      </c>
      <c r="L686" s="1">
        <v>403</v>
      </c>
      <c r="M686" s="1">
        <v>132</v>
      </c>
      <c r="N686" s="1">
        <v>220</v>
      </c>
      <c r="O686" s="1">
        <v>445</v>
      </c>
      <c r="P686" s="1">
        <v>944</v>
      </c>
      <c r="Q686" s="1">
        <v>540</v>
      </c>
      <c r="R686" s="1">
        <v>277</v>
      </c>
      <c r="S686" s="1">
        <f>SUM(ecommerce_sales_all_data[[#This Row],[sales_month_1]:[sales_month_12]])</f>
        <v>6207</v>
      </c>
      <c r="T686" s="3">
        <f t="shared" si="130"/>
        <v>269258.16000000003</v>
      </c>
      <c r="U686" s="3">
        <f t="shared" si="131"/>
        <v>202757.44</v>
      </c>
      <c r="V686" s="3">
        <f t="shared" si="132"/>
        <v>360406</v>
      </c>
      <c r="W686" s="3">
        <f t="shared" si="133"/>
        <v>288789.84000000003</v>
      </c>
      <c r="X686" s="3">
        <f t="shared" si="134"/>
        <v>388308.4</v>
      </c>
      <c r="Y686" s="3">
        <f t="shared" si="135"/>
        <v>187411.12</v>
      </c>
      <c r="Z686" s="3">
        <f t="shared" si="136"/>
        <v>61385.280000000006</v>
      </c>
      <c r="AA686" s="3">
        <f t="shared" si="137"/>
        <v>102308.8</v>
      </c>
      <c r="AB686" s="3">
        <f t="shared" si="138"/>
        <v>206942.80000000002</v>
      </c>
      <c r="AC686" s="3">
        <f t="shared" si="139"/>
        <v>438997.76000000001</v>
      </c>
      <c r="AD686" s="3">
        <f t="shared" si="140"/>
        <v>251121.6</v>
      </c>
      <c r="AE686" s="3">
        <f t="shared" si="141"/>
        <v>128816.08</v>
      </c>
      <c r="AF686" s="3">
        <f>SUM(ecommerce_sales_all_data[[#This Row],[revenue_month_1]:[revenue_month_12]])</f>
        <v>2886503.2800000007</v>
      </c>
    </row>
    <row r="687" spans="1:32" x14ac:dyDescent="0.3">
      <c r="A687">
        <v>686</v>
      </c>
      <c r="B687" t="s">
        <v>710</v>
      </c>
      <c r="C687" t="s">
        <v>19</v>
      </c>
      <c r="D687" s="2">
        <v>280.60000000000002</v>
      </c>
      <c r="E687">
        <v>4.4000000000000004</v>
      </c>
      <c r="F687">
        <v>540</v>
      </c>
      <c r="G687" s="1">
        <v>708</v>
      </c>
      <c r="H687" s="1">
        <v>974</v>
      </c>
      <c r="I687" s="1">
        <v>582</v>
      </c>
      <c r="J687" s="1">
        <v>711</v>
      </c>
      <c r="K687" s="1">
        <v>336</v>
      </c>
      <c r="L687" s="1">
        <v>892</v>
      </c>
      <c r="M687" s="1">
        <v>834</v>
      </c>
      <c r="N687" s="1">
        <v>975</v>
      </c>
      <c r="O687" s="1">
        <v>652</v>
      </c>
      <c r="P687" s="1">
        <v>789</v>
      </c>
      <c r="Q687" s="1">
        <v>409</v>
      </c>
      <c r="R687" s="1">
        <v>352</v>
      </c>
      <c r="S687" s="1">
        <f>SUM(ecommerce_sales_all_data[[#This Row],[sales_month_1]:[sales_month_12]])</f>
        <v>8214</v>
      </c>
      <c r="T687" s="3">
        <f t="shared" si="130"/>
        <v>198664.80000000002</v>
      </c>
      <c r="U687" s="3">
        <f t="shared" si="131"/>
        <v>273304.40000000002</v>
      </c>
      <c r="V687" s="3">
        <f t="shared" si="132"/>
        <v>163309.20000000001</v>
      </c>
      <c r="W687" s="3">
        <f t="shared" si="133"/>
        <v>199506.6</v>
      </c>
      <c r="X687" s="3">
        <f t="shared" si="134"/>
        <v>94281.600000000006</v>
      </c>
      <c r="Y687" s="3">
        <f t="shared" si="135"/>
        <v>250295.2</v>
      </c>
      <c r="Z687" s="3">
        <f t="shared" si="136"/>
        <v>234020.40000000002</v>
      </c>
      <c r="AA687" s="3">
        <f t="shared" si="137"/>
        <v>273585</v>
      </c>
      <c r="AB687" s="3">
        <f t="shared" si="138"/>
        <v>182951.2</v>
      </c>
      <c r="AC687" s="3">
        <f t="shared" si="139"/>
        <v>221393.40000000002</v>
      </c>
      <c r="AD687" s="3">
        <f t="shared" si="140"/>
        <v>114765.40000000001</v>
      </c>
      <c r="AE687" s="3">
        <f t="shared" si="141"/>
        <v>98771.200000000012</v>
      </c>
      <c r="AF687" s="3">
        <f>SUM(ecommerce_sales_all_data[[#This Row],[revenue_month_1]:[revenue_month_12]])</f>
        <v>2304848.4000000004</v>
      </c>
    </row>
    <row r="688" spans="1:32" x14ac:dyDescent="0.3">
      <c r="A688">
        <v>687</v>
      </c>
      <c r="B688" t="s">
        <v>711</v>
      </c>
      <c r="C688" t="s">
        <v>23</v>
      </c>
      <c r="D688" s="2">
        <v>287.95</v>
      </c>
      <c r="E688">
        <v>4.7</v>
      </c>
      <c r="F688">
        <v>771</v>
      </c>
      <c r="G688" s="1">
        <v>255</v>
      </c>
      <c r="H688" s="1">
        <v>206</v>
      </c>
      <c r="I688" s="1">
        <v>503</v>
      </c>
      <c r="J688" s="1">
        <v>951</v>
      </c>
      <c r="K688" s="1">
        <v>272</v>
      </c>
      <c r="L688" s="1">
        <v>677</v>
      </c>
      <c r="M688" s="1">
        <v>650</v>
      </c>
      <c r="N688" s="1">
        <v>437</v>
      </c>
      <c r="O688" s="1">
        <v>957</v>
      </c>
      <c r="P688" s="1">
        <v>333</v>
      </c>
      <c r="Q688" s="1">
        <v>210</v>
      </c>
      <c r="R688" s="1">
        <v>998</v>
      </c>
      <c r="S688" s="1">
        <f>SUM(ecommerce_sales_all_data[[#This Row],[sales_month_1]:[sales_month_12]])</f>
        <v>6449</v>
      </c>
      <c r="T688" s="3">
        <f t="shared" si="130"/>
        <v>73427.25</v>
      </c>
      <c r="U688" s="3">
        <f t="shared" si="131"/>
        <v>59317.7</v>
      </c>
      <c r="V688" s="3">
        <f t="shared" si="132"/>
        <v>144838.85</v>
      </c>
      <c r="W688" s="3">
        <f t="shared" si="133"/>
        <v>273840.45</v>
      </c>
      <c r="X688" s="3">
        <f t="shared" si="134"/>
        <v>78322.399999999994</v>
      </c>
      <c r="Y688" s="3">
        <f t="shared" si="135"/>
        <v>194942.15</v>
      </c>
      <c r="Z688" s="3">
        <f t="shared" si="136"/>
        <v>187167.5</v>
      </c>
      <c r="AA688" s="3">
        <f t="shared" si="137"/>
        <v>125834.15</v>
      </c>
      <c r="AB688" s="3">
        <f t="shared" si="138"/>
        <v>275568.14999999997</v>
      </c>
      <c r="AC688" s="3">
        <f t="shared" si="139"/>
        <v>95887.349999999991</v>
      </c>
      <c r="AD688" s="3">
        <f t="shared" si="140"/>
        <v>60469.5</v>
      </c>
      <c r="AE688" s="3">
        <f t="shared" si="141"/>
        <v>287374.09999999998</v>
      </c>
      <c r="AF688" s="3">
        <f>SUM(ecommerce_sales_all_data[[#This Row],[revenue_month_1]:[revenue_month_12]])</f>
        <v>1856989.5499999998</v>
      </c>
    </row>
    <row r="689" spans="1:32" x14ac:dyDescent="0.3">
      <c r="A689">
        <v>688</v>
      </c>
      <c r="B689" t="s">
        <v>712</v>
      </c>
      <c r="C689" t="s">
        <v>19</v>
      </c>
      <c r="D689" s="2">
        <v>143.59</v>
      </c>
      <c r="E689">
        <v>2.9</v>
      </c>
      <c r="F689">
        <v>84</v>
      </c>
      <c r="G689" s="1">
        <v>650</v>
      </c>
      <c r="H689" s="1">
        <v>387</v>
      </c>
      <c r="I689" s="1">
        <v>875</v>
      </c>
      <c r="J689" s="1">
        <v>368</v>
      </c>
      <c r="K689" s="1">
        <v>116</v>
      </c>
      <c r="L689" s="1">
        <v>310</v>
      </c>
      <c r="M689" s="1">
        <v>120</v>
      </c>
      <c r="N689" s="1">
        <v>45</v>
      </c>
      <c r="O689" s="1">
        <v>762</v>
      </c>
      <c r="P689" s="1">
        <v>880</v>
      </c>
      <c r="Q689" s="1">
        <v>665</v>
      </c>
      <c r="R689" s="1">
        <v>302</v>
      </c>
      <c r="S689" s="1">
        <f>SUM(ecommerce_sales_all_data[[#This Row],[sales_month_1]:[sales_month_12]])</f>
        <v>5480</v>
      </c>
      <c r="T689" s="3">
        <f t="shared" si="130"/>
        <v>93333.5</v>
      </c>
      <c r="U689" s="3">
        <f t="shared" si="131"/>
        <v>55569.33</v>
      </c>
      <c r="V689" s="3">
        <f t="shared" si="132"/>
        <v>125641.25</v>
      </c>
      <c r="W689" s="3">
        <f t="shared" si="133"/>
        <v>52841.120000000003</v>
      </c>
      <c r="X689" s="3">
        <f t="shared" si="134"/>
        <v>16656.439999999999</v>
      </c>
      <c r="Y689" s="3">
        <f t="shared" si="135"/>
        <v>44512.9</v>
      </c>
      <c r="Z689" s="3">
        <f t="shared" si="136"/>
        <v>17230.8</v>
      </c>
      <c r="AA689" s="3">
        <f t="shared" si="137"/>
        <v>6461.55</v>
      </c>
      <c r="AB689" s="3">
        <f t="shared" si="138"/>
        <v>109415.58</v>
      </c>
      <c r="AC689" s="3">
        <f t="shared" si="139"/>
        <v>126359.2</v>
      </c>
      <c r="AD689" s="3">
        <f t="shared" si="140"/>
        <v>95487.35</v>
      </c>
      <c r="AE689" s="3">
        <f t="shared" si="141"/>
        <v>43364.18</v>
      </c>
      <c r="AF689" s="3">
        <f>SUM(ecommerce_sales_all_data[[#This Row],[revenue_month_1]:[revenue_month_12]])</f>
        <v>786873.20000000007</v>
      </c>
    </row>
    <row r="690" spans="1:32" x14ac:dyDescent="0.3">
      <c r="A690">
        <v>689</v>
      </c>
      <c r="B690" t="s">
        <v>713</v>
      </c>
      <c r="C690" t="s">
        <v>48</v>
      </c>
      <c r="D690" s="2">
        <v>385.9</v>
      </c>
      <c r="E690">
        <v>3.4</v>
      </c>
      <c r="F690">
        <v>454</v>
      </c>
      <c r="G690" s="1">
        <v>823</v>
      </c>
      <c r="H690" s="1">
        <v>479</v>
      </c>
      <c r="I690" s="1">
        <v>370</v>
      </c>
      <c r="J690" s="1">
        <v>984</v>
      </c>
      <c r="K690" s="1">
        <v>817</v>
      </c>
      <c r="L690" s="1">
        <v>67</v>
      </c>
      <c r="M690" s="1">
        <v>605</v>
      </c>
      <c r="N690" s="1">
        <v>789</v>
      </c>
      <c r="O690" s="1">
        <v>302</v>
      </c>
      <c r="P690" s="1">
        <v>952</v>
      </c>
      <c r="Q690" s="1">
        <v>292</v>
      </c>
      <c r="R690" s="1">
        <v>540</v>
      </c>
      <c r="S690" s="1">
        <f>SUM(ecommerce_sales_all_data[[#This Row],[sales_month_1]:[sales_month_12]])</f>
        <v>7020</v>
      </c>
      <c r="T690" s="3">
        <f t="shared" si="130"/>
        <v>317595.69999999995</v>
      </c>
      <c r="U690" s="3">
        <f t="shared" si="131"/>
        <v>184846.09999999998</v>
      </c>
      <c r="V690" s="3">
        <f t="shared" si="132"/>
        <v>142783</v>
      </c>
      <c r="W690" s="3">
        <f t="shared" si="133"/>
        <v>379725.6</v>
      </c>
      <c r="X690" s="3">
        <f t="shared" si="134"/>
        <v>315280.3</v>
      </c>
      <c r="Y690" s="3">
        <f t="shared" si="135"/>
        <v>25855.3</v>
      </c>
      <c r="Z690" s="3">
        <f t="shared" si="136"/>
        <v>233469.5</v>
      </c>
      <c r="AA690" s="3">
        <f t="shared" si="137"/>
        <v>304475.09999999998</v>
      </c>
      <c r="AB690" s="3">
        <f t="shared" si="138"/>
        <v>116541.79999999999</v>
      </c>
      <c r="AC690" s="3">
        <f t="shared" si="139"/>
        <v>367376.8</v>
      </c>
      <c r="AD690" s="3">
        <f t="shared" si="140"/>
        <v>112682.79999999999</v>
      </c>
      <c r="AE690" s="3">
        <f t="shared" si="141"/>
        <v>208386</v>
      </c>
      <c r="AF690" s="3">
        <f>SUM(ecommerce_sales_all_data[[#This Row],[revenue_month_1]:[revenue_month_12]])</f>
        <v>2709018</v>
      </c>
    </row>
    <row r="691" spans="1:32" x14ac:dyDescent="0.3">
      <c r="A691">
        <v>690</v>
      </c>
      <c r="B691" t="s">
        <v>714</v>
      </c>
      <c r="C691" t="s">
        <v>29</v>
      </c>
      <c r="D691" s="2">
        <v>97.59</v>
      </c>
      <c r="E691">
        <v>4.0999999999999996</v>
      </c>
      <c r="F691">
        <v>667</v>
      </c>
      <c r="G691" s="1">
        <v>946</v>
      </c>
      <c r="H691" s="1">
        <v>790</v>
      </c>
      <c r="I691" s="1">
        <v>102</v>
      </c>
      <c r="J691" s="1">
        <v>305</v>
      </c>
      <c r="K691" s="1">
        <v>367</v>
      </c>
      <c r="L691" s="1">
        <v>462</v>
      </c>
      <c r="M691" s="1">
        <v>451</v>
      </c>
      <c r="N691" s="1">
        <v>191</v>
      </c>
      <c r="O691" s="1">
        <v>623</v>
      </c>
      <c r="P691" s="1">
        <v>890</v>
      </c>
      <c r="Q691" s="1">
        <v>986</v>
      </c>
      <c r="R691" s="1">
        <v>469</v>
      </c>
      <c r="S691" s="1">
        <f>SUM(ecommerce_sales_all_data[[#This Row],[sales_month_1]:[sales_month_12]])</f>
        <v>6582</v>
      </c>
      <c r="T691" s="3">
        <f t="shared" si="130"/>
        <v>92320.14</v>
      </c>
      <c r="U691" s="3">
        <f t="shared" si="131"/>
        <v>77096.100000000006</v>
      </c>
      <c r="V691" s="3">
        <f t="shared" si="132"/>
        <v>9954.18</v>
      </c>
      <c r="W691" s="3">
        <f t="shared" si="133"/>
        <v>29764.95</v>
      </c>
      <c r="X691" s="3">
        <f t="shared" si="134"/>
        <v>35815.53</v>
      </c>
      <c r="Y691" s="3">
        <f t="shared" si="135"/>
        <v>45086.58</v>
      </c>
      <c r="Z691" s="3">
        <f t="shared" si="136"/>
        <v>44013.090000000004</v>
      </c>
      <c r="AA691" s="3">
        <f t="shared" si="137"/>
        <v>18639.690000000002</v>
      </c>
      <c r="AB691" s="3">
        <f t="shared" si="138"/>
        <v>60798.57</v>
      </c>
      <c r="AC691" s="3">
        <f t="shared" si="139"/>
        <v>86855.1</v>
      </c>
      <c r="AD691" s="3">
        <f t="shared" si="140"/>
        <v>96223.74</v>
      </c>
      <c r="AE691" s="3">
        <f t="shared" si="141"/>
        <v>45769.71</v>
      </c>
      <c r="AF691" s="3">
        <f>SUM(ecommerce_sales_all_data[[#This Row],[revenue_month_1]:[revenue_month_12]])</f>
        <v>642337.38</v>
      </c>
    </row>
    <row r="692" spans="1:32" x14ac:dyDescent="0.3">
      <c r="A692">
        <v>691</v>
      </c>
      <c r="B692" t="s">
        <v>715</v>
      </c>
      <c r="C692" t="s">
        <v>48</v>
      </c>
      <c r="D692" s="2">
        <v>165.22</v>
      </c>
      <c r="E692">
        <v>1.7</v>
      </c>
      <c r="F692">
        <v>629</v>
      </c>
      <c r="G692" s="1">
        <v>660</v>
      </c>
      <c r="H692" s="1">
        <v>886</v>
      </c>
      <c r="I692" s="1">
        <v>124</v>
      </c>
      <c r="J692" s="1">
        <v>11</v>
      </c>
      <c r="K692" s="1">
        <v>93</v>
      </c>
      <c r="L692" s="1">
        <v>87</v>
      </c>
      <c r="M692" s="1">
        <v>964</v>
      </c>
      <c r="N692" s="1">
        <v>519</v>
      </c>
      <c r="O692" s="1">
        <v>655</v>
      </c>
      <c r="P692" s="1">
        <v>141</v>
      </c>
      <c r="Q692" s="1">
        <v>733</v>
      </c>
      <c r="R692" s="1">
        <v>812</v>
      </c>
      <c r="S692" s="1">
        <f>SUM(ecommerce_sales_all_data[[#This Row],[sales_month_1]:[sales_month_12]])</f>
        <v>5685</v>
      </c>
      <c r="T692" s="3">
        <f t="shared" si="130"/>
        <v>109045.2</v>
      </c>
      <c r="U692" s="3">
        <f t="shared" si="131"/>
        <v>146384.92000000001</v>
      </c>
      <c r="V692" s="3">
        <f t="shared" si="132"/>
        <v>20487.28</v>
      </c>
      <c r="W692" s="3">
        <f t="shared" si="133"/>
        <v>1817.42</v>
      </c>
      <c r="X692" s="3">
        <f t="shared" si="134"/>
        <v>15365.46</v>
      </c>
      <c r="Y692" s="3">
        <f t="shared" si="135"/>
        <v>14374.14</v>
      </c>
      <c r="Z692" s="3">
        <f t="shared" si="136"/>
        <v>159272.07999999999</v>
      </c>
      <c r="AA692" s="3">
        <f t="shared" si="137"/>
        <v>85749.18</v>
      </c>
      <c r="AB692" s="3">
        <f t="shared" si="138"/>
        <v>108219.1</v>
      </c>
      <c r="AC692" s="3">
        <f t="shared" si="139"/>
        <v>23296.02</v>
      </c>
      <c r="AD692" s="3">
        <f t="shared" si="140"/>
        <v>121106.26</v>
      </c>
      <c r="AE692" s="3">
        <f t="shared" si="141"/>
        <v>134158.63999999998</v>
      </c>
      <c r="AF692" s="3">
        <f>SUM(ecommerce_sales_all_data[[#This Row],[revenue_month_1]:[revenue_month_12]])</f>
        <v>939275.7</v>
      </c>
    </row>
    <row r="693" spans="1:32" x14ac:dyDescent="0.3">
      <c r="A693">
        <v>692</v>
      </c>
      <c r="B693" t="s">
        <v>716</v>
      </c>
      <c r="C693" t="s">
        <v>23</v>
      </c>
      <c r="D693" s="2">
        <v>215.59</v>
      </c>
      <c r="E693">
        <v>3</v>
      </c>
      <c r="F693">
        <v>514</v>
      </c>
      <c r="G693" s="1">
        <v>98</v>
      </c>
      <c r="H693" s="1">
        <v>837</v>
      </c>
      <c r="I693" s="1">
        <v>312</v>
      </c>
      <c r="J693" s="1">
        <v>344</v>
      </c>
      <c r="K693" s="1">
        <v>167</v>
      </c>
      <c r="L693" s="1">
        <v>216</v>
      </c>
      <c r="M693" s="1">
        <v>128</v>
      </c>
      <c r="N693" s="1">
        <v>378</v>
      </c>
      <c r="O693" s="1">
        <v>449</v>
      </c>
      <c r="P693" s="1">
        <v>43</v>
      </c>
      <c r="Q693" s="1">
        <v>114</v>
      </c>
      <c r="R693" s="1">
        <v>76</v>
      </c>
      <c r="S693" s="1">
        <f>SUM(ecommerce_sales_all_data[[#This Row],[sales_month_1]:[sales_month_12]])</f>
        <v>3162</v>
      </c>
      <c r="T693" s="3">
        <f t="shared" si="130"/>
        <v>21127.82</v>
      </c>
      <c r="U693" s="3">
        <f t="shared" si="131"/>
        <v>180448.83000000002</v>
      </c>
      <c r="V693" s="3">
        <f t="shared" si="132"/>
        <v>67264.08</v>
      </c>
      <c r="W693" s="3">
        <f t="shared" si="133"/>
        <v>74162.960000000006</v>
      </c>
      <c r="X693" s="3">
        <f t="shared" si="134"/>
        <v>36003.53</v>
      </c>
      <c r="Y693" s="3">
        <f t="shared" si="135"/>
        <v>46567.44</v>
      </c>
      <c r="Z693" s="3">
        <f t="shared" si="136"/>
        <v>27595.52</v>
      </c>
      <c r="AA693" s="3">
        <f t="shared" si="137"/>
        <v>81493.02</v>
      </c>
      <c r="AB693" s="3">
        <f t="shared" si="138"/>
        <v>96799.91</v>
      </c>
      <c r="AC693" s="3">
        <f t="shared" si="139"/>
        <v>9270.3700000000008</v>
      </c>
      <c r="AD693" s="3">
        <f t="shared" si="140"/>
        <v>24577.260000000002</v>
      </c>
      <c r="AE693" s="3">
        <f t="shared" si="141"/>
        <v>16384.84</v>
      </c>
      <c r="AF693" s="3">
        <f>SUM(ecommerce_sales_all_data[[#This Row],[revenue_month_1]:[revenue_month_12]])</f>
        <v>681695.58000000007</v>
      </c>
    </row>
    <row r="694" spans="1:32" x14ac:dyDescent="0.3">
      <c r="A694">
        <v>693</v>
      </c>
      <c r="B694" t="s">
        <v>717</v>
      </c>
      <c r="C694" t="s">
        <v>26</v>
      </c>
      <c r="D694" s="2">
        <v>256.27</v>
      </c>
      <c r="E694">
        <v>2.6</v>
      </c>
      <c r="F694">
        <v>605</v>
      </c>
      <c r="G694" s="1">
        <v>587</v>
      </c>
      <c r="H694" s="1">
        <v>983</v>
      </c>
      <c r="I694" s="1">
        <v>975</v>
      </c>
      <c r="J694" s="1">
        <v>464</v>
      </c>
      <c r="K694" s="1">
        <v>953</v>
      </c>
      <c r="L694" s="1">
        <v>0</v>
      </c>
      <c r="M694" s="1">
        <v>90</v>
      </c>
      <c r="N694" s="1">
        <v>787</v>
      </c>
      <c r="O694" s="1">
        <v>720</v>
      </c>
      <c r="P694" s="1">
        <v>143</v>
      </c>
      <c r="Q694" s="1">
        <v>948</v>
      </c>
      <c r="R694" s="1">
        <v>520</v>
      </c>
      <c r="S694" s="1">
        <f>SUM(ecommerce_sales_all_data[[#This Row],[sales_month_1]:[sales_month_12]])</f>
        <v>7170</v>
      </c>
      <c r="T694" s="3">
        <f t="shared" si="130"/>
        <v>150430.49</v>
      </c>
      <c r="U694" s="3">
        <f t="shared" si="131"/>
        <v>251913.40999999997</v>
      </c>
      <c r="V694" s="3">
        <f t="shared" si="132"/>
        <v>249863.24999999997</v>
      </c>
      <c r="W694" s="3">
        <f t="shared" si="133"/>
        <v>118909.28</v>
      </c>
      <c r="X694" s="3">
        <f t="shared" si="134"/>
        <v>244225.30999999997</v>
      </c>
      <c r="Y694" s="3">
        <f t="shared" si="135"/>
        <v>0</v>
      </c>
      <c r="Z694" s="3">
        <f t="shared" si="136"/>
        <v>23064.3</v>
      </c>
      <c r="AA694" s="3">
        <f t="shared" si="137"/>
        <v>201684.49</v>
      </c>
      <c r="AB694" s="3">
        <f t="shared" si="138"/>
        <v>184514.4</v>
      </c>
      <c r="AC694" s="3">
        <f t="shared" si="139"/>
        <v>36646.61</v>
      </c>
      <c r="AD694" s="3">
        <f t="shared" si="140"/>
        <v>242943.96</v>
      </c>
      <c r="AE694" s="3">
        <f t="shared" si="141"/>
        <v>133260.4</v>
      </c>
      <c r="AF694" s="3">
        <f>SUM(ecommerce_sales_all_data[[#This Row],[revenue_month_1]:[revenue_month_12]])</f>
        <v>1837455.8999999997</v>
      </c>
    </row>
    <row r="695" spans="1:32" x14ac:dyDescent="0.3">
      <c r="A695">
        <v>694</v>
      </c>
      <c r="B695" t="s">
        <v>718</v>
      </c>
      <c r="C695" t="s">
        <v>19</v>
      </c>
      <c r="D695" s="2">
        <v>124.99</v>
      </c>
      <c r="E695">
        <v>1.6</v>
      </c>
      <c r="F695">
        <v>678</v>
      </c>
      <c r="G695" s="1">
        <v>281</v>
      </c>
      <c r="H695" s="1">
        <v>339</v>
      </c>
      <c r="I695" s="1">
        <v>994</v>
      </c>
      <c r="J695" s="1">
        <v>699</v>
      </c>
      <c r="K695" s="1">
        <v>714</v>
      </c>
      <c r="L695" s="1">
        <v>134</v>
      </c>
      <c r="M695" s="1">
        <v>603</v>
      </c>
      <c r="N695" s="1">
        <v>690</v>
      </c>
      <c r="O695" s="1">
        <v>223</v>
      </c>
      <c r="P695" s="1">
        <v>864</v>
      </c>
      <c r="Q695" s="1">
        <v>669</v>
      </c>
      <c r="R695" s="1">
        <v>23</v>
      </c>
      <c r="S695" s="1">
        <f>SUM(ecommerce_sales_all_data[[#This Row],[sales_month_1]:[sales_month_12]])</f>
        <v>6233</v>
      </c>
      <c r="T695" s="3">
        <f t="shared" si="130"/>
        <v>35122.189999999995</v>
      </c>
      <c r="U695" s="3">
        <f t="shared" si="131"/>
        <v>42371.61</v>
      </c>
      <c r="V695" s="3">
        <f t="shared" si="132"/>
        <v>124240.06</v>
      </c>
      <c r="W695" s="3">
        <f t="shared" si="133"/>
        <v>87368.01</v>
      </c>
      <c r="X695" s="3">
        <f t="shared" si="134"/>
        <v>89242.86</v>
      </c>
      <c r="Y695" s="3">
        <f t="shared" si="135"/>
        <v>16748.66</v>
      </c>
      <c r="Z695" s="3">
        <f t="shared" si="136"/>
        <v>75368.97</v>
      </c>
      <c r="AA695" s="3">
        <f t="shared" si="137"/>
        <v>86243.099999999991</v>
      </c>
      <c r="AB695" s="3">
        <f t="shared" si="138"/>
        <v>27872.77</v>
      </c>
      <c r="AC695" s="3">
        <f t="shared" si="139"/>
        <v>107991.36</v>
      </c>
      <c r="AD695" s="3">
        <f t="shared" si="140"/>
        <v>83618.31</v>
      </c>
      <c r="AE695" s="3">
        <f t="shared" si="141"/>
        <v>2874.77</v>
      </c>
      <c r="AF695" s="3">
        <f>SUM(ecommerce_sales_all_data[[#This Row],[revenue_month_1]:[revenue_month_12]])</f>
        <v>779062.66999999993</v>
      </c>
    </row>
    <row r="696" spans="1:32" x14ac:dyDescent="0.3">
      <c r="A696">
        <v>695</v>
      </c>
      <c r="B696" t="s">
        <v>719</v>
      </c>
      <c r="C696" t="s">
        <v>29</v>
      </c>
      <c r="D696" s="2">
        <v>61.84</v>
      </c>
      <c r="E696">
        <v>2.5</v>
      </c>
      <c r="F696">
        <v>387</v>
      </c>
      <c r="G696" s="1">
        <v>882</v>
      </c>
      <c r="H696" s="1">
        <v>868</v>
      </c>
      <c r="I696" s="1">
        <v>797</v>
      </c>
      <c r="J696" s="1">
        <v>665</v>
      </c>
      <c r="K696" s="1">
        <v>340</v>
      </c>
      <c r="L696" s="1">
        <v>696</v>
      </c>
      <c r="M696" s="1">
        <v>574</v>
      </c>
      <c r="N696" s="1">
        <v>333</v>
      </c>
      <c r="O696" s="1">
        <v>42</v>
      </c>
      <c r="P696" s="1">
        <v>332</v>
      </c>
      <c r="Q696" s="1">
        <v>258</v>
      </c>
      <c r="R696" s="1">
        <v>14</v>
      </c>
      <c r="S696" s="1">
        <f>SUM(ecommerce_sales_all_data[[#This Row],[sales_month_1]:[sales_month_12]])</f>
        <v>5801</v>
      </c>
      <c r="T696" s="3">
        <f t="shared" si="130"/>
        <v>54542.880000000005</v>
      </c>
      <c r="U696" s="3">
        <f t="shared" si="131"/>
        <v>53677.120000000003</v>
      </c>
      <c r="V696" s="3">
        <f t="shared" si="132"/>
        <v>49286.48</v>
      </c>
      <c r="W696" s="3">
        <f t="shared" si="133"/>
        <v>41123.600000000006</v>
      </c>
      <c r="X696" s="3">
        <f t="shared" si="134"/>
        <v>21025.600000000002</v>
      </c>
      <c r="Y696" s="3">
        <f t="shared" si="135"/>
        <v>43040.639999999999</v>
      </c>
      <c r="Z696" s="3">
        <f t="shared" si="136"/>
        <v>35496.160000000003</v>
      </c>
      <c r="AA696" s="3">
        <f t="shared" si="137"/>
        <v>20592.72</v>
      </c>
      <c r="AB696" s="3">
        <f t="shared" si="138"/>
        <v>2597.2800000000002</v>
      </c>
      <c r="AC696" s="3">
        <f t="shared" si="139"/>
        <v>20530.88</v>
      </c>
      <c r="AD696" s="3">
        <f t="shared" si="140"/>
        <v>15954.720000000001</v>
      </c>
      <c r="AE696" s="3">
        <f t="shared" si="141"/>
        <v>865.76</v>
      </c>
      <c r="AF696" s="3">
        <f>SUM(ecommerce_sales_all_data[[#This Row],[revenue_month_1]:[revenue_month_12]])</f>
        <v>358733.83999999997</v>
      </c>
    </row>
    <row r="697" spans="1:32" x14ac:dyDescent="0.3">
      <c r="A697">
        <v>696</v>
      </c>
      <c r="B697" t="s">
        <v>720</v>
      </c>
      <c r="C697" t="s">
        <v>48</v>
      </c>
      <c r="D697" s="2">
        <v>307.26</v>
      </c>
      <c r="E697">
        <v>1.3</v>
      </c>
      <c r="F697">
        <v>912</v>
      </c>
      <c r="G697" s="1">
        <v>402</v>
      </c>
      <c r="H697" s="1">
        <v>339</v>
      </c>
      <c r="I697" s="1">
        <v>457</v>
      </c>
      <c r="J697" s="1">
        <v>493</v>
      </c>
      <c r="K697" s="1">
        <v>660</v>
      </c>
      <c r="L697" s="1">
        <v>350</v>
      </c>
      <c r="M697" s="1">
        <v>28</v>
      </c>
      <c r="N697" s="1">
        <v>38</v>
      </c>
      <c r="O697" s="1">
        <v>263</v>
      </c>
      <c r="P697" s="1">
        <v>997</v>
      </c>
      <c r="Q697" s="1">
        <v>762</v>
      </c>
      <c r="R697" s="1">
        <v>675</v>
      </c>
      <c r="S697" s="1">
        <f>SUM(ecommerce_sales_all_data[[#This Row],[sales_month_1]:[sales_month_12]])</f>
        <v>5464</v>
      </c>
      <c r="T697" s="3">
        <f t="shared" si="130"/>
        <v>123518.51999999999</v>
      </c>
      <c r="U697" s="3">
        <f t="shared" si="131"/>
        <v>104161.14</v>
      </c>
      <c r="V697" s="3">
        <f t="shared" si="132"/>
        <v>140417.82</v>
      </c>
      <c r="W697" s="3">
        <f t="shared" si="133"/>
        <v>151479.18</v>
      </c>
      <c r="X697" s="3">
        <f t="shared" si="134"/>
        <v>202791.6</v>
      </c>
      <c r="Y697" s="3">
        <f t="shared" si="135"/>
        <v>107541</v>
      </c>
      <c r="Z697" s="3">
        <f t="shared" si="136"/>
        <v>8603.2799999999988</v>
      </c>
      <c r="AA697" s="3">
        <f t="shared" si="137"/>
        <v>11675.88</v>
      </c>
      <c r="AB697" s="3">
        <f t="shared" si="138"/>
        <v>80809.38</v>
      </c>
      <c r="AC697" s="3">
        <f t="shared" si="139"/>
        <v>306338.21999999997</v>
      </c>
      <c r="AD697" s="3">
        <f t="shared" si="140"/>
        <v>234132.12</v>
      </c>
      <c r="AE697" s="3">
        <f t="shared" si="141"/>
        <v>207400.5</v>
      </c>
      <c r="AF697" s="3">
        <f>SUM(ecommerce_sales_all_data[[#This Row],[revenue_month_1]:[revenue_month_12]])</f>
        <v>1678868.6400000001</v>
      </c>
    </row>
    <row r="698" spans="1:32" x14ac:dyDescent="0.3">
      <c r="A698">
        <v>697</v>
      </c>
      <c r="B698" t="s">
        <v>721</v>
      </c>
      <c r="C698" t="s">
        <v>23</v>
      </c>
      <c r="D698" s="2">
        <v>147.87</v>
      </c>
      <c r="E698">
        <v>1.1000000000000001</v>
      </c>
      <c r="F698">
        <v>350</v>
      </c>
      <c r="G698" s="1">
        <v>108</v>
      </c>
      <c r="H698" s="1">
        <v>203</v>
      </c>
      <c r="I698" s="1">
        <v>229</v>
      </c>
      <c r="J698" s="1">
        <v>367</v>
      </c>
      <c r="K698" s="1">
        <v>913</v>
      </c>
      <c r="L698" s="1">
        <v>139</v>
      </c>
      <c r="M698" s="1">
        <v>721</v>
      </c>
      <c r="N698" s="1">
        <v>292</v>
      </c>
      <c r="O698" s="1">
        <v>755</v>
      </c>
      <c r="P698" s="1">
        <v>496</v>
      </c>
      <c r="Q698" s="1">
        <v>121</v>
      </c>
      <c r="R698" s="1">
        <v>524</v>
      </c>
      <c r="S698" s="1">
        <f>SUM(ecommerce_sales_all_data[[#This Row],[sales_month_1]:[sales_month_12]])</f>
        <v>4868</v>
      </c>
      <c r="T698" s="3">
        <f t="shared" si="130"/>
        <v>15969.960000000001</v>
      </c>
      <c r="U698" s="3">
        <f t="shared" si="131"/>
        <v>30017.61</v>
      </c>
      <c r="V698" s="3">
        <f t="shared" si="132"/>
        <v>33862.230000000003</v>
      </c>
      <c r="W698" s="3">
        <f t="shared" si="133"/>
        <v>54268.29</v>
      </c>
      <c r="X698" s="3">
        <f t="shared" si="134"/>
        <v>135005.31</v>
      </c>
      <c r="Y698" s="3">
        <f t="shared" si="135"/>
        <v>20553.93</v>
      </c>
      <c r="Z698" s="3">
        <f t="shared" si="136"/>
        <v>106614.27</v>
      </c>
      <c r="AA698" s="3">
        <f t="shared" si="137"/>
        <v>43178.04</v>
      </c>
      <c r="AB698" s="3">
        <f t="shared" si="138"/>
        <v>111641.85</v>
      </c>
      <c r="AC698" s="3">
        <f t="shared" si="139"/>
        <v>73343.520000000004</v>
      </c>
      <c r="AD698" s="3">
        <f t="shared" si="140"/>
        <v>17892.27</v>
      </c>
      <c r="AE698" s="3">
        <f t="shared" si="141"/>
        <v>77483.88</v>
      </c>
      <c r="AF698" s="3">
        <f>SUM(ecommerce_sales_all_data[[#This Row],[revenue_month_1]:[revenue_month_12]])</f>
        <v>719831.16</v>
      </c>
    </row>
    <row r="699" spans="1:32" x14ac:dyDescent="0.3">
      <c r="A699">
        <v>698</v>
      </c>
      <c r="B699" t="s">
        <v>722</v>
      </c>
      <c r="C699" t="s">
        <v>48</v>
      </c>
      <c r="D699" s="2">
        <v>292.70999999999998</v>
      </c>
      <c r="E699">
        <v>1.5</v>
      </c>
      <c r="F699">
        <v>296</v>
      </c>
      <c r="G699" s="1">
        <v>699</v>
      </c>
      <c r="H699" s="1">
        <v>160</v>
      </c>
      <c r="I699" s="1">
        <v>657</v>
      </c>
      <c r="J699" s="1">
        <v>845</v>
      </c>
      <c r="K699" s="1">
        <v>694</v>
      </c>
      <c r="L699" s="1">
        <v>617</v>
      </c>
      <c r="M699" s="1">
        <v>523</v>
      </c>
      <c r="N699" s="1">
        <v>689</v>
      </c>
      <c r="O699" s="1">
        <v>2</v>
      </c>
      <c r="P699" s="1">
        <v>395</v>
      </c>
      <c r="Q699" s="1">
        <v>298</v>
      </c>
      <c r="R699" s="1">
        <v>346</v>
      </c>
      <c r="S699" s="1">
        <f>SUM(ecommerce_sales_all_data[[#This Row],[sales_month_1]:[sales_month_12]])</f>
        <v>5925</v>
      </c>
      <c r="T699" s="3">
        <f t="shared" si="130"/>
        <v>204604.28999999998</v>
      </c>
      <c r="U699" s="3">
        <f t="shared" si="131"/>
        <v>46833.599999999999</v>
      </c>
      <c r="V699" s="3">
        <f t="shared" si="132"/>
        <v>192310.46999999997</v>
      </c>
      <c r="W699" s="3">
        <f t="shared" si="133"/>
        <v>247339.94999999998</v>
      </c>
      <c r="X699" s="3">
        <f t="shared" si="134"/>
        <v>203140.74</v>
      </c>
      <c r="Y699" s="3">
        <f t="shared" si="135"/>
        <v>180602.06999999998</v>
      </c>
      <c r="Z699" s="3">
        <f t="shared" si="136"/>
        <v>153087.32999999999</v>
      </c>
      <c r="AA699" s="3">
        <f t="shared" si="137"/>
        <v>201677.18999999997</v>
      </c>
      <c r="AB699" s="3">
        <f t="shared" si="138"/>
        <v>585.41999999999996</v>
      </c>
      <c r="AC699" s="3">
        <f t="shared" si="139"/>
        <v>115620.45</v>
      </c>
      <c r="AD699" s="3">
        <f t="shared" si="140"/>
        <v>87227.579999999987</v>
      </c>
      <c r="AE699" s="3">
        <f t="shared" si="141"/>
        <v>101277.65999999999</v>
      </c>
      <c r="AF699" s="3">
        <f>SUM(ecommerce_sales_all_data[[#This Row],[revenue_month_1]:[revenue_month_12]])</f>
        <v>1734306.7499999998</v>
      </c>
    </row>
    <row r="700" spans="1:32" x14ac:dyDescent="0.3">
      <c r="A700">
        <v>699</v>
      </c>
      <c r="B700" t="s">
        <v>723</v>
      </c>
      <c r="C700" t="s">
        <v>19</v>
      </c>
      <c r="D700" s="2">
        <v>81.41</v>
      </c>
      <c r="E700">
        <v>4.9000000000000004</v>
      </c>
      <c r="F700">
        <v>258</v>
      </c>
      <c r="G700" s="1">
        <v>198</v>
      </c>
      <c r="H700" s="1">
        <v>539</v>
      </c>
      <c r="I700" s="1">
        <v>881</v>
      </c>
      <c r="J700" s="1">
        <v>936</v>
      </c>
      <c r="K700" s="1">
        <v>924</v>
      </c>
      <c r="L700" s="1">
        <v>132</v>
      </c>
      <c r="M700" s="1">
        <v>332</v>
      </c>
      <c r="N700" s="1">
        <v>161</v>
      </c>
      <c r="O700" s="1">
        <v>636</v>
      </c>
      <c r="P700" s="1">
        <v>54</v>
      </c>
      <c r="Q700" s="1">
        <v>774</v>
      </c>
      <c r="R700" s="1">
        <v>171</v>
      </c>
      <c r="S700" s="1">
        <f>SUM(ecommerce_sales_all_data[[#This Row],[sales_month_1]:[sales_month_12]])</f>
        <v>5738</v>
      </c>
      <c r="T700" s="3">
        <f t="shared" si="130"/>
        <v>16119.179999999998</v>
      </c>
      <c r="U700" s="3">
        <f t="shared" si="131"/>
        <v>43879.99</v>
      </c>
      <c r="V700" s="3">
        <f t="shared" si="132"/>
        <v>71722.209999999992</v>
      </c>
      <c r="W700" s="3">
        <f t="shared" si="133"/>
        <v>76199.759999999995</v>
      </c>
      <c r="X700" s="3">
        <f t="shared" si="134"/>
        <v>75222.84</v>
      </c>
      <c r="Y700" s="3">
        <f t="shared" si="135"/>
        <v>10746.119999999999</v>
      </c>
      <c r="Z700" s="3">
        <f t="shared" si="136"/>
        <v>27028.12</v>
      </c>
      <c r="AA700" s="3">
        <f t="shared" si="137"/>
        <v>13107.01</v>
      </c>
      <c r="AB700" s="3">
        <f t="shared" si="138"/>
        <v>51776.759999999995</v>
      </c>
      <c r="AC700" s="3">
        <f t="shared" si="139"/>
        <v>4396.1399999999994</v>
      </c>
      <c r="AD700" s="3">
        <f t="shared" si="140"/>
        <v>63011.34</v>
      </c>
      <c r="AE700" s="3">
        <f t="shared" si="141"/>
        <v>13921.109999999999</v>
      </c>
      <c r="AF700" s="3">
        <f>SUM(ecommerce_sales_all_data[[#This Row],[revenue_month_1]:[revenue_month_12]])</f>
        <v>467130.57999999996</v>
      </c>
    </row>
    <row r="701" spans="1:32" x14ac:dyDescent="0.3">
      <c r="A701">
        <v>700</v>
      </c>
      <c r="B701" t="s">
        <v>724</v>
      </c>
      <c r="C701" t="s">
        <v>19</v>
      </c>
      <c r="D701" s="2">
        <v>243.16</v>
      </c>
      <c r="E701">
        <v>3.2</v>
      </c>
      <c r="F701">
        <v>81</v>
      </c>
      <c r="G701" s="1">
        <v>302</v>
      </c>
      <c r="H701" s="1">
        <v>391</v>
      </c>
      <c r="I701" s="1">
        <v>196</v>
      </c>
      <c r="J701" s="1">
        <v>419</v>
      </c>
      <c r="K701" s="1">
        <v>151</v>
      </c>
      <c r="L701" s="1">
        <v>619</v>
      </c>
      <c r="M701" s="1">
        <v>296</v>
      </c>
      <c r="N701" s="1">
        <v>330</v>
      </c>
      <c r="O701" s="1">
        <v>267</v>
      </c>
      <c r="P701" s="1">
        <v>306</v>
      </c>
      <c r="Q701" s="1">
        <v>380</v>
      </c>
      <c r="R701" s="1">
        <v>868</v>
      </c>
      <c r="S701" s="1">
        <f>SUM(ecommerce_sales_all_data[[#This Row],[sales_month_1]:[sales_month_12]])</f>
        <v>4525</v>
      </c>
      <c r="T701" s="3">
        <f t="shared" si="130"/>
        <v>73434.319999999992</v>
      </c>
      <c r="U701" s="3">
        <f t="shared" si="131"/>
        <v>95075.56</v>
      </c>
      <c r="V701" s="3">
        <f t="shared" si="132"/>
        <v>47659.360000000001</v>
      </c>
      <c r="W701" s="3">
        <f t="shared" si="133"/>
        <v>101884.04</v>
      </c>
      <c r="X701" s="3">
        <f t="shared" si="134"/>
        <v>36717.159999999996</v>
      </c>
      <c r="Y701" s="3">
        <f t="shared" si="135"/>
        <v>150516.04</v>
      </c>
      <c r="Z701" s="3">
        <f t="shared" si="136"/>
        <v>71975.360000000001</v>
      </c>
      <c r="AA701" s="3">
        <f t="shared" si="137"/>
        <v>80242.8</v>
      </c>
      <c r="AB701" s="3">
        <f t="shared" si="138"/>
        <v>64923.72</v>
      </c>
      <c r="AC701" s="3">
        <f t="shared" si="139"/>
        <v>74406.959999999992</v>
      </c>
      <c r="AD701" s="3">
        <f t="shared" si="140"/>
        <v>92400.8</v>
      </c>
      <c r="AE701" s="3">
        <f t="shared" si="141"/>
        <v>211062.88</v>
      </c>
      <c r="AF701" s="3">
        <f>SUM(ecommerce_sales_all_data[[#This Row],[revenue_month_1]:[revenue_month_12]])</f>
        <v>1100299</v>
      </c>
    </row>
    <row r="702" spans="1:32" x14ac:dyDescent="0.3">
      <c r="A702">
        <v>701</v>
      </c>
      <c r="B702" t="s">
        <v>725</v>
      </c>
      <c r="C702" t="s">
        <v>26</v>
      </c>
      <c r="D702" s="2">
        <v>268.63</v>
      </c>
      <c r="E702">
        <v>4.9000000000000004</v>
      </c>
      <c r="F702">
        <v>937</v>
      </c>
      <c r="G702" s="1">
        <v>326</v>
      </c>
      <c r="H702" s="1">
        <v>768</v>
      </c>
      <c r="I702" s="1">
        <v>884</v>
      </c>
      <c r="J702" s="1">
        <v>888</v>
      </c>
      <c r="K702" s="1">
        <v>585</v>
      </c>
      <c r="L702" s="1">
        <v>177</v>
      </c>
      <c r="M702" s="1">
        <v>129</v>
      </c>
      <c r="N702" s="1">
        <v>885</v>
      </c>
      <c r="O702" s="1">
        <v>595</v>
      </c>
      <c r="P702" s="1">
        <v>869</v>
      </c>
      <c r="Q702" s="1">
        <v>560</v>
      </c>
      <c r="R702" s="1">
        <v>326</v>
      </c>
      <c r="S702" s="1">
        <f>SUM(ecommerce_sales_all_data[[#This Row],[sales_month_1]:[sales_month_12]])</f>
        <v>6992</v>
      </c>
      <c r="T702" s="3">
        <f t="shared" si="130"/>
        <v>87573.38</v>
      </c>
      <c r="U702" s="3">
        <f t="shared" si="131"/>
        <v>206307.84</v>
      </c>
      <c r="V702" s="3">
        <f t="shared" si="132"/>
        <v>237468.91999999998</v>
      </c>
      <c r="W702" s="3">
        <f t="shared" si="133"/>
        <v>238543.44</v>
      </c>
      <c r="X702" s="3">
        <f t="shared" si="134"/>
        <v>157148.54999999999</v>
      </c>
      <c r="Y702" s="3">
        <f t="shared" si="135"/>
        <v>47547.51</v>
      </c>
      <c r="Z702" s="3">
        <f t="shared" si="136"/>
        <v>34653.269999999997</v>
      </c>
      <c r="AA702" s="3">
        <f t="shared" si="137"/>
        <v>237737.55</v>
      </c>
      <c r="AB702" s="3">
        <f t="shared" si="138"/>
        <v>159834.85</v>
      </c>
      <c r="AC702" s="3">
        <f t="shared" si="139"/>
        <v>233439.47</v>
      </c>
      <c r="AD702" s="3">
        <f t="shared" si="140"/>
        <v>150432.79999999999</v>
      </c>
      <c r="AE702" s="3">
        <f t="shared" si="141"/>
        <v>87573.38</v>
      </c>
      <c r="AF702" s="3">
        <f>SUM(ecommerce_sales_all_data[[#This Row],[revenue_month_1]:[revenue_month_12]])</f>
        <v>1878260.96</v>
      </c>
    </row>
    <row r="703" spans="1:32" x14ac:dyDescent="0.3">
      <c r="A703">
        <v>702</v>
      </c>
      <c r="B703" t="s">
        <v>726</v>
      </c>
      <c r="C703" t="s">
        <v>29</v>
      </c>
      <c r="D703" s="2">
        <v>30.65</v>
      </c>
      <c r="E703">
        <v>2.7</v>
      </c>
      <c r="F703">
        <v>268</v>
      </c>
      <c r="G703" s="1">
        <v>153</v>
      </c>
      <c r="H703" s="1">
        <v>676</v>
      </c>
      <c r="I703" s="1">
        <v>732</v>
      </c>
      <c r="J703" s="1">
        <v>790</v>
      </c>
      <c r="K703" s="1">
        <v>876</v>
      </c>
      <c r="L703" s="1">
        <v>809</v>
      </c>
      <c r="M703" s="1">
        <v>292</v>
      </c>
      <c r="N703" s="1">
        <v>103</v>
      </c>
      <c r="O703" s="1">
        <v>15</v>
      </c>
      <c r="P703" s="1">
        <v>422</v>
      </c>
      <c r="Q703" s="1">
        <v>888</v>
      </c>
      <c r="R703" s="1">
        <v>711</v>
      </c>
      <c r="S703" s="1">
        <f>SUM(ecommerce_sales_all_data[[#This Row],[sales_month_1]:[sales_month_12]])</f>
        <v>6467</v>
      </c>
      <c r="T703" s="3">
        <f t="shared" si="130"/>
        <v>4689.45</v>
      </c>
      <c r="U703" s="3">
        <f t="shared" si="131"/>
        <v>20719.399999999998</v>
      </c>
      <c r="V703" s="3">
        <f t="shared" si="132"/>
        <v>22435.8</v>
      </c>
      <c r="W703" s="3">
        <f t="shared" si="133"/>
        <v>24213.5</v>
      </c>
      <c r="X703" s="3">
        <f t="shared" si="134"/>
        <v>26849.399999999998</v>
      </c>
      <c r="Y703" s="3">
        <f t="shared" si="135"/>
        <v>24795.85</v>
      </c>
      <c r="Z703" s="3">
        <f t="shared" si="136"/>
        <v>8949.7999999999993</v>
      </c>
      <c r="AA703" s="3">
        <f t="shared" si="137"/>
        <v>3156.95</v>
      </c>
      <c r="AB703" s="3">
        <f t="shared" si="138"/>
        <v>459.75</v>
      </c>
      <c r="AC703" s="3">
        <f t="shared" si="139"/>
        <v>12934.3</v>
      </c>
      <c r="AD703" s="3">
        <f t="shared" si="140"/>
        <v>27217.199999999997</v>
      </c>
      <c r="AE703" s="3">
        <f t="shared" si="141"/>
        <v>21792.149999999998</v>
      </c>
      <c r="AF703" s="3">
        <f>SUM(ecommerce_sales_all_data[[#This Row],[revenue_month_1]:[revenue_month_12]])</f>
        <v>198213.54999999996</v>
      </c>
    </row>
    <row r="704" spans="1:32" x14ac:dyDescent="0.3">
      <c r="A704">
        <v>703</v>
      </c>
      <c r="B704" t="s">
        <v>727</v>
      </c>
      <c r="C704" t="s">
        <v>21</v>
      </c>
      <c r="D704" s="2">
        <v>171.62</v>
      </c>
      <c r="E704">
        <v>2.2000000000000002</v>
      </c>
      <c r="F704">
        <v>419</v>
      </c>
      <c r="G704" s="1">
        <v>551</v>
      </c>
      <c r="H704" s="1">
        <v>574</v>
      </c>
      <c r="I704" s="1">
        <v>422</v>
      </c>
      <c r="J704" s="1">
        <v>170</v>
      </c>
      <c r="K704" s="1">
        <v>912</v>
      </c>
      <c r="L704" s="1">
        <v>357</v>
      </c>
      <c r="M704" s="1">
        <v>172</v>
      </c>
      <c r="N704" s="1">
        <v>160</v>
      </c>
      <c r="O704" s="1">
        <v>333</v>
      </c>
      <c r="P704" s="1">
        <v>416</v>
      </c>
      <c r="Q704" s="1">
        <v>840</v>
      </c>
      <c r="R704" s="1">
        <v>484</v>
      </c>
      <c r="S704" s="1">
        <f>SUM(ecommerce_sales_all_data[[#This Row],[sales_month_1]:[sales_month_12]])</f>
        <v>5391</v>
      </c>
      <c r="T704" s="3">
        <f t="shared" si="130"/>
        <v>94562.62</v>
      </c>
      <c r="U704" s="3">
        <f t="shared" si="131"/>
        <v>98509.88</v>
      </c>
      <c r="V704" s="3">
        <f t="shared" si="132"/>
        <v>72423.64</v>
      </c>
      <c r="W704" s="3">
        <f t="shared" si="133"/>
        <v>29175.4</v>
      </c>
      <c r="X704" s="3">
        <f t="shared" si="134"/>
        <v>156517.44</v>
      </c>
      <c r="Y704" s="3">
        <f t="shared" si="135"/>
        <v>61268.340000000004</v>
      </c>
      <c r="Z704" s="3">
        <f t="shared" si="136"/>
        <v>29518.639999999999</v>
      </c>
      <c r="AA704" s="3">
        <f t="shared" si="137"/>
        <v>27459.200000000001</v>
      </c>
      <c r="AB704" s="3">
        <f t="shared" si="138"/>
        <v>57149.46</v>
      </c>
      <c r="AC704" s="3">
        <f t="shared" si="139"/>
        <v>71393.919999999998</v>
      </c>
      <c r="AD704" s="3">
        <f t="shared" si="140"/>
        <v>144160.80000000002</v>
      </c>
      <c r="AE704" s="3">
        <f t="shared" si="141"/>
        <v>83064.08</v>
      </c>
      <c r="AF704" s="3">
        <f>SUM(ecommerce_sales_all_data[[#This Row],[revenue_month_1]:[revenue_month_12]])</f>
        <v>925203.42</v>
      </c>
    </row>
    <row r="705" spans="1:32" x14ac:dyDescent="0.3">
      <c r="A705">
        <v>704</v>
      </c>
      <c r="B705" t="s">
        <v>728</v>
      </c>
      <c r="C705" t="s">
        <v>48</v>
      </c>
      <c r="D705" s="2">
        <v>71.540000000000006</v>
      </c>
      <c r="E705">
        <v>3</v>
      </c>
      <c r="F705">
        <v>235</v>
      </c>
      <c r="G705" s="1">
        <v>644</v>
      </c>
      <c r="H705" s="1">
        <v>533</v>
      </c>
      <c r="I705" s="1">
        <v>571</v>
      </c>
      <c r="J705" s="1">
        <v>133</v>
      </c>
      <c r="K705" s="1">
        <v>273</v>
      </c>
      <c r="L705" s="1">
        <v>379</v>
      </c>
      <c r="M705" s="1">
        <v>719</v>
      </c>
      <c r="N705" s="1">
        <v>798</v>
      </c>
      <c r="O705" s="1">
        <v>463</v>
      </c>
      <c r="P705" s="1">
        <v>672</v>
      </c>
      <c r="Q705" s="1">
        <v>500</v>
      </c>
      <c r="R705" s="1">
        <v>488</v>
      </c>
      <c r="S705" s="1">
        <f>SUM(ecommerce_sales_all_data[[#This Row],[sales_month_1]:[sales_month_12]])</f>
        <v>6173</v>
      </c>
      <c r="T705" s="3">
        <f t="shared" si="130"/>
        <v>46071.76</v>
      </c>
      <c r="U705" s="3">
        <f t="shared" si="131"/>
        <v>38130.82</v>
      </c>
      <c r="V705" s="3">
        <f t="shared" si="132"/>
        <v>40849.340000000004</v>
      </c>
      <c r="W705" s="3">
        <f t="shared" si="133"/>
        <v>9514.8200000000015</v>
      </c>
      <c r="X705" s="3">
        <f t="shared" si="134"/>
        <v>19530.420000000002</v>
      </c>
      <c r="Y705" s="3">
        <f t="shared" si="135"/>
        <v>27113.660000000003</v>
      </c>
      <c r="Z705" s="3">
        <f t="shared" si="136"/>
        <v>51437.26</v>
      </c>
      <c r="AA705" s="3">
        <f t="shared" si="137"/>
        <v>57088.920000000006</v>
      </c>
      <c r="AB705" s="3">
        <f t="shared" si="138"/>
        <v>33123.020000000004</v>
      </c>
      <c r="AC705" s="3">
        <f t="shared" si="139"/>
        <v>48074.880000000005</v>
      </c>
      <c r="AD705" s="3">
        <f t="shared" si="140"/>
        <v>35770</v>
      </c>
      <c r="AE705" s="3">
        <f t="shared" si="141"/>
        <v>34911.520000000004</v>
      </c>
      <c r="AF705" s="3">
        <f>SUM(ecommerce_sales_all_data[[#This Row],[revenue_month_1]:[revenue_month_12]])</f>
        <v>441616.4200000001</v>
      </c>
    </row>
    <row r="706" spans="1:32" x14ac:dyDescent="0.3">
      <c r="A706">
        <v>705</v>
      </c>
      <c r="B706" t="s">
        <v>729</v>
      </c>
      <c r="C706" t="s">
        <v>19</v>
      </c>
      <c r="D706" s="2">
        <v>36.369999999999997</v>
      </c>
      <c r="E706">
        <v>2.8</v>
      </c>
      <c r="F706">
        <v>833</v>
      </c>
      <c r="G706" s="1">
        <v>404</v>
      </c>
      <c r="H706" s="1">
        <v>69</v>
      </c>
      <c r="I706" s="1">
        <v>609</v>
      </c>
      <c r="J706" s="1">
        <v>964</v>
      </c>
      <c r="K706" s="1">
        <v>553</v>
      </c>
      <c r="L706" s="1">
        <v>907</v>
      </c>
      <c r="M706" s="1">
        <v>943</v>
      </c>
      <c r="N706" s="1">
        <v>634</v>
      </c>
      <c r="O706" s="1">
        <v>58</v>
      </c>
      <c r="P706" s="1">
        <v>796</v>
      </c>
      <c r="Q706" s="1">
        <v>296</v>
      </c>
      <c r="R706" s="1">
        <v>461</v>
      </c>
      <c r="S706" s="1">
        <f>SUM(ecommerce_sales_all_data[[#This Row],[sales_month_1]:[sales_month_12]])</f>
        <v>6694</v>
      </c>
      <c r="T706" s="3">
        <f t="shared" ref="T706:T769" si="142">G706*$D706</f>
        <v>14693.48</v>
      </c>
      <c r="U706" s="3">
        <f t="shared" ref="U706:U769" si="143">H706*$D706</f>
        <v>2509.5299999999997</v>
      </c>
      <c r="V706" s="3">
        <f t="shared" si="132"/>
        <v>22149.329999999998</v>
      </c>
      <c r="W706" s="3">
        <f t="shared" si="133"/>
        <v>35060.68</v>
      </c>
      <c r="X706" s="3">
        <f t="shared" si="134"/>
        <v>20112.609999999997</v>
      </c>
      <c r="Y706" s="3">
        <f t="shared" si="135"/>
        <v>32987.589999999997</v>
      </c>
      <c r="Z706" s="3">
        <f t="shared" si="136"/>
        <v>34296.909999999996</v>
      </c>
      <c r="AA706" s="3">
        <f t="shared" si="137"/>
        <v>23058.579999999998</v>
      </c>
      <c r="AB706" s="3">
        <f t="shared" si="138"/>
        <v>2109.46</v>
      </c>
      <c r="AC706" s="3">
        <f t="shared" si="139"/>
        <v>28950.519999999997</v>
      </c>
      <c r="AD706" s="3">
        <f t="shared" si="140"/>
        <v>10765.519999999999</v>
      </c>
      <c r="AE706" s="3">
        <f t="shared" si="141"/>
        <v>16766.57</v>
      </c>
      <c r="AF706" s="3">
        <f>SUM(ecommerce_sales_all_data[[#This Row],[revenue_month_1]:[revenue_month_12]])</f>
        <v>243460.77999999994</v>
      </c>
    </row>
    <row r="707" spans="1:32" x14ac:dyDescent="0.3">
      <c r="A707">
        <v>706</v>
      </c>
      <c r="B707" t="s">
        <v>730</v>
      </c>
      <c r="C707" t="s">
        <v>23</v>
      </c>
      <c r="D707" s="2">
        <v>495.03</v>
      </c>
      <c r="E707">
        <v>1.4</v>
      </c>
      <c r="F707">
        <v>311</v>
      </c>
      <c r="G707" s="1">
        <v>461</v>
      </c>
      <c r="H707" s="1">
        <v>892</v>
      </c>
      <c r="I707" s="1">
        <v>170</v>
      </c>
      <c r="J707" s="1">
        <v>426</v>
      </c>
      <c r="K707" s="1">
        <v>495</v>
      </c>
      <c r="L707" s="1">
        <v>870</v>
      </c>
      <c r="M707" s="1">
        <v>23</v>
      </c>
      <c r="N707" s="1">
        <v>53</v>
      </c>
      <c r="O707" s="1">
        <v>176</v>
      </c>
      <c r="P707" s="1">
        <v>324</v>
      </c>
      <c r="Q707" s="1">
        <v>361</v>
      </c>
      <c r="R707" s="1">
        <v>377</v>
      </c>
      <c r="S707" s="1">
        <f>SUM(ecommerce_sales_all_data[[#This Row],[sales_month_1]:[sales_month_12]])</f>
        <v>4628</v>
      </c>
      <c r="T707" s="3">
        <f t="shared" si="142"/>
        <v>228208.83</v>
      </c>
      <c r="U707" s="3">
        <f t="shared" si="143"/>
        <v>441566.75999999995</v>
      </c>
      <c r="V707" s="3">
        <f t="shared" ref="V707:V770" si="144">I707*$D707</f>
        <v>84155.099999999991</v>
      </c>
      <c r="W707" s="3">
        <f t="shared" ref="W707:W770" si="145">J707*$D707</f>
        <v>210882.78</v>
      </c>
      <c r="X707" s="3">
        <f t="shared" ref="X707:X770" si="146">K707*$D707</f>
        <v>245039.84999999998</v>
      </c>
      <c r="Y707" s="3">
        <f t="shared" ref="Y707:Y770" si="147">L707*$D707</f>
        <v>430676.1</v>
      </c>
      <c r="Z707" s="3">
        <f t="shared" ref="Z707:Z770" si="148">M707*$D707</f>
        <v>11385.689999999999</v>
      </c>
      <c r="AA707" s="3">
        <f t="shared" ref="AA707:AA770" si="149">N707*$D707</f>
        <v>26236.59</v>
      </c>
      <c r="AB707" s="3">
        <f t="shared" ref="AB707:AB770" si="150">O707*$D707</f>
        <v>87125.28</v>
      </c>
      <c r="AC707" s="3">
        <f t="shared" ref="AC707:AC770" si="151">P707*$D707</f>
        <v>160389.72</v>
      </c>
      <c r="AD707" s="3">
        <f t="shared" ref="AD707:AD770" si="152">Q707*$D707</f>
        <v>178705.83</v>
      </c>
      <c r="AE707" s="3">
        <f t="shared" ref="AE707:AE770" si="153">R707*$D707</f>
        <v>186626.31</v>
      </c>
      <c r="AF707" s="3">
        <f>SUM(ecommerce_sales_all_data[[#This Row],[revenue_month_1]:[revenue_month_12]])</f>
        <v>2290998.84</v>
      </c>
    </row>
    <row r="708" spans="1:32" x14ac:dyDescent="0.3">
      <c r="A708">
        <v>707</v>
      </c>
      <c r="B708" t="s">
        <v>731</v>
      </c>
      <c r="C708" t="s">
        <v>48</v>
      </c>
      <c r="D708" s="2">
        <v>164.57</v>
      </c>
      <c r="E708">
        <v>3.6</v>
      </c>
      <c r="F708">
        <v>813</v>
      </c>
      <c r="G708" s="1">
        <v>131</v>
      </c>
      <c r="H708" s="1">
        <v>404</v>
      </c>
      <c r="I708" s="1">
        <v>381</v>
      </c>
      <c r="J708" s="1">
        <v>24</v>
      </c>
      <c r="K708" s="1">
        <v>723</v>
      </c>
      <c r="L708" s="1">
        <v>657</v>
      </c>
      <c r="M708" s="1">
        <v>98</v>
      </c>
      <c r="N708" s="1">
        <v>939</v>
      </c>
      <c r="O708" s="1">
        <v>62</v>
      </c>
      <c r="P708" s="1">
        <v>709</v>
      </c>
      <c r="Q708" s="1">
        <v>588</v>
      </c>
      <c r="R708" s="1">
        <v>587</v>
      </c>
      <c r="S708" s="1">
        <f>SUM(ecommerce_sales_all_data[[#This Row],[sales_month_1]:[sales_month_12]])</f>
        <v>5303</v>
      </c>
      <c r="T708" s="3">
        <f t="shared" si="142"/>
        <v>21558.67</v>
      </c>
      <c r="U708" s="3">
        <f t="shared" si="143"/>
        <v>66486.28</v>
      </c>
      <c r="V708" s="3">
        <f t="shared" si="144"/>
        <v>62701.17</v>
      </c>
      <c r="W708" s="3">
        <f t="shared" si="145"/>
        <v>3949.68</v>
      </c>
      <c r="X708" s="3">
        <f t="shared" si="146"/>
        <v>118984.11</v>
      </c>
      <c r="Y708" s="3">
        <f t="shared" si="147"/>
        <v>108122.48999999999</v>
      </c>
      <c r="Z708" s="3">
        <f t="shared" si="148"/>
        <v>16127.859999999999</v>
      </c>
      <c r="AA708" s="3">
        <f t="shared" si="149"/>
        <v>154531.22999999998</v>
      </c>
      <c r="AB708" s="3">
        <f t="shared" si="150"/>
        <v>10203.34</v>
      </c>
      <c r="AC708" s="3">
        <f t="shared" si="151"/>
        <v>116680.12999999999</v>
      </c>
      <c r="AD708" s="3">
        <f t="shared" si="152"/>
        <v>96767.159999999989</v>
      </c>
      <c r="AE708" s="3">
        <f t="shared" si="153"/>
        <v>96602.59</v>
      </c>
      <c r="AF708" s="3">
        <f>SUM(ecommerce_sales_all_data[[#This Row],[revenue_month_1]:[revenue_month_12]])</f>
        <v>872714.71</v>
      </c>
    </row>
    <row r="709" spans="1:32" x14ac:dyDescent="0.3">
      <c r="A709">
        <v>708</v>
      </c>
      <c r="B709" t="s">
        <v>732</v>
      </c>
      <c r="C709" t="s">
        <v>26</v>
      </c>
      <c r="D709" s="2">
        <v>405.89</v>
      </c>
      <c r="E709">
        <v>1.9</v>
      </c>
      <c r="F709">
        <v>975</v>
      </c>
      <c r="G709" s="1">
        <v>790</v>
      </c>
      <c r="H709" s="1">
        <v>607</v>
      </c>
      <c r="I709" s="1">
        <v>172</v>
      </c>
      <c r="J709" s="1">
        <v>529</v>
      </c>
      <c r="K709" s="1">
        <v>100</v>
      </c>
      <c r="L709" s="1">
        <v>449</v>
      </c>
      <c r="M709" s="1">
        <v>405</v>
      </c>
      <c r="N709" s="1">
        <v>33</v>
      </c>
      <c r="O709" s="1">
        <v>957</v>
      </c>
      <c r="P709" s="1">
        <v>670</v>
      </c>
      <c r="Q709" s="1">
        <v>462</v>
      </c>
      <c r="R709" s="1">
        <v>163</v>
      </c>
      <c r="S709" s="1">
        <f>SUM(ecommerce_sales_all_data[[#This Row],[sales_month_1]:[sales_month_12]])</f>
        <v>5337</v>
      </c>
      <c r="T709" s="3">
        <f t="shared" si="142"/>
        <v>320653.09999999998</v>
      </c>
      <c r="U709" s="3">
        <f t="shared" si="143"/>
        <v>246375.22999999998</v>
      </c>
      <c r="V709" s="3">
        <f t="shared" si="144"/>
        <v>69813.08</v>
      </c>
      <c r="W709" s="3">
        <f t="shared" si="145"/>
        <v>214715.81</v>
      </c>
      <c r="X709" s="3">
        <f t="shared" si="146"/>
        <v>40589</v>
      </c>
      <c r="Y709" s="3">
        <f t="shared" si="147"/>
        <v>182244.61</v>
      </c>
      <c r="Z709" s="3">
        <f t="shared" si="148"/>
        <v>164385.44999999998</v>
      </c>
      <c r="AA709" s="3">
        <f t="shared" si="149"/>
        <v>13394.369999999999</v>
      </c>
      <c r="AB709" s="3">
        <f t="shared" si="150"/>
        <v>388436.73</v>
      </c>
      <c r="AC709" s="3">
        <f t="shared" si="151"/>
        <v>271946.3</v>
      </c>
      <c r="AD709" s="3">
        <f t="shared" si="152"/>
        <v>187521.18</v>
      </c>
      <c r="AE709" s="3">
        <f t="shared" si="153"/>
        <v>66160.069999999992</v>
      </c>
      <c r="AF709" s="3">
        <f>SUM(ecommerce_sales_all_data[[#This Row],[revenue_month_1]:[revenue_month_12]])</f>
        <v>2166234.9300000002</v>
      </c>
    </row>
    <row r="710" spans="1:32" x14ac:dyDescent="0.3">
      <c r="A710">
        <v>709</v>
      </c>
      <c r="B710" t="s">
        <v>733</v>
      </c>
      <c r="C710" t="s">
        <v>26</v>
      </c>
      <c r="D710" s="2">
        <v>131.05000000000001</v>
      </c>
      <c r="E710">
        <v>3.5</v>
      </c>
      <c r="F710">
        <v>986</v>
      </c>
      <c r="G710" s="1">
        <v>873</v>
      </c>
      <c r="H710" s="1">
        <v>674</v>
      </c>
      <c r="I710" s="1">
        <v>662</v>
      </c>
      <c r="J710" s="1">
        <v>189</v>
      </c>
      <c r="K710" s="1">
        <v>556</v>
      </c>
      <c r="L710" s="1">
        <v>585</v>
      </c>
      <c r="M710" s="1">
        <v>355</v>
      </c>
      <c r="N710" s="1">
        <v>241</v>
      </c>
      <c r="O710" s="1">
        <v>560</v>
      </c>
      <c r="P710" s="1">
        <v>79</v>
      </c>
      <c r="Q710" s="1">
        <v>437</v>
      </c>
      <c r="R710" s="1">
        <v>371</v>
      </c>
      <c r="S710" s="1">
        <f>SUM(ecommerce_sales_all_data[[#This Row],[sales_month_1]:[sales_month_12]])</f>
        <v>5582</v>
      </c>
      <c r="T710" s="3">
        <f t="shared" si="142"/>
        <v>114406.65000000001</v>
      </c>
      <c r="U710" s="3">
        <f t="shared" si="143"/>
        <v>88327.700000000012</v>
      </c>
      <c r="V710" s="3">
        <f t="shared" si="144"/>
        <v>86755.1</v>
      </c>
      <c r="W710" s="3">
        <f t="shared" si="145"/>
        <v>24768.45</v>
      </c>
      <c r="X710" s="3">
        <f t="shared" si="146"/>
        <v>72863.8</v>
      </c>
      <c r="Y710" s="3">
        <f t="shared" si="147"/>
        <v>76664.25</v>
      </c>
      <c r="Z710" s="3">
        <f t="shared" si="148"/>
        <v>46522.750000000007</v>
      </c>
      <c r="AA710" s="3">
        <f t="shared" si="149"/>
        <v>31583.050000000003</v>
      </c>
      <c r="AB710" s="3">
        <f t="shared" si="150"/>
        <v>73388</v>
      </c>
      <c r="AC710" s="3">
        <f t="shared" si="151"/>
        <v>10352.950000000001</v>
      </c>
      <c r="AD710" s="3">
        <f t="shared" si="152"/>
        <v>57268.850000000006</v>
      </c>
      <c r="AE710" s="3">
        <f t="shared" si="153"/>
        <v>48619.55</v>
      </c>
      <c r="AF710" s="3">
        <f>SUM(ecommerce_sales_all_data[[#This Row],[revenue_month_1]:[revenue_month_12]])</f>
        <v>731521.10000000009</v>
      </c>
    </row>
    <row r="711" spans="1:32" x14ac:dyDescent="0.3">
      <c r="A711">
        <v>710</v>
      </c>
      <c r="B711" t="s">
        <v>734</v>
      </c>
      <c r="C711" t="s">
        <v>19</v>
      </c>
      <c r="D711" s="2">
        <v>342.34</v>
      </c>
      <c r="E711">
        <v>3.6</v>
      </c>
      <c r="F711">
        <v>357</v>
      </c>
      <c r="G711" s="1">
        <v>83</v>
      </c>
      <c r="H711" s="1">
        <v>590</v>
      </c>
      <c r="I711" s="1">
        <v>452</v>
      </c>
      <c r="J711" s="1">
        <v>140</v>
      </c>
      <c r="K711" s="1">
        <v>81</v>
      </c>
      <c r="L711" s="1">
        <v>462</v>
      </c>
      <c r="M711" s="1">
        <v>138</v>
      </c>
      <c r="N711" s="1">
        <v>966</v>
      </c>
      <c r="O711" s="1">
        <v>306</v>
      </c>
      <c r="P711" s="1">
        <v>30</v>
      </c>
      <c r="Q711" s="1">
        <v>126</v>
      </c>
      <c r="R711" s="1">
        <v>572</v>
      </c>
      <c r="S711" s="1">
        <f>SUM(ecommerce_sales_all_data[[#This Row],[sales_month_1]:[sales_month_12]])</f>
        <v>3946</v>
      </c>
      <c r="T711" s="3">
        <f t="shared" si="142"/>
        <v>28414.219999999998</v>
      </c>
      <c r="U711" s="3">
        <f t="shared" si="143"/>
        <v>201980.59999999998</v>
      </c>
      <c r="V711" s="3">
        <f t="shared" si="144"/>
        <v>154737.68</v>
      </c>
      <c r="W711" s="3">
        <f t="shared" si="145"/>
        <v>47927.6</v>
      </c>
      <c r="X711" s="3">
        <f t="shared" si="146"/>
        <v>27729.539999999997</v>
      </c>
      <c r="Y711" s="3">
        <f t="shared" si="147"/>
        <v>158161.07999999999</v>
      </c>
      <c r="Z711" s="3">
        <f t="shared" si="148"/>
        <v>47242.92</v>
      </c>
      <c r="AA711" s="3">
        <f t="shared" si="149"/>
        <v>330700.44</v>
      </c>
      <c r="AB711" s="3">
        <f t="shared" si="150"/>
        <v>104756.04</v>
      </c>
      <c r="AC711" s="3">
        <f t="shared" si="151"/>
        <v>10270.199999999999</v>
      </c>
      <c r="AD711" s="3">
        <f t="shared" si="152"/>
        <v>43134.84</v>
      </c>
      <c r="AE711" s="3">
        <f t="shared" si="153"/>
        <v>195818.47999999998</v>
      </c>
      <c r="AF711" s="3">
        <f>SUM(ecommerce_sales_all_data[[#This Row],[revenue_month_1]:[revenue_month_12]])</f>
        <v>1350873.6400000001</v>
      </c>
    </row>
    <row r="712" spans="1:32" x14ac:dyDescent="0.3">
      <c r="A712">
        <v>711</v>
      </c>
      <c r="B712" t="s">
        <v>735</v>
      </c>
      <c r="C712" t="s">
        <v>19</v>
      </c>
      <c r="D712" s="2">
        <v>381.31</v>
      </c>
      <c r="E712">
        <v>1.6</v>
      </c>
      <c r="F712">
        <v>213</v>
      </c>
      <c r="G712" s="1">
        <v>398</v>
      </c>
      <c r="H712" s="1">
        <v>516</v>
      </c>
      <c r="I712" s="1">
        <v>349</v>
      </c>
      <c r="J712" s="1">
        <v>554</v>
      </c>
      <c r="K712" s="1">
        <v>528</v>
      </c>
      <c r="L712" s="1">
        <v>989</v>
      </c>
      <c r="M712" s="1">
        <v>502</v>
      </c>
      <c r="N712" s="1">
        <v>889</v>
      </c>
      <c r="O712" s="1">
        <v>245</v>
      </c>
      <c r="P712" s="1">
        <v>984</v>
      </c>
      <c r="Q712" s="1">
        <v>196</v>
      </c>
      <c r="R712" s="1">
        <v>999</v>
      </c>
      <c r="S712" s="1">
        <f>SUM(ecommerce_sales_all_data[[#This Row],[sales_month_1]:[sales_month_12]])</f>
        <v>7149</v>
      </c>
      <c r="T712" s="3">
        <f t="shared" si="142"/>
        <v>151761.38</v>
      </c>
      <c r="U712" s="3">
        <f t="shared" si="143"/>
        <v>196755.96</v>
      </c>
      <c r="V712" s="3">
        <f t="shared" si="144"/>
        <v>133077.19</v>
      </c>
      <c r="W712" s="3">
        <f t="shared" si="145"/>
        <v>211245.74</v>
      </c>
      <c r="X712" s="3">
        <f t="shared" si="146"/>
        <v>201331.68</v>
      </c>
      <c r="Y712" s="3">
        <f t="shared" si="147"/>
        <v>377115.59</v>
      </c>
      <c r="Z712" s="3">
        <f t="shared" si="148"/>
        <v>191417.62</v>
      </c>
      <c r="AA712" s="3">
        <f t="shared" si="149"/>
        <v>338984.59</v>
      </c>
      <c r="AB712" s="3">
        <f t="shared" si="150"/>
        <v>93420.95</v>
      </c>
      <c r="AC712" s="3">
        <f t="shared" si="151"/>
        <v>375209.04</v>
      </c>
      <c r="AD712" s="3">
        <f t="shared" si="152"/>
        <v>74736.759999999995</v>
      </c>
      <c r="AE712" s="3">
        <f t="shared" si="153"/>
        <v>380928.69</v>
      </c>
      <c r="AF712" s="3">
        <f>SUM(ecommerce_sales_all_data[[#This Row],[revenue_month_1]:[revenue_month_12]])</f>
        <v>2725985.19</v>
      </c>
    </row>
    <row r="713" spans="1:32" x14ac:dyDescent="0.3">
      <c r="A713">
        <v>712</v>
      </c>
      <c r="B713" t="s">
        <v>736</v>
      </c>
      <c r="C713" t="s">
        <v>19</v>
      </c>
      <c r="D713" s="2">
        <v>299.83999999999997</v>
      </c>
      <c r="E713">
        <v>1.2</v>
      </c>
      <c r="F713">
        <v>574</v>
      </c>
      <c r="G713" s="1">
        <v>753</v>
      </c>
      <c r="H713" s="1">
        <v>827</v>
      </c>
      <c r="I713" s="1">
        <v>901</v>
      </c>
      <c r="J713" s="1">
        <v>845</v>
      </c>
      <c r="K713" s="1">
        <v>72</v>
      </c>
      <c r="L713" s="1">
        <v>107</v>
      </c>
      <c r="M713" s="1">
        <v>825</v>
      </c>
      <c r="N713" s="1">
        <v>112</v>
      </c>
      <c r="O713" s="1">
        <v>288</v>
      </c>
      <c r="P713" s="1">
        <v>111</v>
      </c>
      <c r="Q713" s="1">
        <v>220</v>
      </c>
      <c r="R713" s="1">
        <v>976</v>
      </c>
      <c r="S713" s="1">
        <f>SUM(ecommerce_sales_all_data[[#This Row],[sales_month_1]:[sales_month_12]])</f>
        <v>6037</v>
      </c>
      <c r="T713" s="3">
        <f t="shared" si="142"/>
        <v>225779.52</v>
      </c>
      <c r="U713" s="3">
        <f t="shared" si="143"/>
        <v>247967.68</v>
      </c>
      <c r="V713" s="3">
        <f t="shared" si="144"/>
        <v>270155.83999999997</v>
      </c>
      <c r="W713" s="3">
        <f t="shared" si="145"/>
        <v>253364.8</v>
      </c>
      <c r="X713" s="3">
        <f t="shared" si="146"/>
        <v>21588.48</v>
      </c>
      <c r="Y713" s="3">
        <f t="shared" si="147"/>
        <v>32082.879999999997</v>
      </c>
      <c r="Z713" s="3">
        <f t="shared" si="148"/>
        <v>247367.99999999997</v>
      </c>
      <c r="AA713" s="3">
        <f t="shared" si="149"/>
        <v>33582.079999999994</v>
      </c>
      <c r="AB713" s="3">
        <f t="shared" si="150"/>
        <v>86353.919999999998</v>
      </c>
      <c r="AC713" s="3">
        <f t="shared" si="151"/>
        <v>33282.239999999998</v>
      </c>
      <c r="AD713" s="3">
        <f t="shared" si="152"/>
        <v>65964.799999999988</v>
      </c>
      <c r="AE713" s="3">
        <f t="shared" si="153"/>
        <v>292643.83999999997</v>
      </c>
      <c r="AF713" s="3">
        <f>SUM(ecommerce_sales_all_data[[#This Row],[revenue_month_1]:[revenue_month_12]])</f>
        <v>1810134.0799999996</v>
      </c>
    </row>
    <row r="714" spans="1:32" x14ac:dyDescent="0.3">
      <c r="A714">
        <v>713</v>
      </c>
      <c r="B714" t="s">
        <v>737</v>
      </c>
      <c r="C714" t="s">
        <v>35</v>
      </c>
      <c r="D714" s="2">
        <v>238.43</v>
      </c>
      <c r="E714">
        <v>4.0999999999999996</v>
      </c>
      <c r="F714">
        <v>49</v>
      </c>
      <c r="G714" s="1">
        <v>627</v>
      </c>
      <c r="H714" s="1">
        <v>119</v>
      </c>
      <c r="I714" s="1">
        <v>951</v>
      </c>
      <c r="J714" s="1">
        <v>795</v>
      </c>
      <c r="K714" s="1">
        <v>13</v>
      </c>
      <c r="L714" s="1">
        <v>121</v>
      </c>
      <c r="M714" s="1">
        <v>173</v>
      </c>
      <c r="N714" s="1">
        <v>317</v>
      </c>
      <c r="O714" s="1">
        <v>797</v>
      </c>
      <c r="P714" s="1">
        <v>557</v>
      </c>
      <c r="Q714" s="1">
        <v>994</v>
      </c>
      <c r="R714" s="1">
        <v>423</v>
      </c>
      <c r="S714" s="1">
        <f>SUM(ecommerce_sales_all_data[[#This Row],[sales_month_1]:[sales_month_12]])</f>
        <v>5887</v>
      </c>
      <c r="T714" s="3">
        <f t="shared" si="142"/>
        <v>149495.61000000002</v>
      </c>
      <c r="U714" s="3">
        <f t="shared" si="143"/>
        <v>28373.170000000002</v>
      </c>
      <c r="V714" s="3">
        <f t="shared" si="144"/>
        <v>226746.93</v>
      </c>
      <c r="W714" s="3">
        <f t="shared" si="145"/>
        <v>189551.85</v>
      </c>
      <c r="X714" s="3">
        <f t="shared" si="146"/>
        <v>3099.59</v>
      </c>
      <c r="Y714" s="3">
        <f t="shared" si="147"/>
        <v>28850.030000000002</v>
      </c>
      <c r="Z714" s="3">
        <f t="shared" si="148"/>
        <v>41248.39</v>
      </c>
      <c r="AA714" s="3">
        <f t="shared" si="149"/>
        <v>75582.31</v>
      </c>
      <c r="AB714" s="3">
        <f t="shared" si="150"/>
        <v>190028.71</v>
      </c>
      <c r="AC714" s="3">
        <f t="shared" si="151"/>
        <v>132805.51</v>
      </c>
      <c r="AD714" s="3">
        <f t="shared" si="152"/>
        <v>236999.42</v>
      </c>
      <c r="AE714" s="3">
        <f t="shared" si="153"/>
        <v>100855.89</v>
      </c>
      <c r="AF714" s="3">
        <f>SUM(ecommerce_sales_all_data[[#This Row],[revenue_month_1]:[revenue_month_12]])</f>
        <v>1403637.41</v>
      </c>
    </row>
    <row r="715" spans="1:32" x14ac:dyDescent="0.3">
      <c r="A715">
        <v>714</v>
      </c>
      <c r="B715" t="s">
        <v>738</v>
      </c>
      <c r="C715" t="s">
        <v>21</v>
      </c>
      <c r="D715" s="2">
        <v>208.86</v>
      </c>
      <c r="E715">
        <v>2.8</v>
      </c>
      <c r="F715">
        <v>127</v>
      </c>
      <c r="G715" s="1">
        <v>108</v>
      </c>
      <c r="H715" s="1">
        <v>813</v>
      </c>
      <c r="I715" s="1">
        <v>633</v>
      </c>
      <c r="J715" s="1">
        <v>657</v>
      </c>
      <c r="K715" s="1">
        <v>432</v>
      </c>
      <c r="L715" s="1">
        <v>16</v>
      </c>
      <c r="M715" s="1">
        <v>28</v>
      </c>
      <c r="N715" s="1">
        <v>22</v>
      </c>
      <c r="O715" s="1">
        <v>954</v>
      </c>
      <c r="P715" s="1">
        <v>864</v>
      </c>
      <c r="Q715" s="1">
        <v>90</v>
      </c>
      <c r="R715" s="1">
        <v>756</v>
      </c>
      <c r="S715" s="1">
        <f>SUM(ecommerce_sales_all_data[[#This Row],[sales_month_1]:[sales_month_12]])</f>
        <v>5373</v>
      </c>
      <c r="T715" s="3">
        <f t="shared" si="142"/>
        <v>22556.880000000001</v>
      </c>
      <c r="U715" s="3">
        <f t="shared" si="143"/>
        <v>169803.18000000002</v>
      </c>
      <c r="V715" s="3">
        <f t="shared" si="144"/>
        <v>132208.38</v>
      </c>
      <c r="W715" s="3">
        <f t="shared" si="145"/>
        <v>137221.02000000002</v>
      </c>
      <c r="X715" s="3">
        <f t="shared" si="146"/>
        <v>90227.520000000004</v>
      </c>
      <c r="Y715" s="3">
        <f t="shared" si="147"/>
        <v>3341.76</v>
      </c>
      <c r="Z715" s="3">
        <f t="shared" si="148"/>
        <v>5848.08</v>
      </c>
      <c r="AA715" s="3">
        <f t="shared" si="149"/>
        <v>4594.92</v>
      </c>
      <c r="AB715" s="3">
        <f t="shared" si="150"/>
        <v>199252.44</v>
      </c>
      <c r="AC715" s="3">
        <f t="shared" si="151"/>
        <v>180455.04000000001</v>
      </c>
      <c r="AD715" s="3">
        <f t="shared" si="152"/>
        <v>18797.400000000001</v>
      </c>
      <c r="AE715" s="3">
        <f t="shared" si="153"/>
        <v>157898.16</v>
      </c>
      <c r="AF715" s="3">
        <f>SUM(ecommerce_sales_all_data[[#This Row],[revenue_month_1]:[revenue_month_12]])</f>
        <v>1122204.7800000003</v>
      </c>
    </row>
    <row r="716" spans="1:32" x14ac:dyDescent="0.3">
      <c r="A716">
        <v>715</v>
      </c>
      <c r="B716" t="s">
        <v>739</v>
      </c>
      <c r="C716" t="s">
        <v>19</v>
      </c>
      <c r="D716" s="2">
        <v>177.69</v>
      </c>
      <c r="E716">
        <v>1.2</v>
      </c>
      <c r="F716">
        <v>223</v>
      </c>
      <c r="G716" s="1">
        <v>220</v>
      </c>
      <c r="H716" s="1">
        <v>689</v>
      </c>
      <c r="I716" s="1">
        <v>493</v>
      </c>
      <c r="J716" s="1">
        <v>314</v>
      </c>
      <c r="K716" s="1">
        <v>156</v>
      </c>
      <c r="L716" s="1">
        <v>195</v>
      </c>
      <c r="M716" s="1">
        <v>930</v>
      </c>
      <c r="N716" s="1">
        <v>557</v>
      </c>
      <c r="O716" s="1">
        <v>331</v>
      </c>
      <c r="P716" s="1">
        <v>716</v>
      </c>
      <c r="Q716" s="1">
        <v>410</v>
      </c>
      <c r="R716" s="1">
        <v>476</v>
      </c>
      <c r="S716" s="1">
        <f>SUM(ecommerce_sales_all_data[[#This Row],[sales_month_1]:[sales_month_12]])</f>
        <v>5487</v>
      </c>
      <c r="T716" s="3">
        <f t="shared" si="142"/>
        <v>39091.800000000003</v>
      </c>
      <c r="U716" s="3">
        <f t="shared" si="143"/>
        <v>122428.41</v>
      </c>
      <c r="V716" s="3">
        <f t="shared" si="144"/>
        <v>87601.17</v>
      </c>
      <c r="W716" s="3">
        <f t="shared" si="145"/>
        <v>55794.659999999996</v>
      </c>
      <c r="X716" s="3">
        <f t="shared" si="146"/>
        <v>27719.64</v>
      </c>
      <c r="Y716" s="3">
        <f t="shared" si="147"/>
        <v>34649.550000000003</v>
      </c>
      <c r="Z716" s="3">
        <f t="shared" si="148"/>
        <v>165251.70000000001</v>
      </c>
      <c r="AA716" s="3">
        <f t="shared" si="149"/>
        <v>98973.33</v>
      </c>
      <c r="AB716" s="3">
        <f t="shared" si="150"/>
        <v>58815.39</v>
      </c>
      <c r="AC716" s="3">
        <f t="shared" si="151"/>
        <v>127226.04</v>
      </c>
      <c r="AD716" s="3">
        <f t="shared" si="152"/>
        <v>72852.899999999994</v>
      </c>
      <c r="AE716" s="3">
        <f t="shared" si="153"/>
        <v>84580.44</v>
      </c>
      <c r="AF716" s="3">
        <f>SUM(ecommerce_sales_all_data[[#This Row],[revenue_month_1]:[revenue_month_12]])</f>
        <v>974985.03</v>
      </c>
    </row>
    <row r="717" spans="1:32" x14ac:dyDescent="0.3">
      <c r="A717">
        <v>716</v>
      </c>
      <c r="B717" t="s">
        <v>740</v>
      </c>
      <c r="C717" t="s">
        <v>48</v>
      </c>
      <c r="D717" s="2">
        <v>465.12</v>
      </c>
      <c r="E717">
        <v>5</v>
      </c>
      <c r="F717">
        <v>921</v>
      </c>
      <c r="G717" s="1">
        <v>903</v>
      </c>
      <c r="H717" s="1">
        <v>687</v>
      </c>
      <c r="I717" s="1">
        <v>619</v>
      </c>
      <c r="J717" s="1">
        <v>443</v>
      </c>
      <c r="K717" s="1">
        <v>734</v>
      </c>
      <c r="L717" s="1">
        <v>326</v>
      </c>
      <c r="M717" s="1">
        <v>495</v>
      </c>
      <c r="N717" s="1">
        <v>823</v>
      </c>
      <c r="O717" s="1">
        <v>526</v>
      </c>
      <c r="P717" s="1">
        <v>563</v>
      </c>
      <c r="Q717" s="1">
        <v>7</v>
      </c>
      <c r="R717" s="1">
        <v>381</v>
      </c>
      <c r="S717" s="1">
        <f>SUM(ecommerce_sales_all_data[[#This Row],[sales_month_1]:[sales_month_12]])</f>
        <v>6507</v>
      </c>
      <c r="T717" s="3">
        <f t="shared" si="142"/>
        <v>420003.36</v>
      </c>
      <c r="U717" s="3">
        <f t="shared" si="143"/>
        <v>319537.44</v>
      </c>
      <c r="V717" s="3">
        <f t="shared" si="144"/>
        <v>287909.28000000003</v>
      </c>
      <c r="W717" s="3">
        <f t="shared" si="145"/>
        <v>206048.16</v>
      </c>
      <c r="X717" s="3">
        <f t="shared" si="146"/>
        <v>341398.08</v>
      </c>
      <c r="Y717" s="3">
        <f t="shared" si="147"/>
        <v>151629.12</v>
      </c>
      <c r="Z717" s="3">
        <f t="shared" si="148"/>
        <v>230234.4</v>
      </c>
      <c r="AA717" s="3">
        <f t="shared" si="149"/>
        <v>382793.76</v>
      </c>
      <c r="AB717" s="3">
        <f t="shared" si="150"/>
        <v>244653.12</v>
      </c>
      <c r="AC717" s="3">
        <f t="shared" si="151"/>
        <v>261862.56</v>
      </c>
      <c r="AD717" s="3">
        <f t="shared" si="152"/>
        <v>3255.84</v>
      </c>
      <c r="AE717" s="3">
        <f t="shared" si="153"/>
        <v>177210.72</v>
      </c>
      <c r="AF717" s="3">
        <f>SUM(ecommerce_sales_all_data[[#This Row],[revenue_month_1]:[revenue_month_12]])</f>
        <v>3026535.84</v>
      </c>
    </row>
    <row r="718" spans="1:32" x14ac:dyDescent="0.3">
      <c r="A718">
        <v>717</v>
      </c>
      <c r="B718" t="s">
        <v>741</v>
      </c>
      <c r="C718" t="s">
        <v>48</v>
      </c>
      <c r="D718" s="2">
        <v>416.16</v>
      </c>
      <c r="E718">
        <v>1.2</v>
      </c>
      <c r="F718">
        <v>279</v>
      </c>
      <c r="G718" s="1">
        <v>552</v>
      </c>
      <c r="H718" s="1">
        <v>901</v>
      </c>
      <c r="I718" s="1">
        <v>3</v>
      </c>
      <c r="J718" s="1">
        <v>318</v>
      </c>
      <c r="K718" s="1">
        <v>131</v>
      </c>
      <c r="L718" s="1">
        <v>317</v>
      </c>
      <c r="M718" s="1">
        <v>654</v>
      </c>
      <c r="N718" s="1">
        <v>646</v>
      </c>
      <c r="O718" s="1">
        <v>849</v>
      </c>
      <c r="P718" s="1">
        <v>649</v>
      </c>
      <c r="Q718" s="1">
        <v>543</v>
      </c>
      <c r="R718" s="1">
        <v>154</v>
      </c>
      <c r="S718" s="1">
        <f>SUM(ecommerce_sales_all_data[[#This Row],[sales_month_1]:[sales_month_12]])</f>
        <v>5717</v>
      </c>
      <c r="T718" s="3">
        <f t="shared" si="142"/>
        <v>229720.32000000001</v>
      </c>
      <c r="U718" s="3">
        <f t="shared" si="143"/>
        <v>374960.16000000003</v>
      </c>
      <c r="V718" s="3">
        <f t="shared" si="144"/>
        <v>1248.48</v>
      </c>
      <c r="W718" s="3">
        <f t="shared" si="145"/>
        <v>132338.88</v>
      </c>
      <c r="X718" s="3">
        <f t="shared" si="146"/>
        <v>54516.960000000006</v>
      </c>
      <c r="Y718" s="3">
        <f t="shared" si="147"/>
        <v>131922.72</v>
      </c>
      <c r="Z718" s="3">
        <f t="shared" si="148"/>
        <v>272168.64</v>
      </c>
      <c r="AA718" s="3">
        <f t="shared" si="149"/>
        <v>268839.36000000004</v>
      </c>
      <c r="AB718" s="3">
        <f t="shared" si="150"/>
        <v>353319.84</v>
      </c>
      <c r="AC718" s="3">
        <f t="shared" si="151"/>
        <v>270087.84000000003</v>
      </c>
      <c r="AD718" s="3">
        <f t="shared" si="152"/>
        <v>225974.88</v>
      </c>
      <c r="AE718" s="3">
        <f t="shared" si="153"/>
        <v>64088.640000000007</v>
      </c>
      <c r="AF718" s="3">
        <f>SUM(ecommerce_sales_all_data[[#This Row],[revenue_month_1]:[revenue_month_12]])</f>
        <v>2379186.7200000002</v>
      </c>
    </row>
    <row r="719" spans="1:32" x14ac:dyDescent="0.3">
      <c r="A719">
        <v>718</v>
      </c>
      <c r="B719" t="s">
        <v>742</v>
      </c>
      <c r="C719" t="s">
        <v>35</v>
      </c>
      <c r="D719" s="2">
        <v>482.69</v>
      </c>
      <c r="E719">
        <v>3.8</v>
      </c>
      <c r="F719">
        <v>408</v>
      </c>
      <c r="G719" s="1">
        <v>367</v>
      </c>
      <c r="H719" s="1">
        <v>216</v>
      </c>
      <c r="I719" s="1">
        <v>92</v>
      </c>
      <c r="J719" s="1">
        <v>440</v>
      </c>
      <c r="K719" s="1">
        <v>337</v>
      </c>
      <c r="L719" s="1">
        <v>808</v>
      </c>
      <c r="M719" s="1">
        <v>827</v>
      </c>
      <c r="N719" s="1">
        <v>117</v>
      </c>
      <c r="O719" s="1">
        <v>254</v>
      </c>
      <c r="P719" s="1">
        <v>471</v>
      </c>
      <c r="Q719" s="1">
        <v>467</v>
      </c>
      <c r="R719" s="1">
        <v>256</v>
      </c>
      <c r="S719" s="1">
        <f>SUM(ecommerce_sales_all_data[[#This Row],[sales_month_1]:[sales_month_12]])</f>
        <v>4652</v>
      </c>
      <c r="T719" s="3">
        <f t="shared" si="142"/>
        <v>177147.23</v>
      </c>
      <c r="U719" s="3">
        <f t="shared" si="143"/>
        <v>104261.04</v>
      </c>
      <c r="V719" s="3">
        <f t="shared" si="144"/>
        <v>44407.48</v>
      </c>
      <c r="W719" s="3">
        <f t="shared" si="145"/>
        <v>212383.6</v>
      </c>
      <c r="X719" s="3">
        <f t="shared" si="146"/>
        <v>162666.53</v>
      </c>
      <c r="Y719" s="3">
        <f t="shared" si="147"/>
        <v>390013.52</v>
      </c>
      <c r="Z719" s="3">
        <f t="shared" si="148"/>
        <v>399184.63</v>
      </c>
      <c r="AA719" s="3">
        <f t="shared" si="149"/>
        <v>56474.73</v>
      </c>
      <c r="AB719" s="3">
        <f t="shared" si="150"/>
        <v>122603.26</v>
      </c>
      <c r="AC719" s="3">
        <f t="shared" si="151"/>
        <v>227346.99</v>
      </c>
      <c r="AD719" s="3">
        <f t="shared" si="152"/>
        <v>225416.23</v>
      </c>
      <c r="AE719" s="3">
        <f t="shared" si="153"/>
        <v>123568.64</v>
      </c>
      <c r="AF719" s="3">
        <f>SUM(ecommerce_sales_all_data[[#This Row],[revenue_month_1]:[revenue_month_12]])</f>
        <v>2245473.88</v>
      </c>
    </row>
    <row r="720" spans="1:32" x14ac:dyDescent="0.3">
      <c r="A720">
        <v>719</v>
      </c>
      <c r="B720" t="s">
        <v>743</v>
      </c>
      <c r="C720" t="s">
        <v>35</v>
      </c>
      <c r="D720" s="2">
        <v>66.53</v>
      </c>
      <c r="E720">
        <v>4.9000000000000004</v>
      </c>
      <c r="F720">
        <v>505</v>
      </c>
      <c r="G720" s="1">
        <v>146</v>
      </c>
      <c r="H720" s="1">
        <v>55</v>
      </c>
      <c r="I720" s="1">
        <v>918</v>
      </c>
      <c r="J720" s="1">
        <v>91</v>
      </c>
      <c r="K720" s="1">
        <v>403</v>
      </c>
      <c r="L720" s="1">
        <v>478</v>
      </c>
      <c r="M720" s="1">
        <v>350</v>
      </c>
      <c r="N720" s="1">
        <v>984</v>
      </c>
      <c r="O720" s="1">
        <v>603</v>
      </c>
      <c r="P720" s="1">
        <v>73</v>
      </c>
      <c r="Q720" s="1">
        <v>319</v>
      </c>
      <c r="R720" s="1">
        <v>755</v>
      </c>
      <c r="S720" s="1">
        <f>SUM(ecommerce_sales_all_data[[#This Row],[sales_month_1]:[sales_month_12]])</f>
        <v>5175</v>
      </c>
      <c r="T720" s="3">
        <f t="shared" si="142"/>
        <v>9713.380000000001</v>
      </c>
      <c r="U720" s="3">
        <f t="shared" si="143"/>
        <v>3659.15</v>
      </c>
      <c r="V720" s="3">
        <f t="shared" si="144"/>
        <v>61074.54</v>
      </c>
      <c r="W720" s="3">
        <f t="shared" si="145"/>
        <v>6054.2300000000005</v>
      </c>
      <c r="X720" s="3">
        <f t="shared" si="146"/>
        <v>26811.59</v>
      </c>
      <c r="Y720" s="3">
        <f t="shared" si="147"/>
        <v>31801.34</v>
      </c>
      <c r="Z720" s="3">
        <f t="shared" si="148"/>
        <v>23285.5</v>
      </c>
      <c r="AA720" s="3">
        <f t="shared" si="149"/>
        <v>65465.520000000004</v>
      </c>
      <c r="AB720" s="3">
        <f t="shared" si="150"/>
        <v>40117.590000000004</v>
      </c>
      <c r="AC720" s="3">
        <f t="shared" si="151"/>
        <v>4856.6900000000005</v>
      </c>
      <c r="AD720" s="3">
        <f t="shared" si="152"/>
        <v>21223.07</v>
      </c>
      <c r="AE720" s="3">
        <f t="shared" si="153"/>
        <v>50230.15</v>
      </c>
      <c r="AF720" s="3">
        <f>SUM(ecommerce_sales_all_data[[#This Row],[revenue_month_1]:[revenue_month_12]])</f>
        <v>344292.75000000006</v>
      </c>
    </row>
    <row r="721" spans="1:32" x14ac:dyDescent="0.3">
      <c r="A721">
        <v>720</v>
      </c>
      <c r="B721" t="s">
        <v>744</v>
      </c>
      <c r="C721" t="s">
        <v>29</v>
      </c>
      <c r="D721" s="2">
        <v>366.78</v>
      </c>
      <c r="E721">
        <v>2</v>
      </c>
      <c r="F721">
        <v>294</v>
      </c>
      <c r="G721" s="1">
        <v>111</v>
      </c>
      <c r="H721" s="1">
        <v>365</v>
      </c>
      <c r="I721" s="1">
        <v>5</v>
      </c>
      <c r="J721" s="1">
        <v>178</v>
      </c>
      <c r="K721" s="1">
        <v>375</v>
      </c>
      <c r="L721" s="1">
        <v>251</v>
      </c>
      <c r="M721" s="1">
        <v>553</v>
      </c>
      <c r="N721" s="1">
        <v>700</v>
      </c>
      <c r="O721" s="1">
        <v>509</v>
      </c>
      <c r="P721" s="1">
        <v>552</v>
      </c>
      <c r="Q721" s="1">
        <v>393</v>
      </c>
      <c r="R721" s="1">
        <v>673</v>
      </c>
      <c r="S721" s="1">
        <f>SUM(ecommerce_sales_all_data[[#This Row],[sales_month_1]:[sales_month_12]])</f>
        <v>4665</v>
      </c>
      <c r="T721" s="3">
        <f t="shared" si="142"/>
        <v>40712.579999999994</v>
      </c>
      <c r="U721" s="3">
        <f t="shared" si="143"/>
        <v>133874.69999999998</v>
      </c>
      <c r="V721" s="3">
        <f t="shared" si="144"/>
        <v>1833.8999999999999</v>
      </c>
      <c r="W721" s="3">
        <f t="shared" si="145"/>
        <v>65286.84</v>
      </c>
      <c r="X721" s="3">
        <f t="shared" si="146"/>
        <v>137542.5</v>
      </c>
      <c r="Y721" s="3">
        <f t="shared" si="147"/>
        <v>92061.78</v>
      </c>
      <c r="Z721" s="3">
        <f t="shared" si="148"/>
        <v>202829.34</v>
      </c>
      <c r="AA721" s="3">
        <f t="shared" si="149"/>
        <v>256745.99999999997</v>
      </c>
      <c r="AB721" s="3">
        <f t="shared" si="150"/>
        <v>186691.02</v>
      </c>
      <c r="AC721" s="3">
        <f t="shared" si="151"/>
        <v>202462.56</v>
      </c>
      <c r="AD721" s="3">
        <f t="shared" si="152"/>
        <v>144144.53999999998</v>
      </c>
      <c r="AE721" s="3">
        <f t="shared" si="153"/>
        <v>246842.93999999997</v>
      </c>
      <c r="AF721" s="3">
        <f>SUM(ecommerce_sales_all_data[[#This Row],[revenue_month_1]:[revenue_month_12]])</f>
        <v>1711028.7</v>
      </c>
    </row>
    <row r="722" spans="1:32" x14ac:dyDescent="0.3">
      <c r="A722">
        <v>721</v>
      </c>
      <c r="B722" t="s">
        <v>745</v>
      </c>
      <c r="C722" t="s">
        <v>23</v>
      </c>
      <c r="D722" s="2">
        <v>469.48</v>
      </c>
      <c r="E722">
        <v>1.6</v>
      </c>
      <c r="F722">
        <v>796</v>
      </c>
      <c r="G722" s="1">
        <v>614</v>
      </c>
      <c r="H722" s="1">
        <v>698</v>
      </c>
      <c r="I722" s="1">
        <v>287</v>
      </c>
      <c r="J722" s="1">
        <v>55</v>
      </c>
      <c r="K722" s="1">
        <v>887</v>
      </c>
      <c r="L722" s="1">
        <v>502</v>
      </c>
      <c r="M722" s="1">
        <v>1000</v>
      </c>
      <c r="N722" s="1">
        <v>642</v>
      </c>
      <c r="O722" s="1">
        <v>790</v>
      </c>
      <c r="P722" s="1">
        <v>478</v>
      </c>
      <c r="Q722" s="1">
        <v>268</v>
      </c>
      <c r="R722" s="1">
        <v>67</v>
      </c>
      <c r="S722" s="1">
        <f>SUM(ecommerce_sales_all_data[[#This Row],[sales_month_1]:[sales_month_12]])</f>
        <v>6288</v>
      </c>
      <c r="T722" s="3">
        <f t="shared" si="142"/>
        <v>288260.72000000003</v>
      </c>
      <c r="U722" s="3">
        <f t="shared" si="143"/>
        <v>327697.04000000004</v>
      </c>
      <c r="V722" s="3">
        <f t="shared" si="144"/>
        <v>134740.76</v>
      </c>
      <c r="W722" s="3">
        <f t="shared" si="145"/>
        <v>25821.4</v>
      </c>
      <c r="X722" s="3">
        <f t="shared" si="146"/>
        <v>416428.76</v>
      </c>
      <c r="Y722" s="3">
        <f t="shared" si="147"/>
        <v>235678.96000000002</v>
      </c>
      <c r="Z722" s="3">
        <f t="shared" si="148"/>
        <v>469480</v>
      </c>
      <c r="AA722" s="3">
        <f t="shared" si="149"/>
        <v>301406.16000000003</v>
      </c>
      <c r="AB722" s="3">
        <f t="shared" si="150"/>
        <v>370889.2</v>
      </c>
      <c r="AC722" s="3">
        <f t="shared" si="151"/>
        <v>224411.44</v>
      </c>
      <c r="AD722" s="3">
        <f t="shared" si="152"/>
        <v>125820.64</v>
      </c>
      <c r="AE722" s="3">
        <f t="shared" si="153"/>
        <v>31455.16</v>
      </c>
      <c r="AF722" s="3">
        <f>SUM(ecommerce_sales_all_data[[#This Row],[revenue_month_1]:[revenue_month_12]])</f>
        <v>2952090.2400000007</v>
      </c>
    </row>
    <row r="723" spans="1:32" x14ac:dyDescent="0.3">
      <c r="A723">
        <v>722</v>
      </c>
      <c r="B723" t="s">
        <v>746</v>
      </c>
      <c r="C723" t="s">
        <v>19</v>
      </c>
      <c r="D723" s="2">
        <v>94.71</v>
      </c>
      <c r="E723">
        <v>1.5</v>
      </c>
      <c r="F723">
        <v>277</v>
      </c>
      <c r="G723" s="1">
        <v>557</v>
      </c>
      <c r="H723" s="1">
        <v>503</v>
      </c>
      <c r="I723" s="1">
        <v>617</v>
      </c>
      <c r="J723" s="1">
        <v>154</v>
      </c>
      <c r="K723" s="1">
        <v>558</v>
      </c>
      <c r="L723" s="1">
        <v>998</v>
      </c>
      <c r="M723" s="1">
        <v>298</v>
      </c>
      <c r="N723" s="1">
        <v>933</v>
      </c>
      <c r="O723" s="1">
        <v>717</v>
      </c>
      <c r="P723" s="1">
        <v>588</v>
      </c>
      <c r="Q723" s="1">
        <v>190</v>
      </c>
      <c r="R723" s="1">
        <v>343</v>
      </c>
      <c r="S723" s="1">
        <f>SUM(ecommerce_sales_all_data[[#This Row],[sales_month_1]:[sales_month_12]])</f>
        <v>6456</v>
      </c>
      <c r="T723" s="3">
        <f t="shared" si="142"/>
        <v>52753.469999999994</v>
      </c>
      <c r="U723" s="3">
        <f t="shared" si="143"/>
        <v>47639.13</v>
      </c>
      <c r="V723" s="3">
        <f t="shared" si="144"/>
        <v>58436.07</v>
      </c>
      <c r="W723" s="3">
        <f t="shared" si="145"/>
        <v>14585.339999999998</v>
      </c>
      <c r="X723" s="3">
        <f t="shared" si="146"/>
        <v>52848.179999999993</v>
      </c>
      <c r="Y723" s="3">
        <f t="shared" si="147"/>
        <v>94520.579999999987</v>
      </c>
      <c r="Z723" s="3">
        <f t="shared" si="148"/>
        <v>28223.579999999998</v>
      </c>
      <c r="AA723" s="3">
        <f t="shared" si="149"/>
        <v>88364.43</v>
      </c>
      <c r="AB723" s="3">
        <f t="shared" si="150"/>
        <v>67907.069999999992</v>
      </c>
      <c r="AC723" s="3">
        <f t="shared" si="151"/>
        <v>55689.479999999996</v>
      </c>
      <c r="AD723" s="3">
        <f t="shared" si="152"/>
        <v>17994.899999999998</v>
      </c>
      <c r="AE723" s="3">
        <f t="shared" si="153"/>
        <v>32485.53</v>
      </c>
      <c r="AF723" s="3">
        <f>SUM(ecommerce_sales_all_data[[#This Row],[revenue_month_1]:[revenue_month_12]])</f>
        <v>611447.76</v>
      </c>
    </row>
    <row r="724" spans="1:32" x14ac:dyDescent="0.3">
      <c r="A724">
        <v>723</v>
      </c>
      <c r="B724" t="s">
        <v>747</v>
      </c>
      <c r="C724" t="s">
        <v>48</v>
      </c>
      <c r="D724" s="2">
        <v>37.92</v>
      </c>
      <c r="E724">
        <v>2.2000000000000002</v>
      </c>
      <c r="F724">
        <v>438</v>
      </c>
      <c r="G724" s="1">
        <v>923</v>
      </c>
      <c r="H724" s="1">
        <v>743</v>
      </c>
      <c r="I724" s="1">
        <v>145</v>
      </c>
      <c r="J724" s="1">
        <v>671</v>
      </c>
      <c r="K724" s="1">
        <v>106</v>
      </c>
      <c r="L724" s="1">
        <v>118</v>
      </c>
      <c r="M724" s="1">
        <v>719</v>
      </c>
      <c r="N724" s="1">
        <v>211</v>
      </c>
      <c r="O724" s="1">
        <v>605</v>
      </c>
      <c r="P724" s="1">
        <v>386</v>
      </c>
      <c r="Q724" s="1">
        <v>860</v>
      </c>
      <c r="R724" s="1">
        <v>276</v>
      </c>
      <c r="S724" s="1">
        <f>SUM(ecommerce_sales_all_data[[#This Row],[sales_month_1]:[sales_month_12]])</f>
        <v>5763</v>
      </c>
      <c r="T724" s="3">
        <f t="shared" si="142"/>
        <v>35000.160000000003</v>
      </c>
      <c r="U724" s="3">
        <f t="shared" si="143"/>
        <v>28174.560000000001</v>
      </c>
      <c r="V724" s="3">
        <f t="shared" si="144"/>
        <v>5498.4000000000005</v>
      </c>
      <c r="W724" s="3">
        <f t="shared" si="145"/>
        <v>25444.32</v>
      </c>
      <c r="X724" s="3">
        <f t="shared" si="146"/>
        <v>4019.52</v>
      </c>
      <c r="Y724" s="3">
        <f t="shared" si="147"/>
        <v>4474.5600000000004</v>
      </c>
      <c r="Z724" s="3">
        <f t="shared" si="148"/>
        <v>27264.48</v>
      </c>
      <c r="AA724" s="3">
        <f t="shared" si="149"/>
        <v>8001.1200000000008</v>
      </c>
      <c r="AB724" s="3">
        <f t="shared" si="150"/>
        <v>22941.600000000002</v>
      </c>
      <c r="AC724" s="3">
        <f t="shared" si="151"/>
        <v>14637.12</v>
      </c>
      <c r="AD724" s="3">
        <f t="shared" si="152"/>
        <v>32611.200000000001</v>
      </c>
      <c r="AE724" s="3">
        <f t="shared" si="153"/>
        <v>10465.92</v>
      </c>
      <c r="AF724" s="3">
        <f>SUM(ecommerce_sales_all_data[[#This Row],[revenue_month_1]:[revenue_month_12]])</f>
        <v>218532.96000000002</v>
      </c>
    </row>
    <row r="725" spans="1:32" x14ac:dyDescent="0.3">
      <c r="A725">
        <v>724</v>
      </c>
      <c r="B725" t="s">
        <v>748</v>
      </c>
      <c r="C725" t="s">
        <v>35</v>
      </c>
      <c r="D725" s="2">
        <v>371.85</v>
      </c>
      <c r="E725">
        <v>1.4</v>
      </c>
      <c r="F725">
        <v>107</v>
      </c>
      <c r="G725" s="1">
        <v>493</v>
      </c>
      <c r="H725" s="1">
        <v>766</v>
      </c>
      <c r="I725" s="1">
        <v>782</v>
      </c>
      <c r="J725" s="1">
        <v>110</v>
      </c>
      <c r="K725" s="1">
        <v>619</v>
      </c>
      <c r="L725" s="1">
        <v>673</v>
      </c>
      <c r="M725" s="1">
        <v>841</v>
      </c>
      <c r="N725" s="1">
        <v>417</v>
      </c>
      <c r="O725" s="1">
        <v>736</v>
      </c>
      <c r="P725" s="1">
        <v>698</v>
      </c>
      <c r="Q725" s="1">
        <v>674</v>
      </c>
      <c r="R725" s="1">
        <v>672</v>
      </c>
      <c r="S725" s="1">
        <f>SUM(ecommerce_sales_all_data[[#This Row],[sales_month_1]:[sales_month_12]])</f>
        <v>7481</v>
      </c>
      <c r="T725" s="3">
        <f t="shared" si="142"/>
        <v>183322.05000000002</v>
      </c>
      <c r="U725" s="3">
        <f t="shared" si="143"/>
        <v>284837.10000000003</v>
      </c>
      <c r="V725" s="3">
        <f t="shared" si="144"/>
        <v>290786.7</v>
      </c>
      <c r="W725" s="3">
        <f t="shared" si="145"/>
        <v>40903.5</v>
      </c>
      <c r="X725" s="3">
        <f t="shared" si="146"/>
        <v>230175.15000000002</v>
      </c>
      <c r="Y725" s="3">
        <f t="shared" si="147"/>
        <v>250255.05000000002</v>
      </c>
      <c r="Z725" s="3">
        <f t="shared" si="148"/>
        <v>312725.85000000003</v>
      </c>
      <c r="AA725" s="3">
        <f t="shared" si="149"/>
        <v>155061.45000000001</v>
      </c>
      <c r="AB725" s="3">
        <f t="shared" si="150"/>
        <v>273681.60000000003</v>
      </c>
      <c r="AC725" s="3">
        <f t="shared" si="151"/>
        <v>259551.30000000002</v>
      </c>
      <c r="AD725" s="3">
        <f t="shared" si="152"/>
        <v>250626.90000000002</v>
      </c>
      <c r="AE725" s="3">
        <f t="shared" si="153"/>
        <v>249883.2</v>
      </c>
      <c r="AF725" s="3">
        <f>SUM(ecommerce_sales_all_data[[#This Row],[revenue_month_1]:[revenue_month_12]])</f>
        <v>2781809.85</v>
      </c>
    </row>
    <row r="726" spans="1:32" x14ac:dyDescent="0.3">
      <c r="A726">
        <v>725</v>
      </c>
      <c r="B726" t="s">
        <v>749</v>
      </c>
      <c r="C726" t="s">
        <v>48</v>
      </c>
      <c r="D726" s="2">
        <v>289.36</v>
      </c>
      <c r="E726">
        <v>3.8</v>
      </c>
      <c r="F726">
        <v>658</v>
      </c>
      <c r="G726" s="1">
        <v>504</v>
      </c>
      <c r="H726" s="1">
        <v>924</v>
      </c>
      <c r="I726" s="1">
        <v>423</v>
      </c>
      <c r="J726" s="1">
        <v>136</v>
      </c>
      <c r="K726" s="1">
        <v>264</v>
      </c>
      <c r="L726" s="1">
        <v>709</v>
      </c>
      <c r="M726" s="1">
        <v>944</v>
      </c>
      <c r="N726" s="1">
        <v>112</v>
      </c>
      <c r="O726" s="1">
        <v>812</v>
      </c>
      <c r="P726" s="1">
        <v>881</v>
      </c>
      <c r="Q726" s="1">
        <v>60</v>
      </c>
      <c r="R726" s="1">
        <v>390</v>
      </c>
      <c r="S726" s="1">
        <f>SUM(ecommerce_sales_all_data[[#This Row],[sales_month_1]:[sales_month_12]])</f>
        <v>6159</v>
      </c>
      <c r="T726" s="3">
        <f t="shared" si="142"/>
        <v>145837.44</v>
      </c>
      <c r="U726" s="3">
        <f t="shared" si="143"/>
        <v>267368.64</v>
      </c>
      <c r="V726" s="3">
        <f t="shared" si="144"/>
        <v>122399.28</v>
      </c>
      <c r="W726" s="3">
        <f t="shared" si="145"/>
        <v>39352.959999999999</v>
      </c>
      <c r="X726" s="3">
        <f t="shared" si="146"/>
        <v>76391.040000000008</v>
      </c>
      <c r="Y726" s="3">
        <f t="shared" si="147"/>
        <v>205156.24000000002</v>
      </c>
      <c r="Z726" s="3">
        <f t="shared" si="148"/>
        <v>273155.84000000003</v>
      </c>
      <c r="AA726" s="3">
        <f t="shared" si="149"/>
        <v>32408.32</v>
      </c>
      <c r="AB726" s="3">
        <f t="shared" si="150"/>
        <v>234960.32</v>
      </c>
      <c r="AC726" s="3">
        <f t="shared" si="151"/>
        <v>254926.16</v>
      </c>
      <c r="AD726" s="3">
        <f t="shared" si="152"/>
        <v>17361.600000000002</v>
      </c>
      <c r="AE726" s="3">
        <f t="shared" si="153"/>
        <v>112850.40000000001</v>
      </c>
      <c r="AF726" s="3">
        <f>SUM(ecommerce_sales_all_data[[#This Row],[revenue_month_1]:[revenue_month_12]])</f>
        <v>1782168.24</v>
      </c>
    </row>
    <row r="727" spans="1:32" x14ac:dyDescent="0.3">
      <c r="A727">
        <v>726</v>
      </c>
      <c r="B727" t="s">
        <v>750</v>
      </c>
      <c r="C727" t="s">
        <v>48</v>
      </c>
      <c r="D727" s="2">
        <v>421.71</v>
      </c>
      <c r="E727">
        <v>1.2</v>
      </c>
      <c r="F727">
        <v>420</v>
      </c>
      <c r="G727" s="1">
        <v>474</v>
      </c>
      <c r="H727" s="1">
        <v>454</v>
      </c>
      <c r="I727" s="1">
        <v>889</v>
      </c>
      <c r="J727" s="1">
        <v>231</v>
      </c>
      <c r="K727" s="1">
        <v>204</v>
      </c>
      <c r="L727" s="1">
        <v>497</v>
      </c>
      <c r="M727" s="1">
        <v>191</v>
      </c>
      <c r="N727" s="1">
        <v>43</v>
      </c>
      <c r="O727" s="1">
        <v>829</v>
      </c>
      <c r="P727" s="1">
        <v>563</v>
      </c>
      <c r="Q727" s="1">
        <v>437</v>
      </c>
      <c r="R727" s="1">
        <v>448</v>
      </c>
      <c r="S727" s="1">
        <f>SUM(ecommerce_sales_all_data[[#This Row],[sales_month_1]:[sales_month_12]])</f>
        <v>5260</v>
      </c>
      <c r="T727" s="3">
        <f t="shared" si="142"/>
        <v>199890.53999999998</v>
      </c>
      <c r="U727" s="3">
        <f t="shared" si="143"/>
        <v>191456.34</v>
      </c>
      <c r="V727" s="3">
        <f t="shared" si="144"/>
        <v>374900.19</v>
      </c>
      <c r="W727" s="3">
        <f t="shared" si="145"/>
        <v>97415.01</v>
      </c>
      <c r="X727" s="3">
        <f t="shared" si="146"/>
        <v>86028.84</v>
      </c>
      <c r="Y727" s="3">
        <f t="shared" si="147"/>
        <v>209589.87</v>
      </c>
      <c r="Z727" s="3">
        <f t="shared" si="148"/>
        <v>80546.61</v>
      </c>
      <c r="AA727" s="3">
        <f t="shared" si="149"/>
        <v>18133.53</v>
      </c>
      <c r="AB727" s="3">
        <f t="shared" si="150"/>
        <v>349597.58999999997</v>
      </c>
      <c r="AC727" s="3">
        <f t="shared" si="151"/>
        <v>237422.72999999998</v>
      </c>
      <c r="AD727" s="3">
        <f t="shared" si="152"/>
        <v>184287.27</v>
      </c>
      <c r="AE727" s="3">
        <f t="shared" si="153"/>
        <v>188926.07999999999</v>
      </c>
      <c r="AF727" s="3">
        <f>SUM(ecommerce_sales_all_data[[#This Row],[revenue_month_1]:[revenue_month_12]])</f>
        <v>2218194.6</v>
      </c>
    </row>
    <row r="728" spans="1:32" x14ac:dyDescent="0.3">
      <c r="A728">
        <v>727</v>
      </c>
      <c r="B728" t="s">
        <v>751</v>
      </c>
      <c r="C728" t="s">
        <v>35</v>
      </c>
      <c r="D728" s="2">
        <v>74.19</v>
      </c>
      <c r="E728">
        <v>3</v>
      </c>
      <c r="F728">
        <v>611</v>
      </c>
      <c r="G728" s="1">
        <v>835</v>
      </c>
      <c r="H728" s="1">
        <v>103</v>
      </c>
      <c r="I728" s="1">
        <v>607</v>
      </c>
      <c r="J728" s="1">
        <v>991</v>
      </c>
      <c r="K728" s="1">
        <v>78</v>
      </c>
      <c r="L728" s="1">
        <v>485</v>
      </c>
      <c r="M728" s="1">
        <v>671</v>
      </c>
      <c r="N728" s="1">
        <v>127</v>
      </c>
      <c r="O728" s="1">
        <v>462</v>
      </c>
      <c r="P728" s="1">
        <v>929</v>
      </c>
      <c r="Q728" s="1">
        <v>263</v>
      </c>
      <c r="R728" s="1">
        <v>1000</v>
      </c>
      <c r="S728" s="1">
        <f>SUM(ecommerce_sales_all_data[[#This Row],[sales_month_1]:[sales_month_12]])</f>
        <v>6551</v>
      </c>
      <c r="T728" s="3">
        <f t="shared" si="142"/>
        <v>61948.65</v>
      </c>
      <c r="U728" s="3">
        <f t="shared" si="143"/>
        <v>7641.57</v>
      </c>
      <c r="V728" s="3">
        <f t="shared" si="144"/>
        <v>45033.33</v>
      </c>
      <c r="W728" s="3">
        <f t="shared" si="145"/>
        <v>73522.289999999994</v>
      </c>
      <c r="X728" s="3">
        <f t="shared" si="146"/>
        <v>5786.82</v>
      </c>
      <c r="Y728" s="3">
        <f t="shared" si="147"/>
        <v>35982.15</v>
      </c>
      <c r="Z728" s="3">
        <f t="shared" si="148"/>
        <v>49781.49</v>
      </c>
      <c r="AA728" s="3">
        <f t="shared" si="149"/>
        <v>9422.1299999999992</v>
      </c>
      <c r="AB728" s="3">
        <f t="shared" si="150"/>
        <v>34275.78</v>
      </c>
      <c r="AC728" s="3">
        <f t="shared" si="151"/>
        <v>68922.509999999995</v>
      </c>
      <c r="AD728" s="3">
        <f t="shared" si="152"/>
        <v>19511.97</v>
      </c>
      <c r="AE728" s="3">
        <f t="shared" si="153"/>
        <v>74190</v>
      </c>
      <c r="AF728" s="3">
        <f>SUM(ecommerce_sales_all_data[[#This Row],[revenue_month_1]:[revenue_month_12]])</f>
        <v>486018.68999999994</v>
      </c>
    </row>
    <row r="729" spans="1:32" x14ac:dyDescent="0.3">
      <c r="A729">
        <v>728</v>
      </c>
      <c r="B729" t="s">
        <v>752</v>
      </c>
      <c r="C729" t="s">
        <v>21</v>
      </c>
      <c r="D729" s="2">
        <v>398.66</v>
      </c>
      <c r="E729">
        <v>5</v>
      </c>
      <c r="F729">
        <v>429</v>
      </c>
      <c r="G729" s="1">
        <v>889</v>
      </c>
      <c r="H729" s="1">
        <v>76</v>
      </c>
      <c r="I729" s="1">
        <v>456</v>
      </c>
      <c r="J729" s="1">
        <v>467</v>
      </c>
      <c r="K729" s="1">
        <v>154</v>
      </c>
      <c r="L729" s="1">
        <v>44</v>
      </c>
      <c r="M729" s="1">
        <v>63</v>
      </c>
      <c r="N729" s="1">
        <v>875</v>
      </c>
      <c r="O729" s="1">
        <v>198</v>
      </c>
      <c r="P729" s="1">
        <v>432</v>
      </c>
      <c r="Q729" s="1">
        <v>796</v>
      </c>
      <c r="R729" s="1">
        <v>258</v>
      </c>
      <c r="S729" s="1">
        <f>SUM(ecommerce_sales_all_data[[#This Row],[sales_month_1]:[sales_month_12]])</f>
        <v>4708</v>
      </c>
      <c r="T729" s="3">
        <f t="shared" si="142"/>
        <v>354408.74000000005</v>
      </c>
      <c r="U729" s="3">
        <f t="shared" si="143"/>
        <v>30298.160000000003</v>
      </c>
      <c r="V729" s="3">
        <f t="shared" si="144"/>
        <v>181788.96000000002</v>
      </c>
      <c r="W729" s="3">
        <f t="shared" si="145"/>
        <v>186174.22</v>
      </c>
      <c r="X729" s="3">
        <f t="shared" si="146"/>
        <v>61393.640000000007</v>
      </c>
      <c r="Y729" s="3">
        <f t="shared" si="147"/>
        <v>17541.04</v>
      </c>
      <c r="Z729" s="3">
        <f t="shared" si="148"/>
        <v>25115.58</v>
      </c>
      <c r="AA729" s="3">
        <f t="shared" si="149"/>
        <v>348827.5</v>
      </c>
      <c r="AB729" s="3">
        <f t="shared" si="150"/>
        <v>78934.680000000008</v>
      </c>
      <c r="AC729" s="3">
        <f t="shared" si="151"/>
        <v>172221.12000000002</v>
      </c>
      <c r="AD729" s="3">
        <f t="shared" si="152"/>
        <v>317333.36000000004</v>
      </c>
      <c r="AE729" s="3">
        <f t="shared" si="153"/>
        <v>102854.28000000001</v>
      </c>
      <c r="AF729" s="3">
        <f>SUM(ecommerce_sales_all_data[[#This Row],[revenue_month_1]:[revenue_month_12]])</f>
        <v>1876891.2800000003</v>
      </c>
    </row>
    <row r="730" spans="1:32" x14ac:dyDescent="0.3">
      <c r="A730">
        <v>729</v>
      </c>
      <c r="B730" t="s">
        <v>753</v>
      </c>
      <c r="C730" t="s">
        <v>35</v>
      </c>
      <c r="D730" s="2">
        <v>104.81</v>
      </c>
      <c r="E730">
        <v>4.3</v>
      </c>
      <c r="F730">
        <v>375</v>
      </c>
      <c r="G730" s="1">
        <v>270</v>
      </c>
      <c r="H730" s="1">
        <v>229</v>
      </c>
      <c r="I730" s="1">
        <v>740</v>
      </c>
      <c r="J730" s="1">
        <v>731</v>
      </c>
      <c r="K730" s="1">
        <v>782</v>
      </c>
      <c r="L730" s="1">
        <v>313</v>
      </c>
      <c r="M730" s="1">
        <v>754</v>
      </c>
      <c r="N730" s="1">
        <v>157</v>
      </c>
      <c r="O730" s="1">
        <v>270</v>
      </c>
      <c r="P730" s="1">
        <v>411</v>
      </c>
      <c r="Q730" s="1">
        <v>94</v>
      </c>
      <c r="R730" s="1">
        <v>306</v>
      </c>
      <c r="S730" s="1">
        <f>SUM(ecommerce_sales_all_data[[#This Row],[sales_month_1]:[sales_month_12]])</f>
        <v>5057</v>
      </c>
      <c r="T730" s="3">
        <f t="shared" si="142"/>
        <v>28298.7</v>
      </c>
      <c r="U730" s="3">
        <f t="shared" si="143"/>
        <v>24001.49</v>
      </c>
      <c r="V730" s="3">
        <f t="shared" si="144"/>
        <v>77559.400000000009</v>
      </c>
      <c r="W730" s="3">
        <f t="shared" si="145"/>
        <v>76616.11</v>
      </c>
      <c r="X730" s="3">
        <f t="shared" si="146"/>
        <v>81961.42</v>
      </c>
      <c r="Y730" s="3">
        <f t="shared" si="147"/>
        <v>32805.53</v>
      </c>
      <c r="Z730" s="3">
        <f t="shared" si="148"/>
        <v>79026.740000000005</v>
      </c>
      <c r="AA730" s="3">
        <f t="shared" si="149"/>
        <v>16455.170000000002</v>
      </c>
      <c r="AB730" s="3">
        <f t="shared" si="150"/>
        <v>28298.7</v>
      </c>
      <c r="AC730" s="3">
        <f t="shared" si="151"/>
        <v>43076.91</v>
      </c>
      <c r="AD730" s="3">
        <f t="shared" si="152"/>
        <v>9852.14</v>
      </c>
      <c r="AE730" s="3">
        <f t="shared" si="153"/>
        <v>32071.86</v>
      </c>
      <c r="AF730" s="3">
        <f>SUM(ecommerce_sales_all_data[[#This Row],[revenue_month_1]:[revenue_month_12]])</f>
        <v>530024.17000000004</v>
      </c>
    </row>
    <row r="731" spans="1:32" x14ac:dyDescent="0.3">
      <c r="A731">
        <v>730</v>
      </c>
      <c r="B731" t="s">
        <v>754</v>
      </c>
      <c r="C731" t="s">
        <v>35</v>
      </c>
      <c r="D731" s="2">
        <v>86.01</v>
      </c>
      <c r="E731">
        <v>3.5</v>
      </c>
      <c r="F731">
        <v>73</v>
      </c>
      <c r="G731" s="1">
        <v>994</v>
      </c>
      <c r="H731" s="1">
        <v>913</v>
      </c>
      <c r="I731" s="1">
        <v>201</v>
      </c>
      <c r="J731" s="1">
        <v>480</v>
      </c>
      <c r="K731" s="1">
        <v>987</v>
      </c>
      <c r="L731" s="1">
        <v>178</v>
      </c>
      <c r="M731" s="1">
        <v>769</v>
      </c>
      <c r="N731" s="1">
        <v>784</v>
      </c>
      <c r="O731" s="1">
        <v>745</v>
      </c>
      <c r="P731" s="1">
        <v>466</v>
      </c>
      <c r="Q731" s="1">
        <v>552</v>
      </c>
      <c r="R731" s="1">
        <v>846</v>
      </c>
      <c r="S731" s="1">
        <f>SUM(ecommerce_sales_all_data[[#This Row],[sales_month_1]:[sales_month_12]])</f>
        <v>7915</v>
      </c>
      <c r="T731" s="3">
        <f t="shared" si="142"/>
        <v>85493.94</v>
      </c>
      <c r="U731" s="3">
        <f t="shared" si="143"/>
        <v>78527.13</v>
      </c>
      <c r="V731" s="3">
        <f t="shared" si="144"/>
        <v>17288.010000000002</v>
      </c>
      <c r="W731" s="3">
        <f t="shared" si="145"/>
        <v>41284.800000000003</v>
      </c>
      <c r="X731" s="3">
        <f t="shared" si="146"/>
        <v>84891.87000000001</v>
      </c>
      <c r="Y731" s="3">
        <f t="shared" si="147"/>
        <v>15309.78</v>
      </c>
      <c r="Z731" s="3">
        <f t="shared" si="148"/>
        <v>66141.69</v>
      </c>
      <c r="AA731" s="3">
        <f t="shared" si="149"/>
        <v>67431.840000000011</v>
      </c>
      <c r="AB731" s="3">
        <f t="shared" si="150"/>
        <v>64077.450000000004</v>
      </c>
      <c r="AC731" s="3">
        <f t="shared" si="151"/>
        <v>40080.660000000003</v>
      </c>
      <c r="AD731" s="3">
        <f t="shared" si="152"/>
        <v>47477.520000000004</v>
      </c>
      <c r="AE731" s="3">
        <f t="shared" si="153"/>
        <v>72764.460000000006</v>
      </c>
      <c r="AF731" s="3">
        <f>SUM(ecommerce_sales_all_data[[#This Row],[revenue_month_1]:[revenue_month_12]])</f>
        <v>680769.15</v>
      </c>
    </row>
    <row r="732" spans="1:32" x14ac:dyDescent="0.3">
      <c r="A732">
        <v>731</v>
      </c>
      <c r="B732" t="s">
        <v>755</v>
      </c>
      <c r="C732" t="s">
        <v>23</v>
      </c>
      <c r="D732" s="2">
        <v>86.31</v>
      </c>
      <c r="E732">
        <v>2.2000000000000002</v>
      </c>
      <c r="F732">
        <v>949</v>
      </c>
      <c r="G732" s="1">
        <v>420</v>
      </c>
      <c r="H732" s="1">
        <v>257</v>
      </c>
      <c r="I732" s="1">
        <v>211</v>
      </c>
      <c r="J732" s="1">
        <v>67</v>
      </c>
      <c r="K732" s="1">
        <v>996</v>
      </c>
      <c r="L732" s="1">
        <v>893</v>
      </c>
      <c r="M732" s="1">
        <v>663</v>
      </c>
      <c r="N732" s="1">
        <v>826</v>
      </c>
      <c r="O732" s="1">
        <v>557</v>
      </c>
      <c r="P732" s="1">
        <v>598</v>
      </c>
      <c r="Q732" s="1">
        <v>925</v>
      </c>
      <c r="R732" s="1">
        <v>94</v>
      </c>
      <c r="S732" s="1">
        <f>SUM(ecommerce_sales_all_data[[#This Row],[sales_month_1]:[sales_month_12]])</f>
        <v>6507</v>
      </c>
      <c r="T732" s="3">
        <f t="shared" si="142"/>
        <v>36250.200000000004</v>
      </c>
      <c r="U732" s="3">
        <f t="shared" si="143"/>
        <v>22181.670000000002</v>
      </c>
      <c r="V732" s="3">
        <f t="shared" si="144"/>
        <v>18211.41</v>
      </c>
      <c r="W732" s="3">
        <f t="shared" si="145"/>
        <v>5782.77</v>
      </c>
      <c r="X732" s="3">
        <f t="shared" si="146"/>
        <v>85964.760000000009</v>
      </c>
      <c r="Y732" s="3">
        <f t="shared" si="147"/>
        <v>77074.83</v>
      </c>
      <c r="Z732" s="3">
        <f t="shared" si="148"/>
        <v>57223.53</v>
      </c>
      <c r="AA732" s="3">
        <f t="shared" si="149"/>
        <v>71292.06</v>
      </c>
      <c r="AB732" s="3">
        <f t="shared" si="150"/>
        <v>48074.67</v>
      </c>
      <c r="AC732" s="3">
        <f t="shared" si="151"/>
        <v>51613.380000000005</v>
      </c>
      <c r="AD732" s="3">
        <f t="shared" si="152"/>
        <v>79836.75</v>
      </c>
      <c r="AE732" s="3">
        <f t="shared" si="153"/>
        <v>8113.14</v>
      </c>
      <c r="AF732" s="3">
        <f>SUM(ecommerce_sales_all_data[[#This Row],[revenue_month_1]:[revenue_month_12]])</f>
        <v>561619.17000000004</v>
      </c>
    </row>
    <row r="733" spans="1:32" x14ac:dyDescent="0.3">
      <c r="A733">
        <v>732</v>
      </c>
      <c r="B733" t="s">
        <v>756</v>
      </c>
      <c r="C733" t="s">
        <v>35</v>
      </c>
      <c r="D733" s="2">
        <v>408.21</v>
      </c>
      <c r="E733">
        <v>3.5</v>
      </c>
      <c r="F733">
        <v>998</v>
      </c>
      <c r="G733" s="1">
        <v>896</v>
      </c>
      <c r="H733" s="1">
        <v>263</v>
      </c>
      <c r="I733" s="1">
        <v>5</v>
      </c>
      <c r="J733" s="1">
        <v>813</v>
      </c>
      <c r="K733" s="1">
        <v>246</v>
      </c>
      <c r="L733" s="1">
        <v>417</v>
      </c>
      <c r="M733" s="1">
        <v>214</v>
      </c>
      <c r="N733" s="1">
        <v>393</v>
      </c>
      <c r="O733" s="1">
        <v>63</v>
      </c>
      <c r="P733" s="1">
        <v>620</v>
      </c>
      <c r="Q733" s="1">
        <v>469</v>
      </c>
      <c r="R733" s="1">
        <v>949</v>
      </c>
      <c r="S733" s="1">
        <f>SUM(ecommerce_sales_all_data[[#This Row],[sales_month_1]:[sales_month_12]])</f>
        <v>5348</v>
      </c>
      <c r="T733" s="3">
        <f t="shared" si="142"/>
        <v>365756.15999999997</v>
      </c>
      <c r="U733" s="3">
        <f t="shared" si="143"/>
        <v>107359.23</v>
      </c>
      <c r="V733" s="3">
        <f t="shared" si="144"/>
        <v>2041.05</v>
      </c>
      <c r="W733" s="3">
        <f t="shared" si="145"/>
        <v>331874.73</v>
      </c>
      <c r="X733" s="3">
        <f t="shared" si="146"/>
        <v>100419.65999999999</v>
      </c>
      <c r="Y733" s="3">
        <f t="shared" si="147"/>
        <v>170223.56999999998</v>
      </c>
      <c r="Z733" s="3">
        <f t="shared" si="148"/>
        <v>87356.94</v>
      </c>
      <c r="AA733" s="3">
        <f t="shared" si="149"/>
        <v>160426.53</v>
      </c>
      <c r="AB733" s="3">
        <f t="shared" si="150"/>
        <v>25717.23</v>
      </c>
      <c r="AC733" s="3">
        <f t="shared" si="151"/>
        <v>253090.19999999998</v>
      </c>
      <c r="AD733" s="3">
        <f t="shared" si="152"/>
        <v>191450.49</v>
      </c>
      <c r="AE733" s="3">
        <f t="shared" si="153"/>
        <v>387391.29</v>
      </c>
      <c r="AF733" s="3">
        <f>SUM(ecommerce_sales_all_data[[#This Row],[revenue_month_1]:[revenue_month_12]])</f>
        <v>2183107.0799999996</v>
      </c>
    </row>
    <row r="734" spans="1:32" x14ac:dyDescent="0.3">
      <c r="A734">
        <v>733</v>
      </c>
      <c r="B734" t="s">
        <v>757</v>
      </c>
      <c r="C734" t="s">
        <v>26</v>
      </c>
      <c r="D734" s="2">
        <v>334.27</v>
      </c>
      <c r="E734">
        <v>3.1</v>
      </c>
      <c r="F734">
        <v>634</v>
      </c>
      <c r="G734" s="1">
        <v>706</v>
      </c>
      <c r="H734" s="1">
        <v>330</v>
      </c>
      <c r="I734" s="1">
        <v>623</v>
      </c>
      <c r="J734" s="1">
        <v>248</v>
      </c>
      <c r="K734" s="1">
        <v>530</v>
      </c>
      <c r="L734" s="1">
        <v>555</v>
      </c>
      <c r="M734" s="1">
        <v>833</v>
      </c>
      <c r="N734" s="1">
        <v>866</v>
      </c>
      <c r="O734" s="1">
        <v>229</v>
      </c>
      <c r="P734" s="1">
        <v>991</v>
      </c>
      <c r="Q734" s="1">
        <v>660</v>
      </c>
      <c r="R734" s="1">
        <v>463</v>
      </c>
      <c r="S734" s="1">
        <f>SUM(ecommerce_sales_all_data[[#This Row],[sales_month_1]:[sales_month_12]])</f>
        <v>7034</v>
      </c>
      <c r="T734" s="3">
        <f t="shared" si="142"/>
        <v>235994.62</v>
      </c>
      <c r="U734" s="3">
        <f t="shared" si="143"/>
        <v>110309.09999999999</v>
      </c>
      <c r="V734" s="3">
        <f t="shared" si="144"/>
        <v>208250.21</v>
      </c>
      <c r="W734" s="3">
        <f t="shared" si="145"/>
        <v>82898.959999999992</v>
      </c>
      <c r="X734" s="3">
        <f t="shared" si="146"/>
        <v>177163.09999999998</v>
      </c>
      <c r="Y734" s="3">
        <f t="shared" si="147"/>
        <v>185519.84999999998</v>
      </c>
      <c r="Z734" s="3">
        <f t="shared" si="148"/>
        <v>278446.90999999997</v>
      </c>
      <c r="AA734" s="3">
        <f t="shared" si="149"/>
        <v>289477.82</v>
      </c>
      <c r="AB734" s="3">
        <f t="shared" si="150"/>
        <v>76547.83</v>
      </c>
      <c r="AC734" s="3">
        <f t="shared" si="151"/>
        <v>331261.57</v>
      </c>
      <c r="AD734" s="3">
        <f t="shared" si="152"/>
        <v>220618.19999999998</v>
      </c>
      <c r="AE734" s="3">
        <f t="shared" si="153"/>
        <v>154767.00999999998</v>
      </c>
      <c r="AF734" s="3">
        <f>SUM(ecommerce_sales_all_data[[#This Row],[revenue_month_1]:[revenue_month_12]])</f>
        <v>2351255.1799999997</v>
      </c>
    </row>
    <row r="735" spans="1:32" x14ac:dyDescent="0.3">
      <c r="A735">
        <v>734</v>
      </c>
      <c r="B735" t="s">
        <v>758</v>
      </c>
      <c r="C735" t="s">
        <v>35</v>
      </c>
      <c r="D735" s="2">
        <v>263.92</v>
      </c>
      <c r="E735">
        <v>2.7</v>
      </c>
      <c r="F735">
        <v>30</v>
      </c>
      <c r="G735" s="1">
        <v>366</v>
      </c>
      <c r="H735" s="1">
        <v>992</v>
      </c>
      <c r="I735" s="1">
        <v>375</v>
      </c>
      <c r="J735" s="1">
        <v>993</v>
      </c>
      <c r="K735" s="1">
        <v>857</v>
      </c>
      <c r="L735" s="1">
        <v>782</v>
      </c>
      <c r="M735" s="1">
        <v>165</v>
      </c>
      <c r="N735" s="1">
        <v>851</v>
      </c>
      <c r="O735" s="1">
        <v>941</v>
      </c>
      <c r="P735" s="1">
        <v>908</v>
      </c>
      <c r="Q735" s="1">
        <v>715</v>
      </c>
      <c r="R735" s="1">
        <v>969</v>
      </c>
      <c r="S735" s="1">
        <f>SUM(ecommerce_sales_all_data[[#This Row],[sales_month_1]:[sales_month_12]])</f>
        <v>8914</v>
      </c>
      <c r="T735" s="3">
        <f t="shared" si="142"/>
        <v>96594.72</v>
      </c>
      <c r="U735" s="3">
        <f t="shared" si="143"/>
        <v>261808.64000000001</v>
      </c>
      <c r="V735" s="3">
        <f t="shared" si="144"/>
        <v>98970</v>
      </c>
      <c r="W735" s="3">
        <f t="shared" si="145"/>
        <v>262072.56000000003</v>
      </c>
      <c r="X735" s="3">
        <f t="shared" si="146"/>
        <v>226179.44</v>
      </c>
      <c r="Y735" s="3">
        <f t="shared" si="147"/>
        <v>206385.44</v>
      </c>
      <c r="Z735" s="3">
        <f t="shared" si="148"/>
        <v>43546.8</v>
      </c>
      <c r="AA735" s="3">
        <f t="shared" si="149"/>
        <v>224595.92</v>
      </c>
      <c r="AB735" s="3">
        <f t="shared" si="150"/>
        <v>248348.72</v>
      </c>
      <c r="AC735" s="3">
        <f t="shared" si="151"/>
        <v>239639.36000000002</v>
      </c>
      <c r="AD735" s="3">
        <f t="shared" si="152"/>
        <v>188702.80000000002</v>
      </c>
      <c r="AE735" s="3">
        <f t="shared" si="153"/>
        <v>255738.48</v>
      </c>
      <c r="AF735" s="3">
        <f>SUM(ecommerce_sales_all_data[[#This Row],[revenue_month_1]:[revenue_month_12]])</f>
        <v>2352582.8800000004</v>
      </c>
    </row>
    <row r="736" spans="1:32" x14ac:dyDescent="0.3">
      <c r="A736">
        <v>735</v>
      </c>
      <c r="B736" t="s">
        <v>759</v>
      </c>
      <c r="C736" t="s">
        <v>48</v>
      </c>
      <c r="D736" s="2">
        <v>182.62</v>
      </c>
      <c r="E736">
        <v>1.5</v>
      </c>
      <c r="F736">
        <v>188</v>
      </c>
      <c r="G736" s="1">
        <v>279</v>
      </c>
      <c r="H736" s="1">
        <v>181</v>
      </c>
      <c r="I736" s="1">
        <v>890</v>
      </c>
      <c r="J736" s="1">
        <v>322</v>
      </c>
      <c r="K736" s="1">
        <v>947</v>
      </c>
      <c r="L736" s="1">
        <v>77</v>
      </c>
      <c r="M736" s="1">
        <v>542</v>
      </c>
      <c r="N736" s="1">
        <v>511</v>
      </c>
      <c r="O736" s="1">
        <v>951</v>
      </c>
      <c r="P736" s="1">
        <v>736</v>
      </c>
      <c r="Q736" s="1">
        <v>778</v>
      </c>
      <c r="R736" s="1">
        <v>245</v>
      </c>
      <c r="S736" s="1">
        <f>SUM(ecommerce_sales_all_data[[#This Row],[sales_month_1]:[sales_month_12]])</f>
        <v>6459</v>
      </c>
      <c r="T736" s="3">
        <f t="shared" si="142"/>
        <v>50950.98</v>
      </c>
      <c r="U736" s="3">
        <f t="shared" si="143"/>
        <v>33054.22</v>
      </c>
      <c r="V736" s="3">
        <f t="shared" si="144"/>
        <v>162531.80000000002</v>
      </c>
      <c r="W736" s="3">
        <f t="shared" si="145"/>
        <v>58803.64</v>
      </c>
      <c r="X736" s="3">
        <f t="shared" si="146"/>
        <v>172941.14</v>
      </c>
      <c r="Y736" s="3">
        <f t="shared" si="147"/>
        <v>14061.74</v>
      </c>
      <c r="Z736" s="3">
        <f t="shared" si="148"/>
        <v>98980.040000000008</v>
      </c>
      <c r="AA736" s="3">
        <f t="shared" si="149"/>
        <v>93318.82</v>
      </c>
      <c r="AB736" s="3">
        <f t="shared" si="150"/>
        <v>173671.62</v>
      </c>
      <c r="AC736" s="3">
        <f t="shared" si="151"/>
        <v>134408.32000000001</v>
      </c>
      <c r="AD736" s="3">
        <f t="shared" si="152"/>
        <v>142078.36000000002</v>
      </c>
      <c r="AE736" s="3">
        <f t="shared" si="153"/>
        <v>44741.9</v>
      </c>
      <c r="AF736" s="3">
        <f>SUM(ecommerce_sales_all_data[[#This Row],[revenue_month_1]:[revenue_month_12]])</f>
        <v>1179542.58</v>
      </c>
    </row>
    <row r="737" spans="1:32" x14ac:dyDescent="0.3">
      <c r="A737">
        <v>736</v>
      </c>
      <c r="B737" t="s">
        <v>760</v>
      </c>
      <c r="C737" t="s">
        <v>19</v>
      </c>
      <c r="D737" s="2">
        <v>439.21</v>
      </c>
      <c r="E737">
        <v>4.5</v>
      </c>
      <c r="F737">
        <v>364</v>
      </c>
      <c r="G737" s="1">
        <v>282</v>
      </c>
      <c r="H737" s="1">
        <v>892</v>
      </c>
      <c r="I737" s="1">
        <v>446</v>
      </c>
      <c r="J737" s="1">
        <v>921</v>
      </c>
      <c r="K737" s="1">
        <v>537</v>
      </c>
      <c r="L737" s="1">
        <v>325</v>
      </c>
      <c r="M737" s="1">
        <v>882</v>
      </c>
      <c r="N737" s="1">
        <v>913</v>
      </c>
      <c r="O737" s="1">
        <v>248</v>
      </c>
      <c r="P737" s="1">
        <v>993</v>
      </c>
      <c r="Q737" s="1">
        <v>513</v>
      </c>
      <c r="R737" s="1">
        <v>732</v>
      </c>
      <c r="S737" s="1">
        <f>SUM(ecommerce_sales_all_data[[#This Row],[sales_month_1]:[sales_month_12]])</f>
        <v>7684</v>
      </c>
      <c r="T737" s="3">
        <f t="shared" si="142"/>
        <v>123857.22</v>
      </c>
      <c r="U737" s="3">
        <f t="shared" si="143"/>
        <v>391775.32</v>
      </c>
      <c r="V737" s="3">
        <f t="shared" si="144"/>
        <v>195887.66</v>
      </c>
      <c r="W737" s="3">
        <f t="shared" si="145"/>
        <v>404512.41</v>
      </c>
      <c r="X737" s="3">
        <f t="shared" si="146"/>
        <v>235855.77</v>
      </c>
      <c r="Y737" s="3">
        <f t="shared" si="147"/>
        <v>142743.25</v>
      </c>
      <c r="Z737" s="3">
        <f t="shared" si="148"/>
        <v>387383.22</v>
      </c>
      <c r="AA737" s="3">
        <f t="shared" si="149"/>
        <v>400998.73</v>
      </c>
      <c r="AB737" s="3">
        <f t="shared" si="150"/>
        <v>108924.08</v>
      </c>
      <c r="AC737" s="3">
        <f t="shared" si="151"/>
        <v>436135.52999999997</v>
      </c>
      <c r="AD737" s="3">
        <f t="shared" si="152"/>
        <v>225314.72999999998</v>
      </c>
      <c r="AE737" s="3">
        <f t="shared" si="153"/>
        <v>321501.71999999997</v>
      </c>
      <c r="AF737" s="3">
        <f>SUM(ecommerce_sales_all_data[[#This Row],[revenue_month_1]:[revenue_month_12]])</f>
        <v>3374889.6399999997</v>
      </c>
    </row>
    <row r="738" spans="1:32" x14ac:dyDescent="0.3">
      <c r="A738">
        <v>737</v>
      </c>
      <c r="B738" t="s">
        <v>761</v>
      </c>
      <c r="C738" t="s">
        <v>48</v>
      </c>
      <c r="D738" s="2">
        <v>199.26</v>
      </c>
      <c r="E738">
        <v>2.8</v>
      </c>
      <c r="F738">
        <v>866</v>
      </c>
      <c r="G738" s="1">
        <v>39</v>
      </c>
      <c r="H738" s="1">
        <v>767</v>
      </c>
      <c r="I738" s="1">
        <v>834</v>
      </c>
      <c r="J738" s="1">
        <v>903</v>
      </c>
      <c r="K738" s="1">
        <v>728</v>
      </c>
      <c r="L738" s="1">
        <v>689</v>
      </c>
      <c r="M738" s="1">
        <v>231</v>
      </c>
      <c r="N738" s="1">
        <v>44</v>
      </c>
      <c r="O738" s="1">
        <v>245</v>
      </c>
      <c r="P738" s="1">
        <v>992</v>
      </c>
      <c r="Q738" s="1">
        <v>689</v>
      </c>
      <c r="R738" s="1">
        <v>634</v>
      </c>
      <c r="S738" s="1">
        <f>SUM(ecommerce_sales_all_data[[#This Row],[sales_month_1]:[sales_month_12]])</f>
        <v>6795</v>
      </c>
      <c r="T738" s="3">
        <f t="shared" si="142"/>
        <v>7771.1399999999994</v>
      </c>
      <c r="U738" s="3">
        <f t="shared" si="143"/>
        <v>152832.41999999998</v>
      </c>
      <c r="V738" s="3">
        <f t="shared" si="144"/>
        <v>166182.84</v>
      </c>
      <c r="W738" s="3">
        <f t="shared" si="145"/>
        <v>179931.78</v>
      </c>
      <c r="X738" s="3">
        <f t="shared" si="146"/>
        <v>145061.28</v>
      </c>
      <c r="Y738" s="3">
        <f t="shared" si="147"/>
        <v>137290.13999999998</v>
      </c>
      <c r="Z738" s="3">
        <f t="shared" si="148"/>
        <v>46029.06</v>
      </c>
      <c r="AA738" s="3">
        <f t="shared" si="149"/>
        <v>8767.4399999999987</v>
      </c>
      <c r="AB738" s="3">
        <f t="shared" si="150"/>
        <v>48818.7</v>
      </c>
      <c r="AC738" s="3">
        <f t="shared" si="151"/>
        <v>197665.91999999998</v>
      </c>
      <c r="AD738" s="3">
        <f t="shared" si="152"/>
        <v>137290.13999999998</v>
      </c>
      <c r="AE738" s="3">
        <f t="shared" si="153"/>
        <v>126330.84</v>
      </c>
      <c r="AF738" s="3">
        <f>SUM(ecommerce_sales_all_data[[#This Row],[revenue_month_1]:[revenue_month_12]])</f>
        <v>1353971.7</v>
      </c>
    </row>
    <row r="739" spans="1:32" x14ac:dyDescent="0.3">
      <c r="A739">
        <v>738</v>
      </c>
      <c r="B739" t="s">
        <v>762</v>
      </c>
      <c r="C739" t="s">
        <v>23</v>
      </c>
      <c r="D739" s="2">
        <v>409.22</v>
      </c>
      <c r="E739">
        <v>1.8</v>
      </c>
      <c r="F739">
        <v>800</v>
      </c>
      <c r="G739" s="1">
        <v>958</v>
      </c>
      <c r="H739" s="1">
        <v>549</v>
      </c>
      <c r="I739" s="1">
        <v>105</v>
      </c>
      <c r="J739" s="1">
        <v>517</v>
      </c>
      <c r="K739" s="1">
        <v>153</v>
      </c>
      <c r="L739" s="1">
        <v>356</v>
      </c>
      <c r="M739" s="1">
        <v>793</v>
      </c>
      <c r="N739" s="1">
        <v>107</v>
      </c>
      <c r="O739" s="1">
        <v>939</v>
      </c>
      <c r="P739" s="1">
        <v>247</v>
      </c>
      <c r="Q739" s="1">
        <v>936</v>
      </c>
      <c r="R739" s="1">
        <v>186</v>
      </c>
      <c r="S739" s="1">
        <f>SUM(ecommerce_sales_all_data[[#This Row],[sales_month_1]:[sales_month_12]])</f>
        <v>5846</v>
      </c>
      <c r="T739" s="3">
        <f t="shared" si="142"/>
        <v>392032.76</v>
      </c>
      <c r="U739" s="3">
        <f t="shared" si="143"/>
        <v>224661.78000000003</v>
      </c>
      <c r="V739" s="3">
        <f t="shared" si="144"/>
        <v>42968.100000000006</v>
      </c>
      <c r="W739" s="3">
        <f t="shared" si="145"/>
        <v>211566.74000000002</v>
      </c>
      <c r="X739" s="3">
        <f t="shared" si="146"/>
        <v>62610.66</v>
      </c>
      <c r="Y739" s="3">
        <f t="shared" si="147"/>
        <v>145682.32</v>
      </c>
      <c r="Z739" s="3">
        <f t="shared" si="148"/>
        <v>324511.46000000002</v>
      </c>
      <c r="AA739" s="3">
        <f t="shared" si="149"/>
        <v>43786.54</v>
      </c>
      <c r="AB739" s="3">
        <f t="shared" si="150"/>
        <v>384257.58</v>
      </c>
      <c r="AC739" s="3">
        <f t="shared" si="151"/>
        <v>101077.34000000001</v>
      </c>
      <c r="AD739" s="3">
        <f t="shared" si="152"/>
        <v>383029.92000000004</v>
      </c>
      <c r="AE739" s="3">
        <f t="shared" si="153"/>
        <v>76114.92</v>
      </c>
      <c r="AF739" s="3">
        <f>SUM(ecommerce_sales_all_data[[#This Row],[revenue_month_1]:[revenue_month_12]])</f>
        <v>2392300.12</v>
      </c>
    </row>
    <row r="740" spans="1:32" x14ac:dyDescent="0.3">
      <c r="A740">
        <v>739</v>
      </c>
      <c r="B740" t="s">
        <v>763</v>
      </c>
      <c r="C740" t="s">
        <v>26</v>
      </c>
      <c r="D740" s="2">
        <v>222.37</v>
      </c>
      <c r="E740">
        <v>2.5</v>
      </c>
      <c r="F740">
        <v>451</v>
      </c>
      <c r="G740" s="1">
        <v>188</v>
      </c>
      <c r="H740" s="1">
        <v>687</v>
      </c>
      <c r="I740" s="1">
        <v>650</v>
      </c>
      <c r="J740" s="1">
        <v>975</v>
      </c>
      <c r="K740" s="1">
        <v>153</v>
      </c>
      <c r="L740" s="1">
        <v>415</v>
      </c>
      <c r="M740" s="1">
        <v>540</v>
      </c>
      <c r="N740" s="1">
        <v>218</v>
      </c>
      <c r="O740" s="1">
        <v>586</v>
      </c>
      <c r="P740" s="1">
        <v>580</v>
      </c>
      <c r="Q740" s="1">
        <v>193</v>
      </c>
      <c r="R740" s="1">
        <v>773</v>
      </c>
      <c r="S740" s="1">
        <f>SUM(ecommerce_sales_all_data[[#This Row],[sales_month_1]:[sales_month_12]])</f>
        <v>5958</v>
      </c>
      <c r="T740" s="3">
        <f t="shared" si="142"/>
        <v>41805.56</v>
      </c>
      <c r="U740" s="3">
        <f t="shared" si="143"/>
        <v>152768.19</v>
      </c>
      <c r="V740" s="3">
        <f t="shared" si="144"/>
        <v>144540.5</v>
      </c>
      <c r="W740" s="3">
        <f t="shared" si="145"/>
        <v>216810.75</v>
      </c>
      <c r="X740" s="3">
        <f t="shared" si="146"/>
        <v>34022.61</v>
      </c>
      <c r="Y740" s="3">
        <f t="shared" si="147"/>
        <v>92283.55</v>
      </c>
      <c r="Z740" s="3">
        <f t="shared" si="148"/>
        <v>120079.8</v>
      </c>
      <c r="AA740" s="3">
        <f t="shared" si="149"/>
        <v>48476.66</v>
      </c>
      <c r="AB740" s="3">
        <f t="shared" si="150"/>
        <v>130308.82</v>
      </c>
      <c r="AC740" s="3">
        <f t="shared" si="151"/>
        <v>128974.6</v>
      </c>
      <c r="AD740" s="3">
        <f t="shared" si="152"/>
        <v>42917.41</v>
      </c>
      <c r="AE740" s="3">
        <f t="shared" si="153"/>
        <v>171892.01</v>
      </c>
      <c r="AF740" s="3">
        <f>SUM(ecommerce_sales_all_data[[#This Row],[revenue_month_1]:[revenue_month_12]])</f>
        <v>1324880.4600000002</v>
      </c>
    </row>
    <row r="741" spans="1:32" x14ac:dyDescent="0.3">
      <c r="A741">
        <v>740</v>
      </c>
      <c r="B741" t="s">
        <v>764</v>
      </c>
      <c r="C741" t="s">
        <v>35</v>
      </c>
      <c r="D741" s="2">
        <v>191.59</v>
      </c>
      <c r="E741">
        <v>2.7</v>
      </c>
      <c r="F741">
        <v>195</v>
      </c>
      <c r="G741" s="1">
        <v>163</v>
      </c>
      <c r="H741" s="1">
        <v>26</v>
      </c>
      <c r="I741" s="1">
        <v>810</v>
      </c>
      <c r="J741" s="1">
        <v>791</v>
      </c>
      <c r="K741" s="1">
        <v>685</v>
      </c>
      <c r="L741" s="1">
        <v>962</v>
      </c>
      <c r="M741" s="1">
        <v>194</v>
      </c>
      <c r="N741" s="1">
        <v>442</v>
      </c>
      <c r="O741" s="1">
        <v>156</v>
      </c>
      <c r="P741" s="1">
        <v>119</v>
      </c>
      <c r="Q741" s="1">
        <v>481</v>
      </c>
      <c r="R741" s="1">
        <v>924</v>
      </c>
      <c r="S741" s="1">
        <f>SUM(ecommerce_sales_all_data[[#This Row],[sales_month_1]:[sales_month_12]])</f>
        <v>5753</v>
      </c>
      <c r="T741" s="3">
        <f t="shared" si="142"/>
        <v>31229.170000000002</v>
      </c>
      <c r="U741" s="3">
        <f t="shared" si="143"/>
        <v>4981.34</v>
      </c>
      <c r="V741" s="3">
        <f t="shared" si="144"/>
        <v>155187.9</v>
      </c>
      <c r="W741" s="3">
        <f t="shared" si="145"/>
        <v>151547.69</v>
      </c>
      <c r="X741" s="3">
        <f t="shared" si="146"/>
        <v>131239.15</v>
      </c>
      <c r="Y741" s="3">
        <f t="shared" si="147"/>
        <v>184309.58000000002</v>
      </c>
      <c r="Z741" s="3">
        <f t="shared" si="148"/>
        <v>37168.46</v>
      </c>
      <c r="AA741" s="3">
        <f t="shared" si="149"/>
        <v>84682.78</v>
      </c>
      <c r="AB741" s="3">
        <f t="shared" si="150"/>
        <v>29888.04</v>
      </c>
      <c r="AC741" s="3">
        <f t="shared" si="151"/>
        <v>22799.21</v>
      </c>
      <c r="AD741" s="3">
        <f t="shared" si="152"/>
        <v>92154.790000000008</v>
      </c>
      <c r="AE741" s="3">
        <f t="shared" si="153"/>
        <v>177029.16</v>
      </c>
      <c r="AF741" s="3">
        <f>SUM(ecommerce_sales_all_data[[#This Row],[revenue_month_1]:[revenue_month_12]])</f>
        <v>1102217.27</v>
      </c>
    </row>
    <row r="742" spans="1:32" x14ac:dyDescent="0.3">
      <c r="A742">
        <v>741</v>
      </c>
      <c r="B742" t="s">
        <v>765</v>
      </c>
      <c r="C742" t="s">
        <v>21</v>
      </c>
      <c r="D742" s="2">
        <v>234.03</v>
      </c>
      <c r="E742">
        <v>4.3</v>
      </c>
      <c r="F742">
        <v>156</v>
      </c>
      <c r="G742" s="1">
        <v>993</v>
      </c>
      <c r="H742" s="1">
        <v>275</v>
      </c>
      <c r="I742" s="1">
        <v>400</v>
      </c>
      <c r="J742" s="1">
        <v>431</v>
      </c>
      <c r="K742" s="1">
        <v>91</v>
      </c>
      <c r="L742" s="1">
        <v>514</v>
      </c>
      <c r="M742" s="1">
        <v>505</v>
      </c>
      <c r="N742" s="1">
        <v>829</v>
      </c>
      <c r="O742" s="1">
        <v>734</v>
      </c>
      <c r="P742" s="1">
        <v>66</v>
      </c>
      <c r="Q742" s="1">
        <v>898</v>
      </c>
      <c r="R742" s="1">
        <v>784</v>
      </c>
      <c r="S742" s="1">
        <f>SUM(ecommerce_sales_all_data[[#This Row],[sales_month_1]:[sales_month_12]])</f>
        <v>6520</v>
      </c>
      <c r="T742" s="3">
        <f t="shared" si="142"/>
        <v>232391.79</v>
      </c>
      <c r="U742" s="3">
        <f t="shared" si="143"/>
        <v>64358.25</v>
      </c>
      <c r="V742" s="3">
        <f t="shared" si="144"/>
        <v>93612</v>
      </c>
      <c r="W742" s="3">
        <f t="shared" si="145"/>
        <v>100866.93000000001</v>
      </c>
      <c r="X742" s="3">
        <f t="shared" si="146"/>
        <v>21296.73</v>
      </c>
      <c r="Y742" s="3">
        <f t="shared" si="147"/>
        <v>120291.42</v>
      </c>
      <c r="Z742" s="3">
        <f t="shared" si="148"/>
        <v>118185.15</v>
      </c>
      <c r="AA742" s="3">
        <f t="shared" si="149"/>
        <v>194010.87</v>
      </c>
      <c r="AB742" s="3">
        <f t="shared" si="150"/>
        <v>171778.02</v>
      </c>
      <c r="AC742" s="3">
        <f t="shared" si="151"/>
        <v>15445.98</v>
      </c>
      <c r="AD742" s="3">
        <f t="shared" si="152"/>
        <v>210158.94</v>
      </c>
      <c r="AE742" s="3">
        <f t="shared" si="153"/>
        <v>183479.52</v>
      </c>
      <c r="AF742" s="3">
        <f>SUM(ecommerce_sales_all_data[[#This Row],[revenue_month_1]:[revenue_month_12]])</f>
        <v>1525875.5999999999</v>
      </c>
    </row>
    <row r="743" spans="1:32" x14ac:dyDescent="0.3">
      <c r="A743">
        <v>742</v>
      </c>
      <c r="B743" t="s">
        <v>766</v>
      </c>
      <c r="C743" t="s">
        <v>29</v>
      </c>
      <c r="D743" s="2">
        <v>154.18</v>
      </c>
      <c r="E743">
        <v>3.9</v>
      </c>
      <c r="F743">
        <v>172</v>
      </c>
      <c r="G743" s="1">
        <v>988</v>
      </c>
      <c r="H743" s="1">
        <v>651</v>
      </c>
      <c r="I743" s="1">
        <v>95</v>
      </c>
      <c r="J743" s="1">
        <v>486</v>
      </c>
      <c r="K743" s="1">
        <v>432</v>
      </c>
      <c r="L743" s="1">
        <v>213</v>
      </c>
      <c r="M743" s="1">
        <v>333</v>
      </c>
      <c r="N743" s="1">
        <v>314</v>
      </c>
      <c r="O743" s="1">
        <v>701</v>
      </c>
      <c r="P743" s="1">
        <v>572</v>
      </c>
      <c r="Q743" s="1">
        <v>335</v>
      </c>
      <c r="R743" s="1">
        <v>372</v>
      </c>
      <c r="S743" s="1">
        <f>SUM(ecommerce_sales_all_data[[#This Row],[sales_month_1]:[sales_month_12]])</f>
        <v>5492</v>
      </c>
      <c r="T743" s="3">
        <f t="shared" si="142"/>
        <v>152329.84</v>
      </c>
      <c r="U743" s="3">
        <f t="shared" si="143"/>
        <v>100371.18000000001</v>
      </c>
      <c r="V743" s="3">
        <f t="shared" si="144"/>
        <v>14647.1</v>
      </c>
      <c r="W743" s="3">
        <f t="shared" si="145"/>
        <v>74931.48000000001</v>
      </c>
      <c r="X743" s="3">
        <f t="shared" si="146"/>
        <v>66605.760000000009</v>
      </c>
      <c r="Y743" s="3">
        <f t="shared" si="147"/>
        <v>32840.340000000004</v>
      </c>
      <c r="Z743" s="3">
        <f t="shared" si="148"/>
        <v>51341.94</v>
      </c>
      <c r="AA743" s="3">
        <f t="shared" si="149"/>
        <v>48412.520000000004</v>
      </c>
      <c r="AB743" s="3">
        <f t="shared" si="150"/>
        <v>108080.18000000001</v>
      </c>
      <c r="AC743" s="3">
        <f t="shared" si="151"/>
        <v>88190.96</v>
      </c>
      <c r="AD743" s="3">
        <f t="shared" si="152"/>
        <v>51650.3</v>
      </c>
      <c r="AE743" s="3">
        <f t="shared" si="153"/>
        <v>57354.96</v>
      </c>
      <c r="AF743" s="3">
        <f>SUM(ecommerce_sales_all_data[[#This Row],[revenue_month_1]:[revenue_month_12]])</f>
        <v>846756.56</v>
      </c>
    </row>
    <row r="744" spans="1:32" x14ac:dyDescent="0.3">
      <c r="A744">
        <v>743</v>
      </c>
      <c r="B744" t="s">
        <v>767</v>
      </c>
      <c r="C744" t="s">
        <v>35</v>
      </c>
      <c r="D744" s="2">
        <v>375.07</v>
      </c>
      <c r="E744">
        <v>4.0999999999999996</v>
      </c>
      <c r="F744">
        <v>847</v>
      </c>
      <c r="G744" s="1">
        <v>535</v>
      </c>
      <c r="H744" s="1">
        <v>298</v>
      </c>
      <c r="I744" s="1">
        <v>387</v>
      </c>
      <c r="J744" s="1">
        <v>605</v>
      </c>
      <c r="K744" s="1">
        <v>337</v>
      </c>
      <c r="L744" s="1">
        <v>853</v>
      </c>
      <c r="M744" s="1">
        <v>767</v>
      </c>
      <c r="N744" s="1">
        <v>176</v>
      </c>
      <c r="O744" s="1">
        <v>984</v>
      </c>
      <c r="P744" s="1">
        <v>955</v>
      </c>
      <c r="Q744" s="1">
        <v>434</v>
      </c>
      <c r="R744" s="1">
        <v>571</v>
      </c>
      <c r="S744" s="1">
        <f>SUM(ecommerce_sales_all_data[[#This Row],[sales_month_1]:[sales_month_12]])</f>
        <v>6902</v>
      </c>
      <c r="T744" s="3">
        <f t="shared" si="142"/>
        <v>200662.44999999998</v>
      </c>
      <c r="U744" s="3">
        <f t="shared" si="143"/>
        <v>111770.86</v>
      </c>
      <c r="V744" s="3">
        <f t="shared" si="144"/>
        <v>145152.09</v>
      </c>
      <c r="W744" s="3">
        <f t="shared" si="145"/>
        <v>226917.35</v>
      </c>
      <c r="X744" s="3">
        <f t="shared" si="146"/>
        <v>126398.59</v>
      </c>
      <c r="Y744" s="3">
        <f t="shared" si="147"/>
        <v>319934.71000000002</v>
      </c>
      <c r="Z744" s="3">
        <f t="shared" si="148"/>
        <v>287678.69</v>
      </c>
      <c r="AA744" s="3">
        <f t="shared" si="149"/>
        <v>66012.319999999992</v>
      </c>
      <c r="AB744" s="3">
        <f t="shared" si="150"/>
        <v>369068.88</v>
      </c>
      <c r="AC744" s="3">
        <f t="shared" si="151"/>
        <v>358191.85</v>
      </c>
      <c r="AD744" s="3">
        <f t="shared" si="152"/>
        <v>162780.38</v>
      </c>
      <c r="AE744" s="3">
        <f t="shared" si="153"/>
        <v>214164.97</v>
      </c>
      <c r="AF744" s="3">
        <f>SUM(ecommerce_sales_all_data[[#This Row],[revenue_month_1]:[revenue_month_12]])</f>
        <v>2588733.14</v>
      </c>
    </row>
    <row r="745" spans="1:32" x14ac:dyDescent="0.3">
      <c r="A745">
        <v>744</v>
      </c>
      <c r="B745" t="s">
        <v>768</v>
      </c>
      <c r="C745" t="s">
        <v>19</v>
      </c>
      <c r="D745" s="2">
        <v>253.85</v>
      </c>
      <c r="E745">
        <v>1</v>
      </c>
      <c r="F745">
        <v>41</v>
      </c>
      <c r="G745" s="1">
        <v>535</v>
      </c>
      <c r="H745" s="1">
        <v>956</v>
      </c>
      <c r="I745" s="1">
        <v>958</v>
      </c>
      <c r="J745" s="1">
        <v>428</v>
      </c>
      <c r="K745" s="1">
        <v>479</v>
      </c>
      <c r="L745" s="1">
        <v>73</v>
      </c>
      <c r="M745" s="1">
        <v>792</v>
      </c>
      <c r="N745" s="1">
        <v>227</v>
      </c>
      <c r="O745" s="1">
        <v>563</v>
      </c>
      <c r="P745" s="1">
        <v>326</v>
      </c>
      <c r="Q745" s="1">
        <v>195</v>
      </c>
      <c r="R745" s="1">
        <v>405</v>
      </c>
      <c r="S745" s="1">
        <f>SUM(ecommerce_sales_all_data[[#This Row],[sales_month_1]:[sales_month_12]])</f>
        <v>5937</v>
      </c>
      <c r="T745" s="3">
        <f t="shared" si="142"/>
        <v>135809.75</v>
      </c>
      <c r="U745" s="3">
        <f t="shared" si="143"/>
        <v>242680.6</v>
      </c>
      <c r="V745" s="3">
        <f t="shared" si="144"/>
        <v>243188.3</v>
      </c>
      <c r="W745" s="3">
        <f t="shared" si="145"/>
        <v>108647.8</v>
      </c>
      <c r="X745" s="3">
        <f t="shared" si="146"/>
        <v>121594.15</v>
      </c>
      <c r="Y745" s="3">
        <f t="shared" si="147"/>
        <v>18531.05</v>
      </c>
      <c r="Z745" s="3">
        <f t="shared" si="148"/>
        <v>201049.19999999998</v>
      </c>
      <c r="AA745" s="3">
        <f t="shared" si="149"/>
        <v>57623.95</v>
      </c>
      <c r="AB745" s="3">
        <f t="shared" si="150"/>
        <v>142917.54999999999</v>
      </c>
      <c r="AC745" s="3">
        <f t="shared" si="151"/>
        <v>82755.099999999991</v>
      </c>
      <c r="AD745" s="3">
        <f t="shared" si="152"/>
        <v>49500.75</v>
      </c>
      <c r="AE745" s="3">
        <f t="shared" si="153"/>
        <v>102809.25</v>
      </c>
      <c r="AF745" s="3">
        <f>SUM(ecommerce_sales_all_data[[#This Row],[revenue_month_1]:[revenue_month_12]])</f>
        <v>1507107.4500000002</v>
      </c>
    </row>
    <row r="746" spans="1:32" x14ac:dyDescent="0.3">
      <c r="A746">
        <v>745</v>
      </c>
      <c r="B746" t="s">
        <v>769</v>
      </c>
      <c r="C746" t="s">
        <v>29</v>
      </c>
      <c r="D746" s="2">
        <v>119.95</v>
      </c>
      <c r="E746">
        <v>2.7</v>
      </c>
      <c r="F746">
        <v>63</v>
      </c>
      <c r="G746" s="1">
        <v>3</v>
      </c>
      <c r="H746" s="1">
        <v>798</v>
      </c>
      <c r="I746" s="1">
        <v>451</v>
      </c>
      <c r="J746" s="1">
        <v>268</v>
      </c>
      <c r="K746" s="1">
        <v>692</v>
      </c>
      <c r="L746" s="1">
        <v>562</v>
      </c>
      <c r="M746" s="1">
        <v>303</v>
      </c>
      <c r="N746" s="1">
        <v>702</v>
      </c>
      <c r="O746" s="1">
        <v>949</v>
      </c>
      <c r="P746" s="1">
        <v>919</v>
      </c>
      <c r="Q746" s="1">
        <v>854</v>
      </c>
      <c r="R746" s="1">
        <v>407</v>
      </c>
      <c r="S746" s="1">
        <f>SUM(ecommerce_sales_all_data[[#This Row],[sales_month_1]:[sales_month_12]])</f>
        <v>6908</v>
      </c>
      <c r="T746" s="3">
        <f t="shared" si="142"/>
        <v>359.85</v>
      </c>
      <c r="U746" s="3">
        <f t="shared" si="143"/>
        <v>95720.1</v>
      </c>
      <c r="V746" s="3">
        <f t="shared" si="144"/>
        <v>54097.450000000004</v>
      </c>
      <c r="W746" s="3">
        <f t="shared" si="145"/>
        <v>32146.600000000002</v>
      </c>
      <c r="X746" s="3">
        <f t="shared" si="146"/>
        <v>83005.400000000009</v>
      </c>
      <c r="Y746" s="3">
        <f t="shared" si="147"/>
        <v>67411.900000000009</v>
      </c>
      <c r="Z746" s="3">
        <f t="shared" si="148"/>
        <v>36344.85</v>
      </c>
      <c r="AA746" s="3">
        <f t="shared" si="149"/>
        <v>84204.900000000009</v>
      </c>
      <c r="AB746" s="3">
        <f t="shared" si="150"/>
        <v>113832.55</v>
      </c>
      <c r="AC746" s="3">
        <f t="shared" si="151"/>
        <v>110234.05</v>
      </c>
      <c r="AD746" s="3">
        <f t="shared" si="152"/>
        <v>102437.3</v>
      </c>
      <c r="AE746" s="3">
        <f t="shared" si="153"/>
        <v>48819.65</v>
      </c>
      <c r="AF746" s="3">
        <f>SUM(ecommerce_sales_all_data[[#This Row],[revenue_month_1]:[revenue_month_12]])</f>
        <v>828614.60000000021</v>
      </c>
    </row>
    <row r="747" spans="1:32" x14ac:dyDescent="0.3">
      <c r="A747">
        <v>746</v>
      </c>
      <c r="B747" t="s">
        <v>770</v>
      </c>
      <c r="C747" t="s">
        <v>21</v>
      </c>
      <c r="D747" s="2">
        <v>450.29</v>
      </c>
      <c r="E747">
        <v>2.9</v>
      </c>
      <c r="F747">
        <v>23</v>
      </c>
      <c r="G747" s="1">
        <v>834</v>
      </c>
      <c r="H747" s="1">
        <v>90</v>
      </c>
      <c r="I747" s="1">
        <v>848</v>
      </c>
      <c r="J747" s="1">
        <v>708</v>
      </c>
      <c r="K747" s="1">
        <v>130</v>
      </c>
      <c r="L747" s="1">
        <v>578</v>
      </c>
      <c r="M747" s="1">
        <v>832</v>
      </c>
      <c r="N747" s="1">
        <v>982</v>
      </c>
      <c r="O747" s="1">
        <v>87</v>
      </c>
      <c r="P747" s="1">
        <v>702</v>
      </c>
      <c r="Q747" s="1">
        <v>248</v>
      </c>
      <c r="R747" s="1">
        <v>124</v>
      </c>
      <c r="S747" s="1">
        <f>SUM(ecommerce_sales_all_data[[#This Row],[sales_month_1]:[sales_month_12]])</f>
        <v>6163</v>
      </c>
      <c r="T747" s="3">
        <f t="shared" si="142"/>
        <v>375541.86000000004</v>
      </c>
      <c r="U747" s="3">
        <f t="shared" si="143"/>
        <v>40526.1</v>
      </c>
      <c r="V747" s="3">
        <f t="shared" si="144"/>
        <v>381845.92000000004</v>
      </c>
      <c r="W747" s="3">
        <f t="shared" si="145"/>
        <v>318805.32</v>
      </c>
      <c r="X747" s="3">
        <f t="shared" si="146"/>
        <v>58537.700000000004</v>
      </c>
      <c r="Y747" s="3">
        <f t="shared" si="147"/>
        <v>260267.62000000002</v>
      </c>
      <c r="Z747" s="3">
        <f t="shared" si="148"/>
        <v>374641.28</v>
      </c>
      <c r="AA747" s="3">
        <f t="shared" si="149"/>
        <v>442184.78</v>
      </c>
      <c r="AB747" s="3">
        <f t="shared" si="150"/>
        <v>39175.230000000003</v>
      </c>
      <c r="AC747" s="3">
        <f t="shared" si="151"/>
        <v>316103.58</v>
      </c>
      <c r="AD747" s="3">
        <f t="shared" si="152"/>
        <v>111671.92</v>
      </c>
      <c r="AE747" s="3">
        <f t="shared" si="153"/>
        <v>55835.96</v>
      </c>
      <c r="AF747" s="3">
        <f>SUM(ecommerce_sales_all_data[[#This Row],[revenue_month_1]:[revenue_month_12]])</f>
        <v>2775137.27</v>
      </c>
    </row>
    <row r="748" spans="1:32" x14ac:dyDescent="0.3">
      <c r="A748">
        <v>747</v>
      </c>
      <c r="B748" t="s">
        <v>771</v>
      </c>
      <c r="C748" t="s">
        <v>23</v>
      </c>
      <c r="D748" s="2">
        <v>195.03</v>
      </c>
      <c r="E748">
        <v>1.1000000000000001</v>
      </c>
      <c r="F748">
        <v>360</v>
      </c>
      <c r="G748" s="1">
        <v>289</v>
      </c>
      <c r="H748" s="1">
        <v>479</v>
      </c>
      <c r="I748" s="1">
        <v>808</v>
      </c>
      <c r="J748" s="1">
        <v>536</v>
      </c>
      <c r="K748" s="1">
        <v>449</v>
      </c>
      <c r="L748" s="1">
        <v>508</v>
      </c>
      <c r="M748" s="1">
        <v>436</v>
      </c>
      <c r="N748" s="1">
        <v>671</v>
      </c>
      <c r="O748" s="1">
        <v>312</v>
      </c>
      <c r="P748" s="1">
        <v>469</v>
      </c>
      <c r="Q748" s="1">
        <v>497</v>
      </c>
      <c r="R748" s="1">
        <v>336</v>
      </c>
      <c r="S748" s="1">
        <f>SUM(ecommerce_sales_all_data[[#This Row],[sales_month_1]:[sales_month_12]])</f>
        <v>5790</v>
      </c>
      <c r="T748" s="3">
        <f t="shared" si="142"/>
        <v>56363.67</v>
      </c>
      <c r="U748" s="3">
        <f t="shared" si="143"/>
        <v>93419.37</v>
      </c>
      <c r="V748" s="3">
        <f t="shared" si="144"/>
        <v>157584.24</v>
      </c>
      <c r="W748" s="3">
        <f t="shared" si="145"/>
        <v>104536.08</v>
      </c>
      <c r="X748" s="3">
        <f t="shared" si="146"/>
        <v>87568.47</v>
      </c>
      <c r="Y748" s="3">
        <f t="shared" si="147"/>
        <v>99075.24</v>
      </c>
      <c r="Z748" s="3">
        <f t="shared" si="148"/>
        <v>85033.08</v>
      </c>
      <c r="AA748" s="3">
        <f t="shared" si="149"/>
        <v>130865.13</v>
      </c>
      <c r="AB748" s="3">
        <f t="shared" si="150"/>
        <v>60849.36</v>
      </c>
      <c r="AC748" s="3">
        <f t="shared" si="151"/>
        <v>91469.07</v>
      </c>
      <c r="AD748" s="3">
        <f t="shared" si="152"/>
        <v>96929.91</v>
      </c>
      <c r="AE748" s="3">
        <f t="shared" si="153"/>
        <v>65530.080000000002</v>
      </c>
      <c r="AF748" s="3">
        <f>SUM(ecommerce_sales_all_data[[#This Row],[revenue_month_1]:[revenue_month_12]])</f>
        <v>1129223.7</v>
      </c>
    </row>
    <row r="749" spans="1:32" x14ac:dyDescent="0.3">
      <c r="A749">
        <v>748</v>
      </c>
      <c r="B749" t="s">
        <v>772</v>
      </c>
      <c r="C749" t="s">
        <v>23</v>
      </c>
      <c r="D749" s="2">
        <v>274.06</v>
      </c>
      <c r="E749">
        <v>2</v>
      </c>
      <c r="F749">
        <v>75</v>
      </c>
      <c r="G749" s="1">
        <v>952</v>
      </c>
      <c r="H749" s="1">
        <v>572</v>
      </c>
      <c r="I749" s="1">
        <v>978</v>
      </c>
      <c r="J749" s="1">
        <v>147</v>
      </c>
      <c r="K749" s="1">
        <v>992</v>
      </c>
      <c r="L749" s="1">
        <v>331</v>
      </c>
      <c r="M749" s="1">
        <v>322</v>
      </c>
      <c r="N749" s="1">
        <v>905</v>
      </c>
      <c r="O749" s="1">
        <v>850</v>
      </c>
      <c r="P749" s="1">
        <v>492</v>
      </c>
      <c r="Q749" s="1">
        <v>211</v>
      </c>
      <c r="R749" s="1">
        <v>340</v>
      </c>
      <c r="S749" s="1">
        <f>SUM(ecommerce_sales_all_data[[#This Row],[sales_month_1]:[sales_month_12]])</f>
        <v>7092</v>
      </c>
      <c r="T749" s="3">
        <f t="shared" si="142"/>
        <v>260905.12</v>
      </c>
      <c r="U749" s="3">
        <f t="shared" si="143"/>
        <v>156762.32</v>
      </c>
      <c r="V749" s="3">
        <f t="shared" si="144"/>
        <v>268030.68</v>
      </c>
      <c r="W749" s="3">
        <f t="shared" si="145"/>
        <v>40286.82</v>
      </c>
      <c r="X749" s="3">
        <f t="shared" si="146"/>
        <v>271867.52000000002</v>
      </c>
      <c r="Y749" s="3">
        <f t="shared" si="147"/>
        <v>90713.86</v>
      </c>
      <c r="Z749" s="3">
        <f t="shared" si="148"/>
        <v>88247.32</v>
      </c>
      <c r="AA749" s="3">
        <f t="shared" si="149"/>
        <v>248024.3</v>
      </c>
      <c r="AB749" s="3">
        <f t="shared" si="150"/>
        <v>232951</v>
      </c>
      <c r="AC749" s="3">
        <f t="shared" si="151"/>
        <v>134837.51999999999</v>
      </c>
      <c r="AD749" s="3">
        <f t="shared" si="152"/>
        <v>57826.66</v>
      </c>
      <c r="AE749" s="3">
        <f t="shared" si="153"/>
        <v>93180.4</v>
      </c>
      <c r="AF749" s="3">
        <f>SUM(ecommerce_sales_all_data[[#This Row],[revenue_month_1]:[revenue_month_12]])</f>
        <v>1943633.52</v>
      </c>
    </row>
    <row r="750" spans="1:32" x14ac:dyDescent="0.3">
      <c r="A750">
        <v>749</v>
      </c>
      <c r="B750" t="s">
        <v>773</v>
      </c>
      <c r="C750" t="s">
        <v>21</v>
      </c>
      <c r="D750" s="2">
        <v>453.7</v>
      </c>
      <c r="E750">
        <v>4</v>
      </c>
      <c r="F750">
        <v>560</v>
      </c>
      <c r="G750" s="1">
        <v>432</v>
      </c>
      <c r="H750" s="1">
        <v>457</v>
      </c>
      <c r="I750" s="1">
        <v>900</v>
      </c>
      <c r="J750" s="1">
        <v>117</v>
      </c>
      <c r="K750" s="1">
        <v>809</v>
      </c>
      <c r="L750" s="1">
        <v>92</v>
      </c>
      <c r="M750" s="1">
        <v>501</v>
      </c>
      <c r="N750" s="1">
        <v>266</v>
      </c>
      <c r="O750" s="1">
        <v>65</v>
      </c>
      <c r="P750" s="1">
        <v>700</v>
      </c>
      <c r="Q750" s="1">
        <v>664</v>
      </c>
      <c r="R750" s="1">
        <v>562</v>
      </c>
      <c r="S750" s="1">
        <f>SUM(ecommerce_sales_all_data[[#This Row],[sales_month_1]:[sales_month_12]])</f>
        <v>5565</v>
      </c>
      <c r="T750" s="3">
        <f t="shared" si="142"/>
        <v>195998.4</v>
      </c>
      <c r="U750" s="3">
        <f t="shared" si="143"/>
        <v>207340.9</v>
      </c>
      <c r="V750" s="3">
        <f t="shared" si="144"/>
        <v>408330</v>
      </c>
      <c r="W750" s="3">
        <f t="shared" si="145"/>
        <v>53082.9</v>
      </c>
      <c r="X750" s="3">
        <f t="shared" si="146"/>
        <v>367043.3</v>
      </c>
      <c r="Y750" s="3">
        <f t="shared" si="147"/>
        <v>41740.400000000001</v>
      </c>
      <c r="Z750" s="3">
        <f t="shared" si="148"/>
        <v>227303.69999999998</v>
      </c>
      <c r="AA750" s="3">
        <f t="shared" si="149"/>
        <v>120684.2</v>
      </c>
      <c r="AB750" s="3">
        <f t="shared" si="150"/>
        <v>29490.5</v>
      </c>
      <c r="AC750" s="3">
        <f t="shared" si="151"/>
        <v>317590</v>
      </c>
      <c r="AD750" s="3">
        <f t="shared" si="152"/>
        <v>301256.8</v>
      </c>
      <c r="AE750" s="3">
        <f t="shared" si="153"/>
        <v>254979.4</v>
      </c>
      <c r="AF750" s="3">
        <f>SUM(ecommerce_sales_all_data[[#This Row],[revenue_month_1]:[revenue_month_12]])</f>
        <v>2524840.4999999995</v>
      </c>
    </row>
    <row r="751" spans="1:32" x14ac:dyDescent="0.3">
      <c r="A751">
        <v>750</v>
      </c>
      <c r="B751" t="s">
        <v>774</v>
      </c>
      <c r="C751" t="s">
        <v>48</v>
      </c>
      <c r="D751" s="2">
        <v>314</v>
      </c>
      <c r="E751">
        <v>1.5</v>
      </c>
      <c r="F751">
        <v>672</v>
      </c>
      <c r="G751" s="1">
        <v>470</v>
      </c>
      <c r="H751" s="1">
        <v>450</v>
      </c>
      <c r="I751" s="1">
        <v>415</v>
      </c>
      <c r="J751" s="1">
        <v>849</v>
      </c>
      <c r="K751" s="1">
        <v>786</v>
      </c>
      <c r="L751" s="1">
        <v>687</v>
      </c>
      <c r="M751" s="1">
        <v>857</v>
      </c>
      <c r="N751" s="1">
        <v>869</v>
      </c>
      <c r="O751" s="1">
        <v>661</v>
      </c>
      <c r="P751" s="1">
        <v>662</v>
      </c>
      <c r="Q751" s="1">
        <v>669</v>
      </c>
      <c r="R751" s="1">
        <v>177</v>
      </c>
      <c r="S751" s="1">
        <f>SUM(ecommerce_sales_all_data[[#This Row],[sales_month_1]:[sales_month_12]])</f>
        <v>7552</v>
      </c>
      <c r="T751" s="3">
        <f t="shared" si="142"/>
        <v>147580</v>
      </c>
      <c r="U751" s="3">
        <f t="shared" si="143"/>
        <v>141300</v>
      </c>
      <c r="V751" s="3">
        <f t="shared" si="144"/>
        <v>130310</v>
      </c>
      <c r="W751" s="3">
        <f t="shared" si="145"/>
        <v>266586</v>
      </c>
      <c r="X751" s="3">
        <f t="shared" si="146"/>
        <v>246804</v>
      </c>
      <c r="Y751" s="3">
        <f t="shared" si="147"/>
        <v>215718</v>
      </c>
      <c r="Z751" s="3">
        <f t="shared" si="148"/>
        <v>269098</v>
      </c>
      <c r="AA751" s="3">
        <f t="shared" si="149"/>
        <v>272866</v>
      </c>
      <c r="AB751" s="3">
        <f t="shared" si="150"/>
        <v>207554</v>
      </c>
      <c r="AC751" s="3">
        <f t="shared" si="151"/>
        <v>207868</v>
      </c>
      <c r="AD751" s="3">
        <f t="shared" si="152"/>
        <v>210066</v>
      </c>
      <c r="AE751" s="3">
        <f t="shared" si="153"/>
        <v>55578</v>
      </c>
      <c r="AF751" s="3">
        <f>SUM(ecommerce_sales_all_data[[#This Row],[revenue_month_1]:[revenue_month_12]])</f>
        <v>2371328</v>
      </c>
    </row>
    <row r="752" spans="1:32" x14ac:dyDescent="0.3">
      <c r="A752">
        <v>751</v>
      </c>
      <c r="B752" t="s">
        <v>775</v>
      </c>
      <c r="C752" t="s">
        <v>21</v>
      </c>
      <c r="D752" s="2">
        <v>62.86</v>
      </c>
      <c r="E752">
        <v>3.1</v>
      </c>
      <c r="F752">
        <v>825</v>
      </c>
      <c r="G752" s="1">
        <v>180</v>
      </c>
      <c r="H752" s="1">
        <v>364</v>
      </c>
      <c r="I752" s="1">
        <v>725</v>
      </c>
      <c r="J752" s="1">
        <v>366</v>
      </c>
      <c r="K752" s="1">
        <v>272</v>
      </c>
      <c r="L752" s="1">
        <v>656</v>
      </c>
      <c r="M752" s="1">
        <v>913</v>
      </c>
      <c r="N752" s="1">
        <v>837</v>
      </c>
      <c r="O752" s="1">
        <v>19</v>
      </c>
      <c r="P752" s="1">
        <v>285</v>
      </c>
      <c r="Q752" s="1">
        <v>465</v>
      </c>
      <c r="R752" s="1">
        <v>650</v>
      </c>
      <c r="S752" s="1">
        <f>SUM(ecommerce_sales_all_data[[#This Row],[sales_month_1]:[sales_month_12]])</f>
        <v>5732</v>
      </c>
      <c r="T752" s="3">
        <f t="shared" si="142"/>
        <v>11314.8</v>
      </c>
      <c r="U752" s="3">
        <f t="shared" si="143"/>
        <v>22881.040000000001</v>
      </c>
      <c r="V752" s="3">
        <f t="shared" si="144"/>
        <v>45573.5</v>
      </c>
      <c r="W752" s="3">
        <f t="shared" si="145"/>
        <v>23006.76</v>
      </c>
      <c r="X752" s="3">
        <f t="shared" si="146"/>
        <v>17097.919999999998</v>
      </c>
      <c r="Y752" s="3">
        <f t="shared" si="147"/>
        <v>41236.159999999996</v>
      </c>
      <c r="Z752" s="3">
        <f t="shared" si="148"/>
        <v>57391.18</v>
      </c>
      <c r="AA752" s="3">
        <f t="shared" si="149"/>
        <v>52613.82</v>
      </c>
      <c r="AB752" s="3">
        <f t="shared" si="150"/>
        <v>1194.3399999999999</v>
      </c>
      <c r="AC752" s="3">
        <f t="shared" si="151"/>
        <v>17915.099999999999</v>
      </c>
      <c r="AD752" s="3">
        <f t="shared" si="152"/>
        <v>29229.9</v>
      </c>
      <c r="AE752" s="3">
        <f t="shared" si="153"/>
        <v>40859</v>
      </c>
      <c r="AF752" s="3">
        <f>SUM(ecommerce_sales_all_data[[#This Row],[revenue_month_1]:[revenue_month_12]])</f>
        <v>360313.52</v>
      </c>
    </row>
    <row r="753" spans="1:32" x14ac:dyDescent="0.3">
      <c r="A753">
        <v>752</v>
      </c>
      <c r="B753" t="s">
        <v>776</v>
      </c>
      <c r="C753" t="s">
        <v>35</v>
      </c>
      <c r="D753" s="2">
        <v>470.22</v>
      </c>
      <c r="E753">
        <v>1.9</v>
      </c>
      <c r="F753">
        <v>118</v>
      </c>
      <c r="G753" s="1">
        <v>247</v>
      </c>
      <c r="H753" s="1">
        <v>858</v>
      </c>
      <c r="I753" s="1">
        <v>503</v>
      </c>
      <c r="J753" s="1">
        <v>849</v>
      </c>
      <c r="K753" s="1">
        <v>928</v>
      </c>
      <c r="L753" s="1">
        <v>518</v>
      </c>
      <c r="M753" s="1">
        <v>392</v>
      </c>
      <c r="N753" s="1">
        <v>378</v>
      </c>
      <c r="O753" s="1">
        <v>32</v>
      </c>
      <c r="P753" s="1">
        <v>955</v>
      </c>
      <c r="Q753" s="1">
        <v>873</v>
      </c>
      <c r="R753" s="1">
        <v>951</v>
      </c>
      <c r="S753" s="1">
        <f>SUM(ecommerce_sales_all_data[[#This Row],[sales_month_1]:[sales_month_12]])</f>
        <v>7484</v>
      </c>
      <c r="T753" s="3">
        <f t="shared" si="142"/>
        <v>116144.34000000001</v>
      </c>
      <c r="U753" s="3">
        <f t="shared" si="143"/>
        <v>403448.76</v>
      </c>
      <c r="V753" s="3">
        <f t="shared" si="144"/>
        <v>236520.66</v>
      </c>
      <c r="W753" s="3">
        <f t="shared" si="145"/>
        <v>399216.78</v>
      </c>
      <c r="X753" s="3">
        <f t="shared" si="146"/>
        <v>436364.16000000003</v>
      </c>
      <c r="Y753" s="3">
        <f t="shared" si="147"/>
        <v>243573.96000000002</v>
      </c>
      <c r="Z753" s="3">
        <f t="shared" si="148"/>
        <v>184326.24000000002</v>
      </c>
      <c r="AA753" s="3">
        <f t="shared" si="149"/>
        <v>177743.16</v>
      </c>
      <c r="AB753" s="3">
        <f t="shared" si="150"/>
        <v>15047.04</v>
      </c>
      <c r="AC753" s="3">
        <f t="shared" si="151"/>
        <v>449060.10000000003</v>
      </c>
      <c r="AD753" s="3">
        <f t="shared" si="152"/>
        <v>410502.06</v>
      </c>
      <c r="AE753" s="3">
        <f t="shared" si="153"/>
        <v>447179.22000000003</v>
      </c>
      <c r="AF753" s="3">
        <f>SUM(ecommerce_sales_all_data[[#This Row],[revenue_month_1]:[revenue_month_12]])</f>
        <v>3519126.4800000004</v>
      </c>
    </row>
    <row r="754" spans="1:32" x14ac:dyDescent="0.3">
      <c r="A754">
        <v>753</v>
      </c>
      <c r="B754" t="s">
        <v>777</v>
      </c>
      <c r="C754" t="s">
        <v>19</v>
      </c>
      <c r="D754" s="2">
        <v>315.72000000000003</v>
      </c>
      <c r="E754">
        <v>1</v>
      </c>
      <c r="F754">
        <v>612</v>
      </c>
      <c r="G754" s="1">
        <v>627</v>
      </c>
      <c r="H754" s="1">
        <v>674</v>
      </c>
      <c r="I754" s="1">
        <v>453</v>
      </c>
      <c r="J754" s="1">
        <v>65</v>
      </c>
      <c r="K754" s="1">
        <v>587</v>
      </c>
      <c r="L754" s="1">
        <v>268</v>
      </c>
      <c r="M754" s="1">
        <v>805</v>
      </c>
      <c r="N754" s="1">
        <v>488</v>
      </c>
      <c r="O754" s="1">
        <v>839</v>
      </c>
      <c r="P754" s="1">
        <v>913</v>
      </c>
      <c r="Q754" s="1">
        <v>650</v>
      </c>
      <c r="R754" s="1">
        <v>838</v>
      </c>
      <c r="S754" s="1">
        <f>SUM(ecommerce_sales_all_data[[#This Row],[sales_month_1]:[sales_month_12]])</f>
        <v>7207</v>
      </c>
      <c r="T754" s="3">
        <f t="shared" si="142"/>
        <v>197956.44000000003</v>
      </c>
      <c r="U754" s="3">
        <f t="shared" si="143"/>
        <v>212795.28000000003</v>
      </c>
      <c r="V754" s="3">
        <f t="shared" si="144"/>
        <v>143021.16</v>
      </c>
      <c r="W754" s="3">
        <f t="shared" si="145"/>
        <v>20521.800000000003</v>
      </c>
      <c r="X754" s="3">
        <f t="shared" si="146"/>
        <v>185327.64</v>
      </c>
      <c r="Y754" s="3">
        <f t="shared" si="147"/>
        <v>84612.96</v>
      </c>
      <c r="Z754" s="3">
        <f t="shared" si="148"/>
        <v>254154.60000000003</v>
      </c>
      <c r="AA754" s="3">
        <f t="shared" si="149"/>
        <v>154071.36000000002</v>
      </c>
      <c r="AB754" s="3">
        <f t="shared" si="150"/>
        <v>264889.08</v>
      </c>
      <c r="AC754" s="3">
        <f t="shared" si="151"/>
        <v>288252.36000000004</v>
      </c>
      <c r="AD754" s="3">
        <f t="shared" si="152"/>
        <v>205218.00000000003</v>
      </c>
      <c r="AE754" s="3">
        <f t="shared" si="153"/>
        <v>264573.36000000004</v>
      </c>
      <c r="AF754" s="3">
        <f>SUM(ecommerce_sales_all_data[[#This Row],[revenue_month_1]:[revenue_month_12]])</f>
        <v>2275394.0400000005</v>
      </c>
    </row>
    <row r="755" spans="1:32" x14ac:dyDescent="0.3">
      <c r="A755">
        <v>754</v>
      </c>
      <c r="B755" t="s">
        <v>778</v>
      </c>
      <c r="C755" t="s">
        <v>26</v>
      </c>
      <c r="D755" s="2">
        <v>170.78</v>
      </c>
      <c r="E755">
        <v>2</v>
      </c>
      <c r="F755">
        <v>380</v>
      </c>
      <c r="G755" s="1">
        <v>278</v>
      </c>
      <c r="H755" s="1">
        <v>350</v>
      </c>
      <c r="I755" s="1">
        <v>290</v>
      </c>
      <c r="J755" s="1">
        <v>969</v>
      </c>
      <c r="K755" s="1">
        <v>176</v>
      </c>
      <c r="L755" s="1">
        <v>375</v>
      </c>
      <c r="M755" s="1">
        <v>598</v>
      </c>
      <c r="N755" s="1">
        <v>701</v>
      </c>
      <c r="O755" s="1">
        <v>792</v>
      </c>
      <c r="P755" s="1">
        <v>607</v>
      </c>
      <c r="Q755" s="1">
        <v>220</v>
      </c>
      <c r="R755" s="1">
        <v>169</v>
      </c>
      <c r="S755" s="1">
        <f>SUM(ecommerce_sales_all_data[[#This Row],[sales_month_1]:[sales_month_12]])</f>
        <v>5525</v>
      </c>
      <c r="T755" s="3">
        <f t="shared" si="142"/>
        <v>47476.840000000004</v>
      </c>
      <c r="U755" s="3">
        <f t="shared" si="143"/>
        <v>59773</v>
      </c>
      <c r="V755" s="3">
        <f t="shared" si="144"/>
        <v>49526.2</v>
      </c>
      <c r="W755" s="3">
        <f t="shared" si="145"/>
        <v>165485.82</v>
      </c>
      <c r="X755" s="3">
        <f t="shared" si="146"/>
        <v>30057.279999999999</v>
      </c>
      <c r="Y755" s="3">
        <f t="shared" si="147"/>
        <v>64042.5</v>
      </c>
      <c r="Z755" s="3">
        <f t="shared" si="148"/>
        <v>102126.44</v>
      </c>
      <c r="AA755" s="3">
        <f t="shared" si="149"/>
        <v>119716.78</v>
      </c>
      <c r="AB755" s="3">
        <f t="shared" si="150"/>
        <v>135257.76</v>
      </c>
      <c r="AC755" s="3">
        <f t="shared" si="151"/>
        <v>103663.46</v>
      </c>
      <c r="AD755" s="3">
        <f t="shared" si="152"/>
        <v>37571.599999999999</v>
      </c>
      <c r="AE755" s="3">
        <f t="shared" si="153"/>
        <v>28861.82</v>
      </c>
      <c r="AF755" s="3">
        <f>SUM(ecommerce_sales_all_data[[#This Row],[revenue_month_1]:[revenue_month_12]])</f>
        <v>943559.49999999988</v>
      </c>
    </row>
    <row r="756" spans="1:32" x14ac:dyDescent="0.3">
      <c r="A756">
        <v>755</v>
      </c>
      <c r="B756" t="s">
        <v>779</v>
      </c>
      <c r="C756" t="s">
        <v>35</v>
      </c>
      <c r="D756" s="2">
        <v>73.94</v>
      </c>
      <c r="E756">
        <v>4.9000000000000004</v>
      </c>
      <c r="F756">
        <v>929</v>
      </c>
      <c r="G756" s="1">
        <v>876</v>
      </c>
      <c r="H756" s="1">
        <v>654</v>
      </c>
      <c r="I756" s="1">
        <v>533</v>
      </c>
      <c r="J756" s="1">
        <v>812</v>
      </c>
      <c r="K756" s="1">
        <v>695</v>
      </c>
      <c r="L756" s="1">
        <v>833</v>
      </c>
      <c r="M756" s="1">
        <v>148</v>
      </c>
      <c r="N756" s="1">
        <v>686</v>
      </c>
      <c r="O756" s="1">
        <v>557</v>
      </c>
      <c r="P756" s="1">
        <v>311</v>
      </c>
      <c r="Q756" s="1">
        <v>272</v>
      </c>
      <c r="R756" s="1">
        <v>38</v>
      </c>
      <c r="S756" s="1">
        <f>SUM(ecommerce_sales_all_data[[#This Row],[sales_month_1]:[sales_month_12]])</f>
        <v>6415</v>
      </c>
      <c r="T756" s="3">
        <f t="shared" si="142"/>
        <v>64771.439999999995</v>
      </c>
      <c r="U756" s="3">
        <f t="shared" si="143"/>
        <v>48356.76</v>
      </c>
      <c r="V756" s="3">
        <f t="shared" si="144"/>
        <v>39410.019999999997</v>
      </c>
      <c r="W756" s="3">
        <f t="shared" si="145"/>
        <v>60039.28</v>
      </c>
      <c r="X756" s="3">
        <f t="shared" si="146"/>
        <v>51388.299999999996</v>
      </c>
      <c r="Y756" s="3">
        <f t="shared" si="147"/>
        <v>61592.02</v>
      </c>
      <c r="Z756" s="3">
        <f t="shared" si="148"/>
        <v>10943.119999999999</v>
      </c>
      <c r="AA756" s="3">
        <f t="shared" si="149"/>
        <v>50722.84</v>
      </c>
      <c r="AB756" s="3">
        <f t="shared" si="150"/>
        <v>41184.58</v>
      </c>
      <c r="AC756" s="3">
        <f t="shared" si="151"/>
        <v>22995.34</v>
      </c>
      <c r="AD756" s="3">
        <f t="shared" si="152"/>
        <v>20111.68</v>
      </c>
      <c r="AE756" s="3">
        <f t="shared" si="153"/>
        <v>2809.72</v>
      </c>
      <c r="AF756" s="3">
        <f>SUM(ecommerce_sales_all_data[[#This Row],[revenue_month_1]:[revenue_month_12]])</f>
        <v>474325.10000000003</v>
      </c>
    </row>
    <row r="757" spans="1:32" x14ac:dyDescent="0.3">
      <c r="A757">
        <v>756</v>
      </c>
      <c r="B757" t="s">
        <v>780</v>
      </c>
      <c r="C757" t="s">
        <v>35</v>
      </c>
      <c r="D757" s="2">
        <v>398.04</v>
      </c>
      <c r="E757">
        <v>4.2</v>
      </c>
      <c r="F757">
        <v>920</v>
      </c>
      <c r="G757" s="1">
        <v>580</v>
      </c>
      <c r="H757" s="1">
        <v>399</v>
      </c>
      <c r="I757" s="1">
        <v>192</v>
      </c>
      <c r="J757" s="1">
        <v>369</v>
      </c>
      <c r="K757" s="1">
        <v>830</v>
      </c>
      <c r="L757" s="1">
        <v>3</v>
      </c>
      <c r="M757" s="1">
        <v>760</v>
      </c>
      <c r="N757" s="1">
        <v>289</v>
      </c>
      <c r="O757" s="1">
        <v>72</v>
      </c>
      <c r="P757" s="1">
        <v>308</v>
      </c>
      <c r="Q757" s="1">
        <v>153</v>
      </c>
      <c r="R757" s="1">
        <v>68</v>
      </c>
      <c r="S757" s="1">
        <f>SUM(ecommerce_sales_all_data[[#This Row],[sales_month_1]:[sales_month_12]])</f>
        <v>4023</v>
      </c>
      <c r="T757" s="3">
        <f t="shared" si="142"/>
        <v>230863.2</v>
      </c>
      <c r="U757" s="3">
        <f t="shared" si="143"/>
        <v>158817.96000000002</v>
      </c>
      <c r="V757" s="3">
        <f t="shared" si="144"/>
        <v>76423.680000000008</v>
      </c>
      <c r="W757" s="3">
        <f t="shared" si="145"/>
        <v>146876.76</v>
      </c>
      <c r="X757" s="3">
        <f t="shared" si="146"/>
        <v>330373.2</v>
      </c>
      <c r="Y757" s="3">
        <f t="shared" si="147"/>
        <v>1194.1200000000001</v>
      </c>
      <c r="Z757" s="3">
        <f t="shared" si="148"/>
        <v>302510.40000000002</v>
      </c>
      <c r="AA757" s="3">
        <f t="shared" si="149"/>
        <v>115033.56000000001</v>
      </c>
      <c r="AB757" s="3">
        <f t="shared" si="150"/>
        <v>28658.880000000001</v>
      </c>
      <c r="AC757" s="3">
        <f t="shared" si="151"/>
        <v>122596.32</v>
      </c>
      <c r="AD757" s="3">
        <f t="shared" si="152"/>
        <v>60900.12</v>
      </c>
      <c r="AE757" s="3">
        <f t="shared" si="153"/>
        <v>27066.720000000001</v>
      </c>
      <c r="AF757" s="3">
        <f>SUM(ecommerce_sales_all_data[[#This Row],[revenue_month_1]:[revenue_month_12]])</f>
        <v>1601314.9200000002</v>
      </c>
    </row>
    <row r="758" spans="1:32" x14ac:dyDescent="0.3">
      <c r="A758">
        <v>757</v>
      </c>
      <c r="B758" t="s">
        <v>781</v>
      </c>
      <c r="C758" t="s">
        <v>35</v>
      </c>
      <c r="D758" s="2">
        <v>311.94</v>
      </c>
      <c r="E758">
        <v>4.8</v>
      </c>
      <c r="F758">
        <v>679</v>
      </c>
      <c r="G758" s="1">
        <v>862</v>
      </c>
      <c r="H758" s="1">
        <v>252</v>
      </c>
      <c r="I758" s="1">
        <v>979</v>
      </c>
      <c r="J758" s="1">
        <v>174</v>
      </c>
      <c r="K758" s="1">
        <v>642</v>
      </c>
      <c r="L758" s="1">
        <v>137</v>
      </c>
      <c r="M758" s="1">
        <v>832</v>
      </c>
      <c r="N758" s="1">
        <v>995</v>
      </c>
      <c r="O758" s="1">
        <v>865</v>
      </c>
      <c r="P758" s="1">
        <v>774</v>
      </c>
      <c r="Q758" s="1">
        <v>248</v>
      </c>
      <c r="R758" s="1">
        <v>235</v>
      </c>
      <c r="S758" s="1">
        <f>SUM(ecommerce_sales_all_data[[#This Row],[sales_month_1]:[sales_month_12]])</f>
        <v>6995</v>
      </c>
      <c r="T758" s="3">
        <f t="shared" si="142"/>
        <v>268892.27999999997</v>
      </c>
      <c r="U758" s="3">
        <f t="shared" si="143"/>
        <v>78608.88</v>
      </c>
      <c r="V758" s="3">
        <f t="shared" si="144"/>
        <v>305389.26</v>
      </c>
      <c r="W758" s="3">
        <f t="shared" si="145"/>
        <v>54277.56</v>
      </c>
      <c r="X758" s="3">
        <f t="shared" si="146"/>
        <v>200265.48</v>
      </c>
      <c r="Y758" s="3">
        <f t="shared" si="147"/>
        <v>42735.78</v>
      </c>
      <c r="Z758" s="3">
        <f t="shared" si="148"/>
        <v>259534.07999999999</v>
      </c>
      <c r="AA758" s="3">
        <f t="shared" si="149"/>
        <v>310380.3</v>
      </c>
      <c r="AB758" s="3">
        <f t="shared" si="150"/>
        <v>269828.09999999998</v>
      </c>
      <c r="AC758" s="3">
        <f t="shared" si="151"/>
        <v>241441.56</v>
      </c>
      <c r="AD758" s="3">
        <f t="shared" si="152"/>
        <v>77361.119999999995</v>
      </c>
      <c r="AE758" s="3">
        <f t="shared" si="153"/>
        <v>73305.899999999994</v>
      </c>
      <c r="AF758" s="3">
        <f>SUM(ecommerce_sales_all_data[[#This Row],[revenue_month_1]:[revenue_month_12]])</f>
        <v>2182020.3000000003</v>
      </c>
    </row>
    <row r="759" spans="1:32" x14ac:dyDescent="0.3">
      <c r="A759">
        <v>758</v>
      </c>
      <c r="B759" t="s">
        <v>782</v>
      </c>
      <c r="C759" t="s">
        <v>29</v>
      </c>
      <c r="D759" s="2">
        <v>269.06</v>
      </c>
      <c r="E759">
        <v>3</v>
      </c>
      <c r="F759">
        <v>290</v>
      </c>
      <c r="G759" s="1">
        <v>253</v>
      </c>
      <c r="H759" s="1">
        <v>780</v>
      </c>
      <c r="I759" s="1">
        <v>149</v>
      </c>
      <c r="J759" s="1">
        <v>830</v>
      </c>
      <c r="K759" s="1">
        <v>874</v>
      </c>
      <c r="L759" s="1">
        <v>230</v>
      </c>
      <c r="M759" s="1">
        <v>404</v>
      </c>
      <c r="N759" s="1">
        <v>356</v>
      </c>
      <c r="O759" s="1">
        <v>824</v>
      </c>
      <c r="P759" s="1">
        <v>96</v>
      </c>
      <c r="Q759" s="1">
        <v>278</v>
      </c>
      <c r="R759" s="1">
        <v>559</v>
      </c>
      <c r="S759" s="1">
        <f>SUM(ecommerce_sales_all_data[[#This Row],[sales_month_1]:[sales_month_12]])</f>
        <v>5633</v>
      </c>
      <c r="T759" s="3">
        <f t="shared" si="142"/>
        <v>68072.180000000008</v>
      </c>
      <c r="U759" s="3">
        <f t="shared" si="143"/>
        <v>209866.8</v>
      </c>
      <c r="V759" s="3">
        <f t="shared" si="144"/>
        <v>40089.94</v>
      </c>
      <c r="W759" s="3">
        <f t="shared" si="145"/>
        <v>223319.8</v>
      </c>
      <c r="X759" s="3">
        <f t="shared" si="146"/>
        <v>235158.44</v>
      </c>
      <c r="Y759" s="3">
        <f t="shared" si="147"/>
        <v>61883.8</v>
      </c>
      <c r="Z759" s="3">
        <f t="shared" si="148"/>
        <v>108700.24</v>
      </c>
      <c r="AA759" s="3">
        <f t="shared" si="149"/>
        <v>95785.36</v>
      </c>
      <c r="AB759" s="3">
        <f t="shared" si="150"/>
        <v>221705.44</v>
      </c>
      <c r="AC759" s="3">
        <f t="shared" si="151"/>
        <v>25829.760000000002</v>
      </c>
      <c r="AD759" s="3">
        <f t="shared" si="152"/>
        <v>74798.680000000008</v>
      </c>
      <c r="AE759" s="3">
        <f t="shared" si="153"/>
        <v>150404.54</v>
      </c>
      <c r="AF759" s="3">
        <f>SUM(ecommerce_sales_all_data[[#This Row],[revenue_month_1]:[revenue_month_12]])</f>
        <v>1515614.98</v>
      </c>
    </row>
    <row r="760" spans="1:32" x14ac:dyDescent="0.3">
      <c r="A760">
        <v>759</v>
      </c>
      <c r="B760" t="s">
        <v>783</v>
      </c>
      <c r="C760" t="s">
        <v>29</v>
      </c>
      <c r="D760" s="2">
        <v>447.48</v>
      </c>
      <c r="E760">
        <v>1.4</v>
      </c>
      <c r="F760">
        <v>440</v>
      </c>
      <c r="G760" s="1">
        <v>180</v>
      </c>
      <c r="H760" s="1">
        <v>880</v>
      </c>
      <c r="I760" s="1">
        <v>879</v>
      </c>
      <c r="J760" s="1">
        <v>587</v>
      </c>
      <c r="K760" s="1">
        <v>48</v>
      </c>
      <c r="L760" s="1">
        <v>599</v>
      </c>
      <c r="M760" s="1">
        <v>282</v>
      </c>
      <c r="N760" s="1">
        <v>656</v>
      </c>
      <c r="O760" s="1">
        <v>342</v>
      </c>
      <c r="P760" s="1">
        <v>964</v>
      </c>
      <c r="Q760" s="1">
        <v>439</v>
      </c>
      <c r="R760" s="1">
        <v>380</v>
      </c>
      <c r="S760" s="1">
        <f>SUM(ecommerce_sales_all_data[[#This Row],[sales_month_1]:[sales_month_12]])</f>
        <v>6236</v>
      </c>
      <c r="T760" s="3">
        <f t="shared" si="142"/>
        <v>80546.400000000009</v>
      </c>
      <c r="U760" s="3">
        <f t="shared" si="143"/>
        <v>393782.4</v>
      </c>
      <c r="V760" s="3">
        <f t="shared" si="144"/>
        <v>393334.92000000004</v>
      </c>
      <c r="W760" s="3">
        <f t="shared" si="145"/>
        <v>262670.76</v>
      </c>
      <c r="X760" s="3">
        <f t="shared" si="146"/>
        <v>21479.040000000001</v>
      </c>
      <c r="Y760" s="3">
        <f t="shared" si="147"/>
        <v>268040.52</v>
      </c>
      <c r="Z760" s="3">
        <f t="shared" si="148"/>
        <v>126189.36</v>
      </c>
      <c r="AA760" s="3">
        <f t="shared" si="149"/>
        <v>293546.88</v>
      </c>
      <c r="AB760" s="3">
        <f t="shared" si="150"/>
        <v>153038.16</v>
      </c>
      <c r="AC760" s="3">
        <f t="shared" si="151"/>
        <v>431370.72000000003</v>
      </c>
      <c r="AD760" s="3">
        <f t="shared" si="152"/>
        <v>196443.72</v>
      </c>
      <c r="AE760" s="3">
        <f t="shared" si="153"/>
        <v>170042.4</v>
      </c>
      <c r="AF760" s="3">
        <f>SUM(ecommerce_sales_all_data[[#This Row],[revenue_month_1]:[revenue_month_12]])</f>
        <v>2790485.2800000003</v>
      </c>
    </row>
    <row r="761" spans="1:32" x14ac:dyDescent="0.3">
      <c r="A761">
        <v>760</v>
      </c>
      <c r="B761" t="s">
        <v>784</v>
      </c>
      <c r="C761" t="s">
        <v>23</v>
      </c>
      <c r="D761" s="2">
        <v>395.36</v>
      </c>
      <c r="E761">
        <v>3.2</v>
      </c>
      <c r="F761">
        <v>668</v>
      </c>
      <c r="G761" s="1">
        <v>829</v>
      </c>
      <c r="H761" s="1">
        <v>802</v>
      </c>
      <c r="I761" s="1">
        <v>758</v>
      </c>
      <c r="J761" s="1">
        <v>494</v>
      </c>
      <c r="K761" s="1">
        <v>566</v>
      </c>
      <c r="L761" s="1">
        <v>528</v>
      </c>
      <c r="M761" s="1">
        <v>361</v>
      </c>
      <c r="N761" s="1">
        <v>743</v>
      </c>
      <c r="O761" s="1">
        <v>132</v>
      </c>
      <c r="P761" s="1">
        <v>112</v>
      </c>
      <c r="Q761" s="1">
        <v>947</v>
      </c>
      <c r="R761" s="1">
        <v>56</v>
      </c>
      <c r="S761" s="1">
        <f>SUM(ecommerce_sales_all_data[[#This Row],[sales_month_1]:[sales_month_12]])</f>
        <v>6328</v>
      </c>
      <c r="T761" s="3">
        <f t="shared" si="142"/>
        <v>327753.44</v>
      </c>
      <c r="U761" s="3">
        <f t="shared" si="143"/>
        <v>317078.72000000003</v>
      </c>
      <c r="V761" s="3">
        <f t="shared" si="144"/>
        <v>299682.88</v>
      </c>
      <c r="W761" s="3">
        <f t="shared" si="145"/>
        <v>195307.84</v>
      </c>
      <c r="X761" s="3">
        <f t="shared" si="146"/>
        <v>223773.76</v>
      </c>
      <c r="Y761" s="3">
        <f t="shared" si="147"/>
        <v>208750.08000000002</v>
      </c>
      <c r="Z761" s="3">
        <f t="shared" si="148"/>
        <v>142724.96</v>
      </c>
      <c r="AA761" s="3">
        <f t="shared" si="149"/>
        <v>293752.48</v>
      </c>
      <c r="AB761" s="3">
        <f t="shared" si="150"/>
        <v>52187.520000000004</v>
      </c>
      <c r="AC761" s="3">
        <f t="shared" si="151"/>
        <v>44280.32</v>
      </c>
      <c r="AD761" s="3">
        <f t="shared" si="152"/>
        <v>374405.92000000004</v>
      </c>
      <c r="AE761" s="3">
        <f t="shared" si="153"/>
        <v>22140.16</v>
      </c>
      <c r="AF761" s="3">
        <f>SUM(ecommerce_sales_all_data[[#This Row],[revenue_month_1]:[revenue_month_12]])</f>
        <v>2501838.08</v>
      </c>
    </row>
    <row r="762" spans="1:32" x14ac:dyDescent="0.3">
      <c r="A762">
        <v>761</v>
      </c>
      <c r="B762" t="s">
        <v>785</v>
      </c>
      <c r="C762" t="s">
        <v>35</v>
      </c>
      <c r="D762" s="2">
        <v>80.08</v>
      </c>
      <c r="E762">
        <v>2.8</v>
      </c>
      <c r="F762">
        <v>933</v>
      </c>
      <c r="G762" s="1">
        <v>680</v>
      </c>
      <c r="H762" s="1">
        <v>458</v>
      </c>
      <c r="I762" s="1">
        <v>778</v>
      </c>
      <c r="J762" s="1">
        <v>972</v>
      </c>
      <c r="K762" s="1">
        <v>665</v>
      </c>
      <c r="L762" s="1">
        <v>51</v>
      </c>
      <c r="M762" s="1">
        <v>378</v>
      </c>
      <c r="N762" s="1">
        <v>871</v>
      </c>
      <c r="O762" s="1">
        <v>54</v>
      </c>
      <c r="P762" s="1">
        <v>987</v>
      </c>
      <c r="Q762" s="1">
        <v>815</v>
      </c>
      <c r="R762" s="1">
        <v>276</v>
      </c>
      <c r="S762" s="1">
        <f>SUM(ecommerce_sales_all_data[[#This Row],[sales_month_1]:[sales_month_12]])</f>
        <v>6985</v>
      </c>
      <c r="T762" s="3">
        <f t="shared" si="142"/>
        <v>54454.400000000001</v>
      </c>
      <c r="U762" s="3">
        <f t="shared" si="143"/>
        <v>36676.639999999999</v>
      </c>
      <c r="V762" s="3">
        <f t="shared" si="144"/>
        <v>62302.239999999998</v>
      </c>
      <c r="W762" s="3">
        <f t="shared" si="145"/>
        <v>77837.759999999995</v>
      </c>
      <c r="X762" s="3">
        <f t="shared" si="146"/>
        <v>53253.2</v>
      </c>
      <c r="Y762" s="3">
        <f t="shared" si="147"/>
        <v>4084.08</v>
      </c>
      <c r="Z762" s="3">
        <f t="shared" si="148"/>
        <v>30270.239999999998</v>
      </c>
      <c r="AA762" s="3">
        <f t="shared" si="149"/>
        <v>69749.679999999993</v>
      </c>
      <c r="AB762" s="3">
        <f t="shared" si="150"/>
        <v>4324.32</v>
      </c>
      <c r="AC762" s="3">
        <f t="shared" si="151"/>
        <v>79038.959999999992</v>
      </c>
      <c r="AD762" s="3">
        <f t="shared" si="152"/>
        <v>65265.2</v>
      </c>
      <c r="AE762" s="3">
        <f t="shared" si="153"/>
        <v>22102.079999999998</v>
      </c>
      <c r="AF762" s="3">
        <f>SUM(ecommerce_sales_all_data[[#This Row],[revenue_month_1]:[revenue_month_12]])</f>
        <v>559358.79999999993</v>
      </c>
    </row>
    <row r="763" spans="1:32" x14ac:dyDescent="0.3">
      <c r="A763">
        <v>762</v>
      </c>
      <c r="B763" t="s">
        <v>786</v>
      </c>
      <c r="C763" t="s">
        <v>48</v>
      </c>
      <c r="D763" s="2">
        <v>159.30000000000001</v>
      </c>
      <c r="E763">
        <v>4.4000000000000004</v>
      </c>
      <c r="F763">
        <v>7</v>
      </c>
      <c r="G763" s="1">
        <v>824</v>
      </c>
      <c r="H763" s="1">
        <v>698</v>
      </c>
      <c r="I763" s="1">
        <v>972</v>
      </c>
      <c r="J763" s="1">
        <v>113</v>
      </c>
      <c r="K763" s="1">
        <v>354</v>
      </c>
      <c r="L763" s="1">
        <v>645</v>
      </c>
      <c r="M763" s="1">
        <v>197</v>
      </c>
      <c r="N763" s="1">
        <v>949</v>
      </c>
      <c r="O763" s="1">
        <v>60</v>
      </c>
      <c r="P763" s="1">
        <v>636</v>
      </c>
      <c r="Q763" s="1">
        <v>275</v>
      </c>
      <c r="R763" s="1">
        <v>849</v>
      </c>
      <c r="S763" s="1">
        <f>SUM(ecommerce_sales_all_data[[#This Row],[sales_month_1]:[sales_month_12]])</f>
        <v>6572</v>
      </c>
      <c r="T763" s="3">
        <f t="shared" si="142"/>
        <v>131263.20000000001</v>
      </c>
      <c r="U763" s="3">
        <f t="shared" si="143"/>
        <v>111191.40000000001</v>
      </c>
      <c r="V763" s="3">
        <f t="shared" si="144"/>
        <v>154839.6</v>
      </c>
      <c r="W763" s="3">
        <f t="shared" si="145"/>
        <v>18000.900000000001</v>
      </c>
      <c r="X763" s="3">
        <f t="shared" si="146"/>
        <v>56392.200000000004</v>
      </c>
      <c r="Y763" s="3">
        <f t="shared" si="147"/>
        <v>102748.50000000001</v>
      </c>
      <c r="Z763" s="3">
        <f t="shared" si="148"/>
        <v>31382.100000000002</v>
      </c>
      <c r="AA763" s="3">
        <f t="shared" si="149"/>
        <v>151175.70000000001</v>
      </c>
      <c r="AB763" s="3">
        <f t="shared" si="150"/>
        <v>9558</v>
      </c>
      <c r="AC763" s="3">
        <f t="shared" si="151"/>
        <v>101314.8</v>
      </c>
      <c r="AD763" s="3">
        <f t="shared" si="152"/>
        <v>43807.5</v>
      </c>
      <c r="AE763" s="3">
        <f t="shared" si="153"/>
        <v>135245.70000000001</v>
      </c>
      <c r="AF763" s="3">
        <f>SUM(ecommerce_sales_all_data[[#This Row],[revenue_month_1]:[revenue_month_12]])</f>
        <v>1046919.6000000001</v>
      </c>
    </row>
    <row r="764" spans="1:32" x14ac:dyDescent="0.3">
      <c r="A764">
        <v>763</v>
      </c>
      <c r="B764" t="s">
        <v>787</v>
      </c>
      <c r="C764" t="s">
        <v>23</v>
      </c>
      <c r="D764" s="2">
        <v>128</v>
      </c>
      <c r="E764">
        <v>1.4</v>
      </c>
      <c r="F764">
        <v>196</v>
      </c>
      <c r="G764" s="1">
        <v>508</v>
      </c>
      <c r="H764" s="1">
        <v>916</v>
      </c>
      <c r="I764" s="1">
        <v>762</v>
      </c>
      <c r="J764" s="1">
        <v>110</v>
      </c>
      <c r="K764" s="1">
        <v>711</v>
      </c>
      <c r="L764" s="1">
        <v>722</v>
      </c>
      <c r="M764" s="1">
        <v>555</v>
      </c>
      <c r="N764" s="1">
        <v>203</v>
      </c>
      <c r="O764" s="1">
        <v>856</v>
      </c>
      <c r="P764" s="1">
        <v>455</v>
      </c>
      <c r="Q764" s="1">
        <v>513</v>
      </c>
      <c r="R764" s="1">
        <v>98</v>
      </c>
      <c r="S764" s="1">
        <f>SUM(ecommerce_sales_all_data[[#This Row],[sales_month_1]:[sales_month_12]])</f>
        <v>6409</v>
      </c>
      <c r="T764" s="3">
        <f t="shared" si="142"/>
        <v>65024</v>
      </c>
      <c r="U764" s="3">
        <f t="shared" si="143"/>
        <v>117248</v>
      </c>
      <c r="V764" s="3">
        <f t="shared" si="144"/>
        <v>97536</v>
      </c>
      <c r="W764" s="3">
        <f t="shared" si="145"/>
        <v>14080</v>
      </c>
      <c r="X764" s="3">
        <f t="shared" si="146"/>
        <v>91008</v>
      </c>
      <c r="Y764" s="3">
        <f t="shared" si="147"/>
        <v>92416</v>
      </c>
      <c r="Z764" s="3">
        <f t="shared" si="148"/>
        <v>71040</v>
      </c>
      <c r="AA764" s="3">
        <f t="shared" si="149"/>
        <v>25984</v>
      </c>
      <c r="AB764" s="3">
        <f t="shared" si="150"/>
        <v>109568</v>
      </c>
      <c r="AC764" s="3">
        <f t="shared" si="151"/>
        <v>58240</v>
      </c>
      <c r="AD764" s="3">
        <f t="shared" si="152"/>
        <v>65664</v>
      </c>
      <c r="AE764" s="3">
        <f t="shared" si="153"/>
        <v>12544</v>
      </c>
      <c r="AF764" s="3">
        <f>SUM(ecommerce_sales_all_data[[#This Row],[revenue_month_1]:[revenue_month_12]])</f>
        <v>820352</v>
      </c>
    </row>
    <row r="765" spans="1:32" x14ac:dyDescent="0.3">
      <c r="A765">
        <v>764</v>
      </c>
      <c r="B765" t="s">
        <v>788</v>
      </c>
      <c r="C765" t="s">
        <v>19</v>
      </c>
      <c r="D765" s="2">
        <v>373.25</v>
      </c>
      <c r="E765">
        <v>3</v>
      </c>
      <c r="F765">
        <v>421</v>
      </c>
      <c r="G765" s="1">
        <v>760</v>
      </c>
      <c r="H765" s="1">
        <v>498</v>
      </c>
      <c r="I765" s="1">
        <v>514</v>
      </c>
      <c r="J765" s="1">
        <v>760</v>
      </c>
      <c r="K765" s="1">
        <v>307</v>
      </c>
      <c r="L765" s="1">
        <v>324</v>
      </c>
      <c r="M765" s="1">
        <v>355</v>
      </c>
      <c r="N765" s="1">
        <v>212</v>
      </c>
      <c r="O765" s="1">
        <v>519</v>
      </c>
      <c r="P765" s="1">
        <v>462</v>
      </c>
      <c r="Q765" s="1">
        <v>87</v>
      </c>
      <c r="R765" s="1">
        <v>915</v>
      </c>
      <c r="S765" s="1">
        <f>SUM(ecommerce_sales_all_data[[#This Row],[sales_month_1]:[sales_month_12]])</f>
        <v>5713</v>
      </c>
      <c r="T765" s="3">
        <f t="shared" si="142"/>
        <v>283670</v>
      </c>
      <c r="U765" s="3">
        <f t="shared" si="143"/>
        <v>185878.5</v>
      </c>
      <c r="V765" s="3">
        <f t="shared" si="144"/>
        <v>191850.5</v>
      </c>
      <c r="W765" s="3">
        <f t="shared" si="145"/>
        <v>283670</v>
      </c>
      <c r="X765" s="3">
        <f t="shared" si="146"/>
        <v>114587.75</v>
      </c>
      <c r="Y765" s="3">
        <f t="shared" si="147"/>
        <v>120933</v>
      </c>
      <c r="Z765" s="3">
        <f t="shared" si="148"/>
        <v>132503.75</v>
      </c>
      <c r="AA765" s="3">
        <f t="shared" si="149"/>
        <v>79129</v>
      </c>
      <c r="AB765" s="3">
        <f t="shared" si="150"/>
        <v>193716.75</v>
      </c>
      <c r="AC765" s="3">
        <f t="shared" si="151"/>
        <v>172441.5</v>
      </c>
      <c r="AD765" s="3">
        <f t="shared" si="152"/>
        <v>32472.75</v>
      </c>
      <c r="AE765" s="3">
        <f t="shared" si="153"/>
        <v>341523.75</v>
      </c>
      <c r="AF765" s="3">
        <f>SUM(ecommerce_sales_all_data[[#This Row],[revenue_month_1]:[revenue_month_12]])</f>
        <v>2132377.25</v>
      </c>
    </row>
    <row r="766" spans="1:32" x14ac:dyDescent="0.3">
      <c r="A766">
        <v>765</v>
      </c>
      <c r="B766" t="s">
        <v>789</v>
      </c>
      <c r="C766" t="s">
        <v>21</v>
      </c>
      <c r="D766" s="2">
        <v>21.6</v>
      </c>
      <c r="E766">
        <v>1.6</v>
      </c>
      <c r="F766">
        <v>568</v>
      </c>
      <c r="G766" s="1">
        <v>699</v>
      </c>
      <c r="H766" s="1">
        <v>949</v>
      </c>
      <c r="I766" s="1">
        <v>392</v>
      </c>
      <c r="J766" s="1">
        <v>438</v>
      </c>
      <c r="K766" s="1">
        <v>867</v>
      </c>
      <c r="L766" s="1">
        <v>991</v>
      </c>
      <c r="M766" s="1">
        <v>539</v>
      </c>
      <c r="N766" s="1">
        <v>551</v>
      </c>
      <c r="O766" s="1">
        <v>271</v>
      </c>
      <c r="P766" s="1">
        <v>947</v>
      </c>
      <c r="Q766" s="1">
        <v>798</v>
      </c>
      <c r="R766" s="1">
        <v>526</v>
      </c>
      <c r="S766" s="1">
        <f>SUM(ecommerce_sales_all_data[[#This Row],[sales_month_1]:[sales_month_12]])</f>
        <v>7968</v>
      </c>
      <c r="T766" s="3">
        <f t="shared" si="142"/>
        <v>15098.400000000001</v>
      </c>
      <c r="U766" s="3">
        <f t="shared" si="143"/>
        <v>20498.400000000001</v>
      </c>
      <c r="V766" s="3">
        <f t="shared" si="144"/>
        <v>8467.2000000000007</v>
      </c>
      <c r="W766" s="3">
        <f t="shared" si="145"/>
        <v>9460.8000000000011</v>
      </c>
      <c r="X766" s="3">
        <f t="shared" si="146"/>
        <v>18727.2</v>
      </c>
      <c r="Y766" s="3">
        <f t="shared" si="147"/>
        <v>21405.600000000002</v>
      </c>
      <c r="Z766" s="3">
        <f t="shared" si="148"/>
        <v>11642.400000000001</v>
      </c>
      <c r="AA766" s="3">
        <f t="shared" si="149"/>
        <v>11901.6</v>
      </c>
      <c r="AB766" s="3">
        <f t="shared" si="150"/>
        <v>5853.6</v>
      </c>
      <c r="AC766" s="3">
        <f t="shared" si="151"/>
        <v>20455.2</v>
      </c>
      <c r="AD766" s="3">
        <f t="shared" si="152"/>
        <v>17236.800000000003</v>
      </c>
      <c r="AE766" s="3">
        <f t="shared" si="153"/>
        <v>11361.6</v>
      </c>
      <c r="AF766" s="3">
        <f>SUM(ecommerce_sales_all_data[[#This Row],[revenue_month_1]:[revenue_month_12]])</f>
        <v>172108.80000000002</v>
      </c>
    </row>
    <row r="767" spans="1:32" x14ac:dyDescent="0.3">
      <c r="A767">
        <v>766</v>
      </c>
      <c r="B767" t="s">
        <v>790</v>
      </c>
      <c r="C767" t="s">
        <v>29</v>
      </c>
      <c r="D767" s="2">
        <v>287.10000000000002</v>
      </c>
      <c r="E767">
        <v>2.2999999999999998</v>
      </c>
      <c r="F767">
        <v>833</v>
      </c>
      <c r="G767" s="1">
        <v>565</v>
      </c>
      <c r="H767" s="1">
        <v>970</v>
      </c>
      <c r="I767" s="1">
        <v>315</v>
      </c>
      <c r="J767" s="1">
        <v>714</v>
      </c>
      <c r="K767" s="1">
        <v>884</v>
      </c>
      <c r="L767" s="1">
        <v>969</v>
      </c>
      <c r="M767" s="1">
        <v>428</v>
      </c>
      <c r="N767" s="1">
        <v>786</v>
      </c>
      <c r="O767" s="1">
        <v>245</v>
      </c>
      <c r="P767" s="1">
        <v>131</v>
      </c>
      <c r="Q767" s="1">
        <v>922</v>
      </c>
      <c r="R767" s="1">
        <v>324</v>
      </c>
      <c r="S767" s="1">
        <f>SUM(ecommerce_sales_all_data[[#This Row],[sales_month_1]:[sales_month_12]])</f>
        <v>7253</v>
      </c>
      <c r="T767" s="3">
        <f t="shared" si="142"/>
        <v>162211.5</v>
      </c>
      <c r="U767" s="3">
        <f t="shared" si="143"/>
        <v>278487</v>
      </c>
      <c r="V767" s="3">
        <f t="shared" si="144"/>
        <v>90436.5</v>
      </c>
      <c r="W767" s="3">
        <f t="shared" si="145"/>
        <v>204989.40000000002</v>
      </c>
      <c r="X767" s="3">
        <f t="shared" si="146"/>
        <v>253796.40000000002</v>
      </c>
      <c r="Y767" s="3">
        <f t="shared" si="147"/>
        <v>278199.90000000002</v>
      </c>
      <c r="Z767" s="3">
        <f t="shared" si="148"/>
        <v>122878.8</v>
      </c>
      <c r="AA767" s="3">
        <f t="shared" si="149"/>
        <v>225660.6</v>
      </c>
      <c r="AB767" s="3">
        <f t="shared" si="150"/>
        <v>70339.5</v>
      </c>
      <c r="AC767" s="3">
        <f t="shared" si="151"/>
        <v>37610.100000000006</v>
      </c>
      <c r="AD767" s="3">
        <f t="shared" si="152"/>
        <v>264706.2</v>
      </c>
      <c r="AE767" s="3">
        <f t="shared" si="153"/>
        <v>93020.400000000009</v>
      </c>
      <c r="AF767" s="3">
        <f>SUM(ecommerce_sales_all_data[[#This Row],[revenue_month_1]:[revenue_month_12]])</f>
        <v>2082336.3000000003</v>
      </c>
    </row>
    <row r="768" spans="1:32" x14ac:dyDescent="0.3">
      <c r="A768">
        <v>767</v>
      </c>
      <c r="B768" t="s">
        <v>791</v>
      </c>
      <c r="C768" t="s">
        <v>35</v>
      </c>
      <c r="D768" s="2">
        <v>382.42</v>
      </c>
      <c r="E768">
        <v>3.9</v>
      </c>
      <c r="F768">
        <v>193</v>
      </c>
      <c r="G768" s="1">
        <v>325</v>
      </c>
      <c r="H768" s="1">
        <v>925</v>
      </c>
      <c r="I768" s="1">
        <v>75</v>
      </c>
      <c r="J768" s="1">
        <v>146</v>
      </c>
      <c r="K768" s="1">
        <v>629</v>
      </c>
      <c r="L768" s="1">
        <v>904</v>
      </c>
      <c r="M768" s="1">
        <v>16</v>
      </c>
      <c r="N768" s="1">
        <v>322</v>
      </c>
      <c r="O768" s="1">
        <v>175</v>
      </c>
      <c r="P768" s="1">
        <v>929</v>
      </c>
      <c r="Q768" s="1">
        <v>641</v>
      </c>
      <c r="R768" s="1">
        <v>460</v>
      </c>
      <c r="S768" s="1">
        <f>SUM(ecommerce_sales_all_data[[#This Row],[sales_month_1]:[sales_month_12]])</f>
        <v>5547</v>
      </c>
      <c r="T768" s="3">
        <f t="shared" si="142"/>
        <v>124286.5</v>
      </c>
      <c r="U768" s="3">
        <f t="shared" si="143"/>
        <v>353738.5</v>
      </c>
      <c r="V768" s="3">
        <f t="shared" si="144"/>
        <v>28681.5</v>
      </c>
      <c r="W768" s="3">
        <f t="shared" si="145"/>
        <v>55833.32</v>
      </c>
      <c r="X768" s="3">
        <f t="shared" si="146"/>
        <v>240542.18000000002</v>
      </c>
      <c r="Y768" s="3">
        <f t="shared" si="147"/>
        <v>345707.68</v>
      </c>
      <c r="Z768" s="3">
        <f t="shared" si="148"/>
        <v>6118.72</v>
      </c>
      <c r="AA768" s="3">
        <f t="shared" si="149"/>
        <v>123139.24</v>
      </c>
      <c r="AB768" s="3">
        <f t="shared" si="150"/>
        <v>66923.5</v>
      </c>
      <c r="AC768" s="3">
        <f t="shared" si="151"/>
        <v>355268.18</v>
      </c>
      <c r="AD768" s="3">
        <f t="shared" si="152"/>
        <v>245131.22</v>
      </c>
      <c r="AE768" s="3">
        <f t="shared" si="153"/>
        <v>175913.2</v>
      </c>
      <c r="AF768" s="3">
        <f>SUM(ecommerce_sales_all_data[[#This Row],[revenue_month_1]:[revenue_month_12]])</f>
        <v>2121283.7399999998</v>
      </c>
    </row>
    <row r="769" spans="1:32" x14ac:dyDescent="0.3">
      <c r="A769">
        <v>768</v>
      </c>
      <c r="B769" t="s">
        <v>792</v>
      </c>
      <c r="C769" t="s">
        <v>19</v>
      </c>
      <c r="D769" s="2">
        <v>439</v>
      </c>
      <c r="E769">
        <v>2.9</v>
      </c>
      <c r="F769">
        <v>559</v>
      </c>
      <c r="G769" s="1">
        <v>356</v>
      </c>
      <c r="H769" s="1">
        <v>507</v>
      </c>
      <c r="I769" s="1">
        <v>598</v>
      </c>
      <c r="J769" s="1">
        <v>34</v>
      </c>
      <c r="K769" s="1">
        <v>774</v>
      </c>
      <c r="L769" s="1">
        <v>730</v>
      </c>
      <c r="M769" s="1">
        <v>638</v>
      </c>
      <c r="N769" s="1">
        <v>593</v>
      </c>
      <c r="O769" s="1">
        <v>627</v>
      </c>
      <c r="P769" s="1">
        <v>964</v>
      </c>
      <c r="Q769" s="1">
        <v>504</v>
      </c>
      <c r="R769" s="1">
        <v>178</v>
      </c>
      <c r="S769" s="1">
        <f>SUM(ecommerce_sales_all_data[[#This Row],[sales_month_1]:[sales_month_12]])</f>
        <v>6503</v>
      </c>
      <c r="T769" s="3">
        <f t="shared" si="142"/>
        <v>156284</v>
      </c>
      <c r="U769" s="3">
        <f t="shared" si="143"/>
        <v>222573</v>
      </c>
      <c r="V769" s="3">
        <f t="shared" si="144"/>
        <v>262522</v>
      </c>
      <c r="W769" s="3">
        <f t="shared" si="145"/>
        <v>14926</v>
      </c>
      <c r="X769" s="3">
        <f t="shared" si="146"/>
        <v>339786</v>
      </c>
      <c r="Y769" s="3">
        <f t="shared" si="147"/>
        <v>320470</v>
      </c>
      <c r="Z769" s="3">
        <f t="shared" si="148"/>
        <v>280082</v>
      </c>
      <c r="AA769" s="3">
        <f t="shared" si="149"/>
        <v>260327</v>
      </c>
      <c r="AB769" s="3">
        <f t="shared" si="150"/>
        <v>275253</v>
      </c>
      <c r="AC769" s="3">
        <f t="shared" si="151"/>
        <v>423196</v>
      </c>
      <c r="AD769" s="3">
        <f t="shared" si="152"/>
        <v>221256</v>
      </c>
      <c r="AE769" s="3">
        <f t="shared" si="153"/>
        <v>78142</v>
      </c>
      <c r="AF769" s="3">
        <f>SUM(ecommerce_sales_all_data[[#This Row],[revenue_month_1]:[revenue_month_12]])</f>
        <v>2854817</v>
      </c>
    </row>
    <row r="770" spans="1:32" x14ac:dyDescent="0.3">
      <c r="A770">
        <v>769</v>
      </c>
      <c r="B770" t="s">
        <v>793</v>
      </c>
      <c r="C770" t="s">
        <v>23</v>
      </c>
      <c r="D770" s="2">
        <v>174.33</v>
      </c>
      <c r="E770">
        <v>2.5</v>
      </c>
      <c r="F770">
        <v>148</v>
      </c>
      <c r="G770" s="1">
        <v>824</v>
      </c>
      <c r="H770" s="1">
        <v>303</v>
      </c>
      <c r="I770" s="1">
        <v>269</v>
      </c>
      <c r="J770" s="1">
        <v>998</v>
      </c>
      <c r="K770" s="1">
        <v>45</v>
      </c>
      <c r="L770" s="1">
        <v>716</v>
      </c>
      <c r="M770" s="1">
        <v>378</v>
      </c>
      <c r="N770" s="1">
        <v>180</v>
      </c>
      <c r="O770" s="1">
        <v>316</v>
      </c>
      <c r="P770" s="1">
        <v>928</v>
      </c>
      <c r="Q770" s="1">
        <v>589</v>
      </c>
      <c r="R770" s="1">
        <v>843</v>
      </c>
      <c r="S770" s="1">
        <f>SUM(ecommerce_sales_all_data[[#This Row],[sales_month_1]:[sales_month_12]])</f>
        <v>6389</v>
      </c>
      <c r="T770" s="3">
        <f t="shared" ref="T770:T833" si="154">G770*$D770</f>
        <v>143647.92000000001</v>
      </c>
      <c r="U770" s="3">
        <f t="shared" ref="U770:U833" si="155">H770*$D770</f>
        <v>52821.990000000005</v>
      </c>
      <c r="V770" s="3">
        <f t="shared" si="144"/>
        <v>46894.770000000004</v>
      </c>
      <c r="W770" s="3">
        <f t="shared" si="145"/>
        <v>173981.34000000003</v>
      </c>
      <c r="X770" s="3">
        <f t="shared" si="146"/>
        <v>7844.85</v>
      </c>
      <c r="Y770" s="3">
        <f t="shared" si="147"/>
        <v>124820.28000000001</v>
      </c>
      <c r="Z770" s="3">
        <f t="shared" si="148"/>
        <v>65896.740000000005</v>
      </c>
      <c r="AA770" s="3">
        <f t="shared" si="149"/>
        <v>31379.4</v>
      </c>
      <c r="AB770" s="3">
        <f t="shared" si="150"/>
        <v>55088.280000000006</v>
      </c>
      <c r="AC770" s="3">
        <f t="shared" si="151"/>
        <v>161778.24000000002</v>
      </c>
      <c r="AD770" s="3">
        <f t="shared" si="152"/>
        <v>102680.37000000001</v>
      </c>
      <c r="AE770" s="3">
        <f t="shared" si="153"/>
        <v>146960.19</v>
      </c>
      <c r="AF770" s="3">
        <f>SUM(ecommerce_sales_all_data[[#This Row],[revenue_month_1]:[revenue_month_12]])</f>
        <v>1113794.3700000001</v>
      </c>
    </row>
    <row r="771" spans="1:32" x14ac:dyDescent="0.3">
      <c r="A771">
        <v>770</v>
      </c>
      <c r="B771" t="s">
        <v>794</v>
      </c>
      <c r="C771" t="s">
        <v>23</v>
      </c>
      <c r="D771" s="2">
        <v>411.52</v>
      </c>
      <c r="E771">
        <v>2.6</v>
      </c>
      <c r="F771">
        <v>787</v>
      </c>
      <c r="G771" s="1">
        <v>649</v>
      </c>
      <c r="H771" s="1">
        <v>500</v>
      </c>
      <c r="I771" s="1">
        <v>224</v>
      </c>
      <c r="J771" s="1">
        <v>308</v>
      </c>
      <c r="K771" s="1">
        <v>301</v>
      </c>
      <c r="L771" s="1">
        <v>722</v>
      </c>
      <c r="M771" s="1">
        <v>679</v>
      </c>
      <c r="N771" s="1">
        <v>498</v>
      </c>
      <c r="O771" s="1">
        <v>782</v>
      </c>
      <c r="P771" s="1">
        <v>120</v>
      </c>
      <c r="Q771" s="1">
        <v>771</v>
      </c>
      <c r="R771" s="1">
        <v>573</v>
      </c>
      <c r="S771" s="1">
        <f>SUM(ecommerce_sales_all_data[[#This Row],[sales_month_1]:[sales_month_12]])</f>
        <v>6127</v>
      </c>
      <c r="T771" s="3">
        <f t="shared" si="154"/>
        <v>267076.47999999998</v>
      </c>
      <c r="U771" s="3">
        <f t="shared" si="155"/>
        <v>205760</v>
      </c>
      <c r="V771" s="3">
        <f t="shared" ref="V771:V834" si="156">I771*$D771</f>
        <v>92180.479999999996</v>
      </c>
      <c r="W771" s="3">
        <f t="shared" ref="W771:W834" si="157">J771*$D771</f>
        <v>126748.15999999999</v>
      </c>
      <c r="X771" s="3">
        <f t="shared" ref="X771:X834" si="158">K771*$D771</f>
        <v>123867.51999999999</v>
      </c>
      <c r="Y771" s="3">
        <f t="shared" ref="Y771:Y834" si="159">L771*$D771</f>
        <v>297117.44</v>
      </c>
      <c r="Z771" s="3">
        <f t="shared" ref="Z771:Z834" si="160">M771*$D771</f>
        <v>279422.08000000002</v>
      </c>
      <c r="AA771" s="3">
        <f t="shared" ref="AA771:AA834" si="161">N771*$D771</f>
        <v>204936.95999999999</v>
      </c>
      <c r="AB771" s="3">
        <f t="shared" ref="AB771:AB834" si="162">O771*$D771</f>
        <v>321808.64000000001</v>
      </c>
      <c r="AC771" s="3">
        <f t="shared" ref="AC771:AC834" si="163">P771*$D771</f>
        <v>49382.399999999994</v>
      </c>
      <c r="AD771" s="3">
        <f t="shared" ref="AD771:AD834" si="164">Q771*$D771</f>
        <v>317281.91999999998</v>
      </c>
      <c r="AE771" s="3">
        <f t="shared" ref="AE771:AE834" si="165">R771*$D771</f>
        <v>235800.95999999999</v>
      </c>
      <c r="AF771" s="3">
        <f>SUM(ecommerce_sales_all_data[[#This Row],[revenue_month_1]:[revenue_month_12]])</f>
        <v>2521383.04</v>
      </c>
    </row>
    <row r="772" spans="1:32" x14ac:dyDescent="0.3">
      <c r="A772">
        <v>771</v>
      </c>
      <c r="B772" t="s">
        <v>795</v>
      </c>
      <c r="C772" t="s">
        <v>29</v>
      </c>
      <c r="D772" s="2">
        <v>59.76</v>
      </c>
      <c r="E772">
        <v>2.8</v>
      </c>
      <c r="F772">
        <v>669</v>
      </c>
      <c r="G772" s="1">
        <v>679</v>
      </c>
      <c r="H772" s="1">
        <v>802</v>
      </c>
      <c r="I772" s="1">
        <v>529</v>
      </c>
      <c r="J772" s="1">
        <v>537</v>
      </c>
      <c r="K772" s="1">
        <v>867</v>
      </c>
      <c r="L772" s="1">
        <v>276</v>
      </c>
      <c r="M772" s="1">
        <v>505</v>
      </c>
      <c r="N772" s="1">
        <v>319</v>
      </c>
      <c r="O772" s="1">
        <v>704</v>
      </c>
      <c r="P772" s="1">
        <v>196</v>
      </c>
      <c r="Q772" s="1">
        <v>240</v>
      </c>
      <c r="R772" s="1">
        <v>118</v>
      </c>
      <c r="S772" s="1">
        <f>SUM(ecommerce_sales_all_data[[#This Row],[sales_month_1]:[sales_month_12]])</f>
        <v>5772</v>
      </c>
      <c r="T772" s="3">
        <f t="shared" si="154"/>
        <v>40577.040000000001</v>
      </c>
      <c r="U772" s="3">
        <f t="shared" si="155"/>
        <v>47927.519999999997</v>
      </c>
      <c r="V772" s="3">
        <f t="shared" si="156"/>
        <v>31613.039999999997</v>
      </c>
      <c r="W772" s="3">
        <f t="shared" si="157"/>
        <v>32091.119999999999</v>
      </c>
      <c r="X772" s="3">
        <f t="shared" si="158"/>
        <v>51811.92</v>
      </c>
      <c r="Y772" s="3">
        <f t="shared" si="159"/>
        <v>16493.759999999998</v>
      </c>
      <c r="Z772" s="3">
        <f t="shared" si="160"/>
        <v>30178.799999999999</v>
      </c>
      <c r="AA772" s="3">
        <f t="shared" si="161"/>
        <v>19063.439999999999</v>
      </c>
      <c r="AB772" s="3">
        <f t="shared" si="162"/>
        <v>42071.040000000001</v>
      </c>
      <c r="AC772" s="3">
        <f t="shared" si="163"/>
        <v>11712.96</v>
      </c>
      <c r="AD772" s="3">
        <f t="shared" si="164"/>
        <v>14342.4</v>
      </c>
      <c r="AE772" s="3">
        <f t="shared" si="165"/>
        <v>7051.6799999999994</v>
      </c>
      <c r="AF772" s="3">
        <f>SUM(ecommerce_sales_all_data[[#This Row],[revenue_month_1]:[revenue_month_12]])</f>
        <v>344934.72000000003</v>
      </c>
    </row>
    <row r="773" spans="1:32" x14ac:dyDescent="0.3">
      <c r="A773">
        <v>772</v>
      </c>
      <c r="B773" t="s">
        <v>796</v>
      </c>
      <c r="C773" t="s">
        <v>23</v>
      </c>
      <c r="D773" s="2">
        <v>423.99</v>
      </c>
      <c r="E773">
        <v>4.0999999999999996</v>
      </c>
      <c r="F773">
        <v>202</v>
      </c>
      <c r="G773" s="1">
        <v>390</v>
      </c>
      <c r="H773" s="1">
        <v>597</v>
      </c>
      <c r="I773" s="1">
        <v>112</v>
      </c>
      <c r="J773" s="1">
        <v>749</v>
      </c>
      <c r="K773" s="1">
        <v>911</v>
      </c>
      <c r="L773" s="1">
        <v>535</v>
      </c>
      <c r="M773" s="1">
        <v>755</v>
      </c>
      <c r="N773" s="1">
        <v>82</v>
      </c>
      <c r="O773" s="1">
        <v>661</v>
      </c>
      <c r="P773" s="1">
        <v>805</v>
      </c>
      <c r="Q773" s="1">
        <v>652</v>
      </c>
      <c r="R773" s="1">
        <v>468</v>
      </c>
      <c r="S773" s="1">
        <f>SUM(ecommerce_sales_all_data[[#This Row],[sales_month_1]:[sales_month_12]])</f>
        <v>6717</v>
      </c>
      <c r="T773" s="3">
        <f t="shared" si="154"/>
        <v>165356.1</v>
      </c>
      <c r="U773" s="3">
        <f t="shared" si="155"/>
        <v>253122.03</v>
      </c>
      <c r="V773" s="3">
        <f t="shared" si="156"/>
        <v>47486.880000000005</v>
      </c>
      <c r="W773" s="3">
        <f t="shared" si="157"/>
        <v>317568.51</v>
      </c>
      <c r="X773" s="3">
        <f t="shared" si="158"/>
        <v>386254.89</v>
      </c>
      <c r="Y773" s="3">
        <f t="shared" si="159"/>
        <v>226834.65</v>
      </c>
      <c r="Z773" s="3">
        <f t="shared" si="160"/>
        <v>320112.45</v>
      </c>
      <c r="AA773" s="3">
        <f t="shared" si="161"/>
        <v>34767.18</v>
      </c>
      <c r="AB773" s="3">
        <f t="shared" si="162"/>
        <v>280257.39</v>
      </c>
      <c r="AC773" s="3">
        <f t="shared" si="163"/>
        <v>341311.95</v>
      </c>
      <c r="AD773" s="3">
        <f t="shared" si="164"/>
        <v>276441.48</v>
      </c>
      <c r="AE773" s="3">
        <f t="shared" si="165"/>
        <v>198427.32</v>
      </c>
      <c r="AF773" s="3">
        <f>SUM(ecommerce_sales_all_data[[#This Row],[revenue_month_1]:[revenue_month_12]])</f>
        <v>2847940.83</v>
      </c>
    </row>
    <row r="774" spans="1:32" x14ac:dyDescent="0.3">
      <c r="A774">
        <v>773</v>
      </c>
      <c r="B774" t="s">
        <v>797</v>
      </c>
      <c r="C774" t="s">
        <v>48</v>
      </c>
      <c r="D774" s="2">
        <v>68.11</v>
      </c>
      <c r="E774">
        <v>4.5999999999999996</v>
      </c>
      <c r="F774">
        <v>444</v>
      </c>
      <c r="G774" s="1">
        <v>614</v>
      </c>
      <c r="H774" s="1">
        <v>165</v>
      </c>
      <c r="I774" s="1">
        <v>250</v>
      </c>
      <c r="J774" s="1">
        <v>13</v>
      </c>
      <c r="K774" s="1">
        <v>407</v>
      </c>
      <c r="L774" s="1">
        <v>485</v>
      </c>
      <c r="M774" s="1">
        <v>898</v>
      </c>
      <c r="N774" s="1">
        <v>302</v>
      </c>
      <c r="O774" s="1">
        <v>130</v>
      </c>
      <c r="P774" s="1">
        <v>481</v>
      </c>
      <c r="Q774" s="1">
        <v>739</v>
      </c>
      <c r="R774" s="1">
        <v>548</v>
      </c>
      <c r="S774" s="1">
        <f>SUM(ecommerce_sales_all_data[[#This Row],[sales_month_1]:[sales_month_12]])</f>
        <v>5032</v>
      </c>
      <c r="T774" s="3">
        <f t="shared" si="154"/>
        <v>41819.54</v>
      </c>
      <c r="U774" s="3">
        <f t="shared" si="155"/>
        <v>11238.15</v>
      </c>
      <c r="V774" s="3">
        <f t="shared" si="156"/>
        <v>17027.5</v>
      </c>
      <c r="W774" s="3">
        <f t="shared" si="157"/>
        <v>885.43</v>
      </c>
      <c r="X774" s="3">
        <f t="shared" si="158"/>
        <v>27720.77</v>
      </c>
      <c r="Y774" s="3">
        <f t="shared" si="159"/>
        <v>33033.35</v>
      </c>
      <c r="Z774" s="3">
        <f t="shared" si="160"/>
        <v>61162.78</v>
      </c>
      <c r="AA774" s="3">
        <f t="shared" si="161"/>
        <v>20569.22</v>
      </c>
      <c r="AB774" s="3">
        <f t="shared" si="162"/>
        <v>8854.2999999999993</v>
      </c>
      <c r="AC774" s="3">
        <f t="shared" si="163"/>
        <v>32760.91</v>
      </c>
      <c r="AD774" s="3">
        <f t="shared" si="164"/>
        <v>50333.29</v>
      </c>
      <c r="AE774" s="3">
        <f t="shared" si="165"/>
        <v>37324.28</v>
      </c>
      <c r="AF774" s="3">
        <f>SUM(ecommerce_sales_all_data[[#This Row],[revenue_month_1]:[revenue_month_12]])</f>
        <v>342729.52</v>
      </c>
    </row>
    <row r="775" spans="1:32" x14ac:dyDescent="0.3">
      <c r="A775">
        <v>774</v>
      </c>
      <c r="B775" t="s">
        <v>798</v>
      </c>
      <c r="C775" t="s">
        <v>23</v>
      </c>
      <c r="D775" s="2">
        <v>201.66</v>
      </c>
      <c r="E775">
        <v>4.8</v>
      </c>
      <c r="F775">
        <v>914</v>
      </c>
      <c r="G775" s="1">
        <v>933</v>
      </c>
      <c r="H775" s="1">
        <v>414</v>
      </c>
      <c r="I775" s="1">
        <v>232</v>
      </c>
      <c r="J775" s="1">
        <v>373</v>
      </c>
      <c r="K775" s="1">
        <v>188</v>
      </c>
      <c r="L775" s="1">
        <v>515</v>
      </c>
      <c r="M775" s="1">
        <v>75</v>
      </c>
      <c r="N775" s="1">
        <v>261</v>
      </c>
      <c r="O775" s="1">
        <v>101</v>
      </c>
      <c r="P775" s="1">
        <v>633</v>
      </c>
      <c r="Q775" s="1">
        <v>674</v>
      </c>
      <c r="R775" s="1">
        <v>645</v>
      </c>
      <c r="S775" s="1">
        <f>SUM(ecommerce_sales_all_data[[#This Row],[sales_month_1]:[sales_month_12]])</f>
        <v>5044</v>
      </c>
      <c r="T775" s="3">
        <f t="shared" si="154"/>
        <v>188148.78</v>
      </c>
      <c r="U775" s="3">
        <f t="shared" si="155"/>
        <v>83487.240000000005</v>
      </c>
      <c r="V775" s="3">
        <f t="shared" si="156"/>
        <v>46785.120000000003</v>
      </c>
      <c r="W775" s="3">
        <f t="shared" si="157"/>
        <v>75219.179999999993</v>
      </c>
      <c r="X775" s="3">
        <f t="shared" si="158"/>
        <v>37912.080000000002</v>
      </c>
      <c r="Y775" s="3">
        <f t="shared" si="159"/>
        <v>103854.9</v>
      </c>
      <c r="Z775" s="3">
        <f t="shared" si="160"/>
        <v>15124.5</v>
      </c>
      <c r="AA775" s="3">
        <f t="shared" si="161"/>
        <v>52633.26</v>
      </c>
      <c r="AB775" s="3">
        <f t="shared" si="162"/>
        <v>20367.66</v>
      </c>
      <c r="AC775" s="3">
        <f t="shared" si="163"/>
        <v>127650.78</v>
      </c>
      <c r="AD775" s="3">
        <f t="shared" si="164"/>
        <v>135918.84</v>
      </c>
      <c r="AE775" s="3">
        <f t="shared" si="165"/>
        <v>130070.7</v>
      </c>
      <c r="AF775" s="3">
        <f>SUM(ecommerce_sales_all_data[[#This Row],[revenue_month_1]:[revenue_month_12]])</f>
        <v>1017173.04</v>
      </c>
    </row>
    <row r="776" spans="1:32" x14ac:dyDescent="0.3">
      <c r="A776">
        <v>775</v>
      </c>
      <c r="B776" t="s">
        <v>799</v>
      </c>
      <c r="C776" t="s">
        <v>26</v>
      </c>
      <c r="D776" s="2">
        <v>399.66</v>
      </c>
      <c r="E776">
        <v>4.0999999999999996</v>
      </c>
      <c r="F776">
        <v>988</v>
      </c>
      <c r="G776" s="1">
        <v>84</v>
      </c>
      <c r="H776" s="1">
        <v>461</v>
      </c>
      <c r="I776" s="1">
        <v>840</v>
      </c>
      <c r="J776" s="1">
        <v>556</v>
      </c>
      <c r="K776" s="1">
        <v>821</v>
      </c>
      <c r="L776" s="1">
        <v>151</v>
      </c>
      <c r="M776" s="1">
        <v>230</v>
      </c>
      <c r="N776" s="1">
        <v>783</v>
      </c>
      <c r="O776" s="1">
        <v>309</v>
      </c>
      <c r="P776" s="1">
        <v>793</v>
      </c>
      <c r="Q776" s="1">
        <v>235</v>
      </c>
      <c r="R776" s="1">
        <v>454</v>
      </c>
      <c r="S776" s="1">
        <f>SUM(ecommerce_sales_all_data[[#This Row],[sales_month_1]:[sales_month_12]])</f>
        <v>5717</v>
      </c>
      <c r="T776" s="3">
        <f t="shared" si="154"/>
        <v>33571.440000000002</v>
      </c>
      <c r="U776" s="3">
        <f t="shared" si="155"/>
        <v>184243.26</v>
      </c>
      <c r="V776" s="3">
        <f t="shared" si="156"/>
        <v>335714.4</v>
      </c>
      <c r="W776" s="3">
        <f t="shared" si="157"/>
        <v>222210.96000000002</v>
      </c>
      <c r="X776" s="3">
        <f t="shared" si="158"/>
        <v>328120.86000000004</v>
      </c>
      <c r="Y776" s="3">
        <f t="shared" si="159"/>
        <v>60348.66</v>
      </c>
      <c r="Z776" s="3">
        <f t="shared" si="160"/>
        <v>91921.8</v>
      </c>
      <c r="AA776" s="3">
        <f t="shared" si="161"/>
        <v>312933.78000000003</v>
      </c>
      <c r="AB776" s="3">
        <f t="shared" si="162"/>
        <v>123494.94</v>
      </c>
      <c r="AC776" s="3">
        <f t="shared" si="163"/>
        <v>316930.38</v>
      </c>
      <c r="AD776" s="3">
        <f t="shared" si="164"/>
        <v>93920.1</v>
      </c>
      <c r="AE776" s="3">
        <f t="shared" si="165"/>
        <v>181445.64</v>
      </c>
      <c r="AF776" s="3">
        <f>SUM(ecommerce_sales_all_data[[#This Row],[revenue_month_1]:[revenue_month_12]])</f>
        <v>2284856.2200000002</v>
      </c>
    </row>
    <row r="777" spans="1:32" x14ac:dyDescent="0.3">
      <c r="A777">
        <v>776</v>
      </c>
      <c r="B777" t="s">
        <v>800</v>
      </c>
      <c r="C777" t="s">
        <v>21</v>
      </c>
      <c r="D777" s="2">
        <v>79.209999999999994</v>
      </c>
      <c r="E777">
        <v>2.2999999999999998</v>
      </c>
      <c r="F777">
        <v>419</v>
      </c>
      <c r="G777" s="1">
        <v>316</v>
      </c>
      <c r="H777" s="1">
        <v>919</v>
      </c>
      <c r="I777" s="1">
        <v>790</v>
      </c>
      <c r="J777" s="1">
        <v>427</v>
      </c>
      <c r="K777" s="1">
        <v>829</v>
      </c>
      <c r="L777" s="1">
        <v>954</v>
      </c>
      <c r="M777" s="1">
        <v>715</v>
      </c>
      <c r="N777" s="1">
        <v>199</v>
      </c>
      <c r="O777" s="1">
        <v>781</v>
      </c>
      <c r="P777" s="1">
        <v>896</v>
      </c>
      <c r="Q777" s="1">
        <v>127</v>
      </c>
      <c r="R777" s="1">
        <v>25</v>
      </c>
      <c r="S777" s="1">
        <f>SUM(ecommerce_sales_all_data[[#This Row],[sales_month_1]:[sales_month_12]])</f>
        <v>6978</v>
      </c>
      <c r="T777" s="3">
        <f t="shared" si="154"/>
        <v>25030.359999999997</v>
      </c>
      <c r="U777" s="3">
        <f t="shared" si="155"/>
        <v>72793.989999999991</v>
      </c>
      <c r="V777" s="3">
        <f t="shared" si="156"/>
        <v>62575.899999999994</v>
      </c>
      <c r="W777" s="3">
        <f t="shared" si="157"/>
        <v>33822.67</v>
      </c>
      <c r="X777" s="3">
        <f t="shared" si="158"/>
        <v>65665.09</v>
      </c>
      <c r="Y777" s="3">
        <f t="shared" si="159"/>
        <v>75566.34</v>
      </c>
      <c r="Z777" s="3">
        <f t="shared" si="160"/>
        <v>56635.149999999994</v>
      </c>
      <c r="AA777" s="3">
        <f t="shared" si="161"/>
        <v>15762.789999999999</v>
      </c>
      <c r="AB777" s="3">
        <f t="shared" si="162"/>
        <v>61863.009999999995</v>
      </c>
      <c r="AC777" s="3">
        <f t="shared" si="163"/>
        <v>70972.159999999989</v>
      </c>
      <c r="AD777" s="3">
        <f t="shared" si="164"/>
        <v>10059.67</v>
      </c>
      <c r="AE777" s="3">
        <f t="shared" si="165"/>
        <v>1980.2499999999998</v>
      </c>
      <c r="AF777" s="3">
        <f>SUM(ecommerce_sales_all_data[[#This Row],[revenue_month_1]:[revenue_month_12]])</f>
        <v>552727.38</v>
      </c>
    </row>
    <row r="778" spans="1:32" x14ac:dyDescent="0.3">
      <c r="A778">
        <v>777</v>
      </c>
      <c r="B778" t="s">
        <v>801</v>
      </c>
      <c r="C778" t="s">
        <v>23</v>
      </c>
      <c r="D778" s="2">
        <v>118.48</v>
      </c>
      <c r="E778">
        <v>3.8</v>
      </c>
      <c r="F778">
        <v>427</v>
      </c>
      <c r="G778" s="1">
        <v>211</v>
      </c>
      <c r="H778" s="1">
        <v>113</v>
      </c>
      <c r="I778" s="1">
        <v>713</v>
      </c>
      <c r="J778" s="1">
        <v>727</v>
      </c>
      <c r="K778" s="1">
        <v>128</v>
      </c>
      <c r="L778" s="1">
        <v>482</v>
      </c>
      <c r="M778" s="1">
        <v>961</v>
      </c>
      <c r="N778" s="1">
        <v>239</v>
      </c>
      <c r="O778" s="1">
        <v>291</v>
      </c>
      <c r="P778" s="1">
        <v>771</v>
      </c>
      <c r="Q778" s="1">
        <v>502</v>
      </c>
      <c r="R778" s="1">
        <v>489</v>
      </c>
      <c r="S778" s="1">
        <f>SUM(ecommerce_sales_all_data[[#This Row],[sales_month_1]:[sales_month_12]])</f>
        <v>5627</v>
      </c>
      <c r="T778" s="3">
        <f t="shared" si="154"/>
        <v>24999.280000000002</v>
      </c>
      <c r="U778" s="3">
        <f t="shared" si="155"/>
        <v>13388.24</v>
      </c>
      <c r="V778" s="3">
        <f t="shared" si="156"/>
        <v>84476.24</v>
      </c>
      <c r="W778" s="3">
        <f t="shared" si="157"/>
        <v>86134.96</v>
      </c>
      <c r="X778" s="3">
        <f t="shared" si="158"/>
        <v>15165.44</v>
      </c>
      <c r="Y778" s="3">
        <f t="shared" si="159"/>
        <v>57107.360000000001</v>
      </c>
      <c r="Z778" s="3">
        <f t="shared" si="160"/>
        <v>113859.28</v>
      </c>
      <c r="AA778" s="3">
        <f t="shared" si="161"/>
        <v>28316.720000000001</v>
      </c>
      <c r="AB778" s="3">
        <f t="shared" si="162"/>
        <v>34477.68</v>
      </c>
      <c r="AC778" s="3">
        <f t="shared" si="163"/>
        <v>91348.08</v>
      </c>
      <c r="AD778" s="3">
        <f t="shared" si="164"/>
        <v>59476.959999999999</v>
      </c>
      <c r="AE778" s="3">
        <f t="shared" si="165"/>
        <v>57936.72</v>
      </c>
      <c r="AF778" s="3">
        <f>SUM(ecommerce_sales_all_data[[#This Row],[revenue_month_1]:[revenue_month_12]])</f>
        <v>666686.96</v>
      </c>
    </row>
    <row r="779" spans="1:32" x14ac:dyDescent="0.3">
      <c r="A779">
        <v>778</v>
      </c>
      <c r="B779" t="s">
        <v>802</v>
      </c>
      <c r="C779" t="s">
        <v>26</v>
      </c>
      <c r="D779" s="2">
        <v>362.52</v>
      </c>
      <c r="E779">
        <v>2.8</v>
      </c>
      <c r="F779">
        <v>479</v>
      </c>
      <c r="G779" s="1">
        <v>514</v>
      </c>
      <c r="H779" s="1">
        <v>432</v>
      </c>
      <c r="I779" s="1">
        <v>82</v>
      </c>
      <c r="J779" s="1">
        <v>232</v>
      </c>
      <c r="K779" s="1">
        <v>560</v>
      </c>
      <c r="L779" s="1">
        <v>258</v>
      </c>
      <c r="M779" s="1">
        <v>247</v>
      </c>
      <c r="N779" s="1">
        <v>913</v>
      </c>
      <c r="O779" s="1">
        <v>721</v>
      </c>
      <c r="P779" s="1">
        <v>38</v>
      </c>
      <c r="Q779" s="1">
        <v>199</v>
      </c>
      <c r="R779" s="1">
        <v>7</v>
      </c>
      <c r="S779" s="1">
        <f>SUM(ecommerce_sales_all_data[[#This Row],[sales_month_1]:[sales_month_12]])</f>
        <v>4203</v>
      </c>
      <c r="T779" s="3">
        <f t="shared" si="154"/>
        <v>186335.28</v>
      </c>
      <c r="U779" s="3">
        <f t="shared" si="155"/>
        <v>156608.63999999998</v>
      </c>
      <c r="V779" s="3">
        <f t="shared" si="156"/>
        <v>29726.639999999999</v>
      </c>
      <c r="W779" s="3">
        <f t="shared" si="157"/>
        <v>84104.639999999999</v>
      </c>
      <c r="X779" s="3">
        <f t="shared" si="158"/>
        <v>203011.19999999998</v>
      </c>
      <c r="Y779" s="3">
        <f t="shared" si="159"/>
        <v>93530.159999999989</v>
      </c>
      <c r="Z779" s="3">
        <f t="shared" si="160"/>
        <v>89542.44</v>
      </c>
      <c r="AA779" s="3">
        <f t="shared" si="161"/>
        <v>330980.76</v>
      </c>
      <c r="AB779" s="3">
        <f t="shared" si="162"/>
        <v>261376.91999999998</v>
      </c>
      <c r="AC779" s="3">
        <f t="shared" si="163"/>
        <v>13775.759999999998</v>
      </c>
      <c r="AD779" s="3">
        <f t="shared" si="164"/>
        <v>72141.48</v>
      </c>
      <c r="AE779" s="3">
        <f t="shared" si="165"/>
        <v>2537.64</v>
      </c>
      <c r="AF779" s="3">
        <f>SUM(ecommerce_sales_all_data[[#This Row],[revenue_month_1]:[revenue_month_12]])</f>
        <v>1523671.5599999998</v>
      </c>
    </row>
    <row r="780" spans="1:32" x14ac:dyDescent="0.3">
      <c r="A780">
        <v>779</v>
      </c>
      <c r="B780" t="s">
        <v>803</v>
      </c>
      <c r="C780" t="s">
        <v>19</v>
      </c>
      <c r="D780" s="2">
        <v>361.42</v>
      </c>
      <c r="E780">
        <v>2</v>
      </c>
      <c r="F780">
        <v>475</v>
      </c>
      <c r="G780" s="1">
        <v>383</v>
      </c>
      <c r="H780" s="1">
        <v>991</v>
      </c>
      <c r="I780" s="1">
        <v>124</v>
      </c>
      <c r="J780" s="1">
        <v>704</v>
      </c>
      <c r="K780" s="1">
        <v>536</v>
      </c>
      <c r="L780" s="1">
        <v>323</v>
      </c>
      <c r="M780" s="1">
        <v>301</v>
      </c>
      <c r="N780" s="1">
        <v>691</v>
      </c>
      <c r="O780" s="1">
        <v>494</v>
      </c>
      <c r="P780" s="1">
        <v>565</v>
      </c>
      <c r="Q780" s="1">
        <v>961</v>
      </c>
      <c r="R780" s="1">
        <v>968</v>
      </c>
      <c r="S780" s="1">
        <f>SUM(ecommerce_sales_all_data[[#This Row],[sales_month_1]:[sales_month_12]])</f>
        <v>7041</v>
      </c>
      <c r="T780" s="3">
        <f t="shared" si="154"/>
        <v>138423.86000000002</v>
      </c>
      <c r="U780" s="3">
        <f t="shared" si="155"/>
        <v>358167.22000000003</v>
      </c>
      <c r="V780" s="3">
        <f t="shared" si="156"/>
        <v>44816.08</v>
      </c>
      <c r="W780" s="3">
        <f t="shared" si="157"/>
        <v>254439.68000000002</v>
      </c>
      <c r="X780" s="3">
        <f t="shared" si="158"/>
        <v>193721.12</v>
      </c>
      <c r="Y780" s="3">
        <f t="shared" si="159"/>
        <v>116738.66</v>
      </c>
      <c r="Z780" s="3">
        <f t="shared" si="160"/>
        <v>108787.42</v>
      </c>
      <c r="AA780" s="3">
        <f t="shared" si="161"/>
        <v>249741.22</v>
      </c>
      <c r="AB780" s="3">
        <f t="shared" si="162"/>
        <v>178541.48</v>
      </c>
      <c r="AC780" s="3">
        <f t="shared" si="163"/>
        <v>204202.30000000002</v>
      </c>
      <c r="AD780" s="3">
        <f t="shared" si="164"/>
        <v>347324.62</v>
      </c>
      <c r="AE780" s="3">
        <f t="shared" si="165"/>
        <v>349854.56</v>
      </c>
      <c r="AF780" s="3">
        <f>SUM(ecommerce_sales_all_data[[#This Row],[revenue_month_1]:[revenue_month_12]])</f>
        <v>2544758.2200000002</v>
      </c>
    </row>
    <row r="781" spans="1:32" x14ac:dyDescent="0.3">
      <c r="A781">
        <v>780</v>
      </c>
      <c r="B781" t="s">
        <v>804</v>
      </c>
      <c r="C781" t="s">
        <v>23</v>
      </c>
      <c r="D781" s="2">
        <v>322.37</v>
      </c>
      <c r="E781">
        <v>4.4000000000000004</v>
      </c>
      <c r="F781">
        <v>126</v>
      </c>
      <c r="G781" s="1">
        <v>690</v>
      </c>
      <c r="H781" s="1">
        <v>355</v>
      </c>
      <c r="I781" s="1">
        <v>174</v>
      </c>
      <c r="J781" s="1">
        <v>562</v>
      </c>
      <c r="K781" s="1">
        <v>265</v>
      </c>
      <c r="L781" s="1">
        <v>868</v>
      </c>
      <c r="M781" s="1">
        <v>725</v>
      </c>
      <c r="N781" s="1">
        <v>943</v>
      </c>
      <c r="O781" s="1">
        <v>360</v>
      </c>
      <c r="P781" s="1">
        <v>511</v>
      </c>
      <c r="Q781" s="1">
        <v>901</v>
      </c>
      <c r="R781" s="1">
        <v>986</v>
      </c>
      <c r="S781" s="1">
        <f>SUM(ecommerce_sales_all_data[[#This Row],[sales_month_1]:[sales_month_12]])</f>
        <v>7340</v>
      </c>
      <c r="T781" s="3">
        <f t="shared" si="154"/>
        <v>222435.30000000002</v>
      </c>
      <c r="U781" s="3">
        <f t="shared" si="155"/>
        <v>114441.35</v>
      </c>
      <c r="V781" s="3">
        <f t="shared" si="156"/>
        <v>56092.38</v>
      </c>
      <c r="W781" s="3">
        <f t="shared" si="157"/>
        <v>181171.94</v>
      </c>
      <c r="X781" s="3">
        <f t="shared" si="158"/>
        <v>85428.05</v>
      </c>
      <c r="Y781" s="3">
        <f t="shared" si="159"/>
        <v>279817.16000000003</v>
      </c>
      <c r="Z781" s="3">
        <f t="shared" si="160"/>
        <v>233718.25</v>
      </c>
      <c r="AA781" s="3">
        <f t="shared" si="161"/>
        <v>303994.91000000003</v>
      </c>
      <c r="AB781" s="3">
        <f t="shared" si="162"/>
        <v>116053.2</v>
      </c>
      <c r="AC781" s="3">
        <f t="shared" si="163"/>
        <v>164731.07</v>
      </c>
      <c r="AD781" s="3">
        <f t="shared" si="164"/>
        <v>290455.37</v>
      </c>
      <c r="AE781" s="3">
        <f t="shared" si="165"/>
        <v>317856.82</v>
      </c>
      <c r="AF781" s="3">
        <f>SUM(ecommerce_sales_all_data[[#This Row],[revenue_month_1]:[revenue_month_12]])</f>
        <v>2366195.8000000003</v>
      </c>
    </row>
    <row r="782" spans="1:32" x14ac:dyDescent="0.3">
      <c r="A782">
        <v>781</v>
      </c>
      <c r="B782" t="s">
        <v>805</v>
      </c>
      <c r="C782" t="s">
        <v>48</v>
      </c>
      <c r="D782" s="2">
        <v>348.5</v>
      </c>
      <c r="E782">
        <v>1.2</v>
      </c>
      <c r="F782">
        <v>395</v>
      </c>
      <c r="G782" s="1">
        <v>341</v>
      </c>
      <c r="H782" s="1">
        <v>927</v>
      </c>
      <c r="I782" s="1">
        <v>68</v>
      </c>
      <c r="J782" s="1">
        <v>938</v>
      </c>
      <c r="K782" s="1">
        <v>117</v>
      </c>
      <c r="L782" s="1">
        <v>167</v>
      </c>
      <c r="M782" s="1">
        <v>214</v>
      </c>
      <c r="N782" s="1">
        <v>682</v>
      </c>
      <c r="O782" s="1">
        <v>337</v>
      </c>
      <c r="P782" s="1">
        <v>473</v>
      </c>
      <c r="Q782" s="1">
        <v>542</v>
      </c>
      <c r="R782" s="1">
        <v>515</v>
      </c>
      <c r="S782" s="1">
        <f>SUM(ecommerce_sales_all_data[[#This Row],[sales_month_1]:[sales_month_12]])</f>
        <v>5321</v>
      </c>
      <c r="T782" s="3">
        <f t="shared" si="154"/>
        <v>118838.5</v>
      </c>
      <c r="U782" s="3">
        <f t="shared" si="155"/>
        <v>323059.5</v>
      </c>
      <c r="V782" s="3">
        <f t="shared" si="156"/>
        <v>23698</v>
      </c>
      <c r="W782" s="3">
        <f t="shared" si="157"/>
        <v>326893</v>
      </c>
      <c r="X782" s="3">
        <f t="shared" si="158"/>
        <v>40774.5</v>
      </c>
      <c r="Y782" s="3">
        <f t="shared" si="159"/>
        <v>58199.5</v>
      </c>
      <c r="Z782" s="3">
        <f t="shared" si="160"/>
        <v>74579</v>
      </c>
      <c r="AA782" s="3">
        <f t="shared" si="161"/>
        <v>237677</v>
      </c>
      <c r="AB782" s="3">
        <f t="shared" si="162"/>
        <v>117444.5</v>
      </c>
      <c r="AC782" s="3">
        <f t="shared" si="163"/>
        <v>164840.5</v>
      </c>
      <c r="AD782" s="3">
        <f t="shared" si="164"/>
        <v>188887</v>
      </c>
      <c r="AE782" s="3">
        <f t="shared" si="165"/>
        <v>179477.5</v>
      </c>
      <c r="AF782" s="3">
        <f>SUM(ecommerce_sales_all_data[[#This Row],[revenue_month_1]:[revenue_month_12]])</f>
        <v>1854368.5</v>
      </c>
    </row>
    <row r="783" spans="1:32" x14ac:dyDescent="0.3">
      <c r="A783">
        <v>782</v>
      </c>
      <c r="B783" t="s">
        <v>806</v>
      </c>
      <c r="C783" t="s">
        <v>19</v>
      </c>
      <c r="D783" s="2">
        <v>273.64999999999998</v>
      </c>
      <c r="E783">
        <v>4.5999999999999996</v>
      </c>
      <c r="F783">
        <v>817</v>
      </c>
      <c r="G783" s="1">
        <v>814</v>
      </c>
      <c r="H783" s="1">
        <v>694</v>
      </c>
      <c r="I783" s="1">
        <v>46</v>
      </c>
      <c r="J783" s="1">
        <v>886</v>
      </c>
      <c r="K783" s="1">
        <v>463</v>
      </c>
      <c r="L783" s="1">
        <v>687</v>
      </c>
      <c r="M783" s="1">
        <v>157</v>
      </c>
      <c r="N783" s="1">
        <v>294</v>
      </c>
      <c r="O783" s="1">
        <v>578</v>
      </c>
      <c r="P783" s="1">
        <v>160</v>
      </c>
      <c r="Q783" s="1">
        <v>501</v>
      </c>
      <c r="R783" s="1">
        <v>532</v>
      </c>
      <c r="S783" s="1">
        <f>SUM(ecommerce_sales_all_data[[#This Row],[sales_month_1]:[sales_month_12]])</f>
        <v>5812</v>
      </c>
      <c r="T783" s="3">
        <f t="shared" si="154"/>
        <v>222751.09999999998</v>
      </c>
      <c r="U783" s="3">
        <f t="shared" si="155"/>
        <v>189913.09999999998</v>
      </c>
      <c r="V783" s="3">
        <f t="shared" si="156"/>
        <v>12587.9</v>
      </c>
      <c r="W783" s="3">
        <f t="shared" si="157"/>
        <v>242453.9</v>
      </c>
      <c r="X783" s="3">
        <f t="shared" si="158"/>
        <v>126699.94999999998</v>
      </c>
      <c r="Y783" s="3">
        <f t="shared" si="159"/>
        <v>187997.55</v>
      </c>
      <c r="Z783" s="3">
        <f t="shared" si="160"/>
        <v>42963.049999999996</v>
      </c>
      <c r="AA783" s="3">
        <f t="shared" si="161"/>
        <v>80453.099999999991</v>
      </c>
      <c r="AB783" s="3">
        <f t="shared" si="162"/>
        <v>158169.69999999998</v>
      </c>
      <c r="AC783" s="3">
        <f t="shared" si="163"/>
        <v>43784</v>
      </c>
      <c r="AD783" s="3">
        <f t="shared" si="164"/>
        <v>137098.65</v>
      </c>
      <c r="AE783" s="3">
        <f t="shared" si="165"/>
        <v>145581.79999999999</v>
      </c>
      <c r="AF783" s="3">
        <f>SUM(ecommerce_sales_all_data[[#This Row],[revenue_month_1]:[revenue_month_12]])</f>
        <v>1590453.8</v>
      </c>
    </row>
    <row r="784" spans="1:32" x14ac:dyDescent="0.3">
      <c r="A784">
        <v>783</v>
      </c>
      <c r="B784" t="s">
        <v>807</v>
      </c>
      <c r="C784" t="s">
        <v>35</v>
      </c>
      <c r="D784" s="2">
        <v>129.63999999999999</v>
      </c>
      <c r="E784">
        <v>2.8</v>
      </c>
      <c r="F784">
        <v>881</v>
      </c>
      <c r="G784" s="1">
        <v>963</v>
      </c>
      <c r="H784" s="1">
        <v>206</v>
      </c>
      <c r="I784" s="1">
        <v>883</v>
      </c>
      <c r="J784" s="1">
        <v>725</v>
      </c>
      <c r="K784" s="1">
        <v>143</v>
      </c>
      <c r="L784" s="1">
        <v>309</v>
      </c>
      <c r="M784" s="1">
        <v>68</v>
      </c>
      <c r="N784" s="1">
        <v>511</v>
      </c>
      <c r="O784" s="1">
        <v>9</v>
      </c>
      <c r="P784" s="1">
        <v>288</v>
      </c>
      <c r="Q784" s="1">
        <v>649</v>
      </c>
      <c r="R784" s="1">
        <v>926</v>
      </c>
      <c r="S784" s="1">
        <f>SUM(ecommerce_sales_all_data[[#This Row],[sales_month_1]:[sales_month_12]])</f>
        <v>5680</v>
      </c>
      <c r="T784" s="3">
        <f t="shared" si="154"/>
        <v>124843.31999999999</v>
      </c>
      <c r="U784" s="3">
        <f t="shared" si="155"/>
        <v>26705.839999999997</v>
      </c>
      <c r="V784" s="3">
        <f t="shared" si="156"/>
        <v>114472.11999999998</v>
      </c>
      <c r="W784" s="3">
        <f t="shared" si="157"/>
        <v>93988.999999999985</v>
      </c>
      <c r="X784" s="3">
        <f t="shared" si="158"/>
        <v>18538.519999999997</v>
      </c>
      <c r="Y784" s="3">
        <f t="shared" si="159"/>
        <v>40058.759999999995</v>
      </c>
      <c r="Z784" s="3">
        <f t="shared" si="160"/>
        <v>8815.5199999999986</v>
      </c>
      <c r="AA784" s="3">
        <f t="shared" si="161"/>
        <v>66246.039999999994</v>
      </c>
      <c r="AB784" s="3">
        <f t="shared" si="162"/>
        <v>1166.7599999999998</v>
      </c>
      <c r="AC784" s="3">
        <f t="shared" si="163"/>
        <v>37336.319999999992</v>
      </c>
      <c r="AD784" s="3">
        <f t="shared" si="164"/>
        <v>84136.359999999986</v>
      </c>
      <c r="AE784" s="3">
        <f t="shared" si="165"/>
        <v>120046.63999999998</v>
      </c>
      <c r="AF784" s="3">
        <f>SUM(ecommerce_sales_all_data[[#This Row],[revenue_month_1]:[revenue_month_12]])</f>
        <v>736355.2</v>
      </c>
    </row>
    <row r="785" spans="1:32" x14ac:dyDescent="0.3">
      <c r="A785">
        <v>784</v>
      </c>
      <c r="B785" t="s">
        <v>808</v>
      </c>
      <c r="C785" t="s">
        <v>23</v>
      </c>
      <c r="D785" s="2">
        <v>176.12</v>
      </c>
      <c r="E785">
        <v>3.5</v>
      </c>
      <c r="F785">
        <v>806</v>
      </c>
      <c r="G785" s="1">
        <v>987</v>
      </c>
      <c r="H785" s="1">
        <v>767</v>
      </c>
      <c r="I785" s="1">
        <v>255</v>
      </c>
      <c r="J785" s="1">
        <v>662</v>
      </c>
      <c r="K785" s="1">
        <v>441</v>
      </c>
      <c r="L785" s="1">
        <v>802</v>
      </c>
      <c r="M785" s="1">
        <v>392</v>
      </c>
      <c r="N785" s="1">
        <v>688</v>
      </c>
      <c r="O785" s="1">
        <v>48</v>
      </c>
      <c r="P785" s="1">
        <v>199</v>
      </c>
      <c r="Q785" s="1">
        <v>491</v>
      </c>
      <c r="R785" s="1">
        <v>148</v>
      </c>
      <c r="S785" s="1">
        <f>SUM(ecommerce_sales_all_data[[#This Row],[sales_month_1]:[sales_month_12]])</f>
        <v>5880</v>
      </c>
      <c r="T785" s="3">
        <f t="shared" si="154"/>
        <v>173830.44</v>
      </c>
      <c r="U785" s="3">
        <f t="shared" si="155"/>
        <v>135084.04</v>
      </c>
      <c r="V785" s="3">
        <f t="shared" si="156"/>
        <v>44910.6</v>
      </c>
      <c r="W785" s="3">
        <f t="shared" si="157"/>
        <v>116591.44</v>
      </c>
      <c r="X785" s="3">
        <f t="shared" si="158"/>
        <v>77668.92</v>
      </c>
      <c r="Y785" s="3">
        <f t="shared" si="159"/>
        <v>141248.24</v>
      </c>
      <c r="Z785" s="3">
        <f t="shared" si="160"/>
        <v>69039.040000000008</v>
      </c>
      <c r="AA785" s="3">
        <f t="shared" si="161"/>
        <v>121170.56</v>
      </c>
      <c r="AB785" s="3">
        <f t="shared" si="162"/>
        <v>8453.76</v>
      </c>
      <c r="AC785" s="3">
        <f t="shared" si="163"/>
        <v>35047.879999999997</v>
      </c>
      <c r="AD785" s="3">
        <f t="shared" si="164"/>
        <v>86474.92</v>
      </c>
      <c r="AE785" s="3">
        <f t="shared" si="165"/>
        <v>26065.760000000002</v>
      </c>
      <c r="AF785" s="3">
        <f>SUM(ecommerce_sales_all_data[[#This Row],[revenue_month_1]:[revenue_month_12]])</f>
        <v>1035585.6000000001</v>
      </c>
    </row>
    <row r="786" spans="1:32" x14ac:dyDescent="0.3">
      <c r="A786">
        <v>785</v>
      </c>
      <c r="B786" t="s">
        <v>809</v>
      </c>
      <c r="C786" t="s">
        <v>29</v>
      </c>
      <c r="D786" s="2">
        <v>94.89</v>
      </c>
      <c r="E786">
        <v>3.6</v>
      </c>
      <c r="F786">
        <v>576</v>
      </c>
      <c r="G786" s="1">
        <v>843</v>
      </c>
      <c r="H786" s="1">
        <v>234</v>
      </c>
      <c r="I786" s="1">
        <v>726</v>
      </c>
      <c r="J786" s="1">
        <v>439</v>
      </c>
      <c r="K786" s="1">
        <v>199</v>
      </c>
      <c r="L786" s="1">
        <v>478</v>
      </c>
      <c r="M786" s="1">
        <v>84</v>
      </c>
      <c r="N786" s="1">
        <v>880</v>
      </c>
      <c r="O786" s="1">
        <v>486</v>
      </c>
      <c r="P786" s="1">
        <v>787</v>
      </c>
      <c r="Q786" s="1">
        <v>20</v>
      </c>
      <c r="R786" s="1">
        <v>487</v>
      </c>
      <c r="S786" s="1">
        <f>SUM(ecommerce_sales_all_data[[#This Row],[sales_month_1]:[sales_month_12]])</f>
        <v>5663</v>
      </c>
      <c r="T786" s="3">
        <f t="shared" si="154"/>
        <v>79992.27</v>
      </c>
      <c r="U786" s="3">
        <f t="shared" si="155"/>
        <v>22204.26</v>
      </c>
      <c r="V786" s="3">
        <f t="shared" si="156"/>
        <v>68890.14</v>
      </c>
      <c r="W786" s="3">
        <f t="shared" si="157"/>
        <v>41656.71</v>
      </c>
      <c r="X786" s="3">
        <f t="shared" si="158"/>
        <v>18883.11</v>
      </c>
      <c r="Y786" s="3">
        <f t="shared" si="159"/>
        <v>45357.42</v>
      </c>
      <c r="Z786" s="3">
        <f t="shared" si="160"/>
        <v>7970.76</v>
      </c>
      <c r="AA786" s="3">
        <f t="shared" si="161"/>
        <v>83503.199999999997</v>
      </c>
      <c r="AB786" s="3">
        <f t="shared" si="162"/>
        <v>46116.54</v>
      </c>
      <c r="AC786" s="3">
        <f t="shared" si="163"/>
        <v>74678.430000000008</v>
      </c>
      <c r="AD786" s="3">
        <f t="shared" si="164"/>
        <v>1897.8</v>
      </c>
      <c r="AE786" s="3">
        <f t="shared" si="165"/>
        <v>46211.43</v>
      </c>
      <c r="AF786" s="3">
        <f>SUM(ecommerce_sales_all_data[[#This Row],[revenue_month_1]:[revenue_month_12]])</f>
        <v>537362.06999999995</v>
      </c>
    </row>
    <row r="787" spans="1:32" x14ac:dyDescent="0.3">
      <c r="A787">
        <v>786</v>
      </c>
      <c r="B787" t="s">
        <v>810</v>
      </c>
      <c r="C787" t="s">
        <v>26</v>
      </c>
      <c r="D787" s="2">
        <v>454.68</v>
      </c>
      <c r="E787">
        <v>4.5999999999999996</v>
      </c>
      <c r="F787">
        <v>325</v>
      </c>
      <c r="G787" s="1">
        <v>37</v>
      </c>
      <c r="H787" s="1">
        <v>441</v>
      </c>
      <c r="I787" s="1">
        <v>29</v>
      </c>
      <c r="J787" s="1">
        <v>501</v>
      </c>
      <c r="K787" s="1">
        <v>156</v>
      </c>
      <c r="L787" s="1">
        <v>55</v>
      </c>
      <c r="M787" s="1">
        <v>266</v>
      </c>
      <c r="N787" s="1">
        <v>395</v>
      </c>
      <c r="O787" s="1">
        <v>622</v>
      </c>
      <c r="P787" s="1">
        <v>527</v>
      </c>
      <c r="Q787" s="1">
        <v>233</v>
      </c>
      <c r="R787" s="1">
        <v>24</v>
      </c>
      <c r="S787" s="1">
        <f>SUM(ecommerce_sales_all_data[[#This Row],[sales_month_1]:[sales_month_12]])</f>
        <v>3286</v>
      </c>
      <c r="T787" s="3">
        <f t="shared" si="154"/>
        <v>16823.16</v>
      </c>
      <c r="U787" s="3">
        <f t="shared" si="155"/>
        <v>200513.88</v>
      </c>
      <c r="V787" s="3">
        <f t="shared" si="156"/>
        <v>13185.72</v>
      </c>
      <c r="W787" s="3">
        <f t="shared" si="157"/>
        <v>227794.68</v>
      </c>
      <c r="X787" s="3">
        <f t="shared" si="158"/>
        <v>70930.080000000002</v>
      </c>
      <c r="Y787" s="3">
        <f t="shared" si="159"/>
        <v>25007.4</v>
      </c>
      <c r="Z787" s="3">
        <f t="shared" si="160"/>
        <v>120944.88</v>
      </c>
      <c r="AA787" s="3">
        <f t="shared" si="161"/>
        <v>179598.6</v>
      </c>
      <c r="AB787" s="3">
        <f t="shared" si="162"/>
        <v>282810.96000000002</v>
      </c>
      <c r="AC787" s="3">
        <f t="shared" si="163"/>
        <v>239616.36000000002</v>
      </c>
      <c r="AD787" s="3">
        <f t="shared" si="164"/>
        <v>105940.44</v>
      </c>
      <c r="AE787" s="3">
        <f t="shared" si="165"/>
        <v>10912.32</v>
      </c>
      <c r="AF787" s="3">
        <f>SUM(ecommerce_sales_all_data[[#This Row],[revenue_month_1]:[revenue_month_12]])</f>
        <v>1494078.4800000002</v>
      </c>
    </row>
    <row r="788" spans="1:32" x14ac:dyDescent="0.3">
      <c r="A788">
        <v>787</v>
      </c>
      <c r="B788" t="s">
        <v>811</v>
      </c>
      <c r="C788" t="s">
        <v>26</v>
      </c>
      <c r="D788" s="2">
        <v>293.77999999999997</v>
      </c>
      <c r="E788">
        <v>3.5</v>
      </c>
      <c r="F788">
        <v>392</v>
      </c>
      <c r="G788" s="1">
        <v>510</v>
      </c>
      <c r="H788" s="1">
        <v>354</v>
      </c>
      <c r="I788" s="1">
        <v>280</v>
      </c>
      <c r="J788" s="1">
        <v>274</v>
      </c>
      <c r="K788" s="1">
        <v>486</v>
      </c>
      <c r="L788" s="1">
        <v>619</v>
      </c>
      <c r="M788" s="1">
        <v>68</v>
      </c>
      <c r="N788" s="1">
        <v>748</v>
      </c>
      <c r="O788" s="1">
        <v>320</v>
      </c>
      <c r="P788" s="1">
        <v>916</v>
      </c>
      <c r="Q788" s="1">
        <v>713</v>
      </c>
      <c r="R788" s="1">
        <v>998</v>
      </c>
      <c r="S788" s="1">
        <f>SUM(ecommerce_sales_all_data[[#This Row],[sales_month_1]:[sales_month_12]])</f>
        <v>6286</v>
      </c>
      <c r="T788" s="3">
        <f t="shared" si="154"/>
        <v>149827.79999999999</v>
      </c>
      <c r="U788" s="3">
        <f t="shared" si="155"/>
        <v>103998.12</v>
      </c>
      <c r="V788" s="3">
        <f t="shared" si="156"/>
        <v>82258.399999999994</v>
      </c>
      <c r="W788" s="3">
        <f t="shared" si="157"/>
        <v>80495.719999999987</v>
      </c>
      <c r="X788" s="3">
        <f t="shared" si="158"/>
        <v>142777.07999999999</v>
      </c>
      <c r="Y788" s="3">
        <f t="shared" si="159"/>
        <v>181849.81999999998</v>
      </c>
      <c r="Z788" s="3">
        <f t="shared" si="160"/>
        <v>19977.039999999997</v>
      </c>
      <c r="AA788" s="3">
        <f t="shared" si="161"/>
        <v>219747.43999999997</v>
      </c>
      <c r="AB788" s="3">
        <f t="shared" si="162"/>
        <v>94009.599999999991</v>
      </c>
      <c r="AC788" s="3">
        <f t="shared" si="163"/>
        <v>269102.48</v>
      </c>
      <c r="AD788" s="3">
        <f t="shared" si="164"/>
        <v>209465.13999999998</v>
      </c>
      <c r="AE788" s="3">
        <f t="shared" si="165"/>
        <v>293192.43999999994</v>
      </c>
      <c r="AF788" s="3">
        <f>SUM(ecommerce_sales_all_data[[#This Row],[revenue_month_1]:[revenue_month_12]])</f>
        <v>1846701.0799999996</v>
      </c>
    </row>
    <row r="789" spans="1:32" x14ac:dyDescent="0.3">
      <c r="A789">
        <v>788</v>
      </c>
      <c r="B789" t="s">
        <v>812</v>
      </c>
      <c r="C789" t="s">
        <v>29</v>
      </c>
      <c r="D789" s="2">
        <v>203.42</v>
      </c>
      <c r="E789">
        <v>3.5</v>
      </c>
      <c r="F789">
        <v>930</v>
      </c>
      <c r="G789" s="1">
        <v>419</v>
      </c>
      <c r="H789" s="1">
        <v>514</v>
      </c>
      <c r="I789" s="1">
        <v>923</v>
      </c>
      <c r="J789" s="1">
        <v>849</v>
      </c>
      <c r="K789" s="1">
        <v>859</v>
      </c>
      <c r="L789" s="1">
        <v>472</v>
      </c>
      <c r="M789" s="1">
        <v>610</v>
      </c>
      <c r="N789" s="1">
        <v>137</v>
      </c>
      <c r="O789" s="1">
        <v>730</v>
      </c>
      <c r="P789" s="1">
        <v>684</v>
      </c>
      <c r="Q789" s="1">
        <v>790</v>
      </c>
      <c r="R789" s="1">
        <v>654</v>
      </c>
      <c r="S789" s="1">
        <f>SUM(ecommerce_sales_all_data[[#This Row],[sales_month_1]:[sales_month_12]])</f>
        <v>7641</v>
      </c>
      <c r="T789" s="3">
        <f t="shared" si="154"/>
        <v>85232.98</v>
      </c>
      <c r="U789" s="3">
        <f t="shared" si="155"/>
        <v>104557.87999999999</v>
      </c>
      <c r="V789" s="3">
        <f t="shared" si="156"/>
        <v>187756.65999999997</v>
      </c>
      <c r="W789" s="3">
        <f t="shared" si="157"/>
        <v>172703.58</v>
      </c>
      <c r="X789" s="3">
        <f t="shared" si="158"/>
        <v>174737.78</v>
      </c>
      <c r="Y789" s="3">
        <f t="shared" si="159"/>
        <v>96014.239999999991</v>
      </c>
      <c r="Z789" s="3">
        <f t="shared" si="160"/>
        <v>124086.2</v>
      </c>
      <c r="AA789" s="3">
        <f t="shared" si="161"/>
        <v>27868.539999999997</v>
      </c>
      <c r="AB789" s="3">
        <f t="shared" si="162"/>
        <v>148496.59999999998</v>
      </c>
      <c r="AC789" s="3">
        <f t="shared" si="163"/>
        <v>139139.28</v>
      </c>
      <c r="AD789" s="3">
        <f t="shared" si="164"/>
        <v>160701.79999999999</v>
      </c>
      <c r="AE789" s="3">
        <f t="shared" si="165"/>
        <v>133036.68</v>
      </c>
      <c r="AF789" s="3">
        <f>SUM(ecommerce_sales_all_data[[#This Row],[revenue_month_1]:[revenue_month_12]])</f>
        <v>1554332.22</v>
      </c>
    </row>
    <row r="790" spans="1:32" x14ac:dyDescent="0.3">
      <c r="A790">
        <v>789</v>
      </c>
      <c r="B790" t="s">
        <v>813</v>
      </c>
      <c r="C790" t="s">
        <v>21</v>
      </c>
      <c r="D790" s="2">
        <v>233.69</v>
      </c>
      <c r="E790">
        <v>1.3</v>
      </c>
      <c r="F790">
        <v>688</v>
      </c>
      <c r="G790" s="1">
        <v>750</v>
      </c>
      <c r="H790" s="1">
        <v>207</v>
      </c>
      <c r="I790" s="1">
        <v>993</v>
      </c>
      <c r="J790" s="1">
        <v>75</v>
      </c>
      <c r="K790" s="1">
        <v>133</v>
      </c>
      <c r="L790" s="1">
        <v>295</v>
      </c>
      <c r="M790" s="1">
        <v>346</v>
      </c>
      <c r="N790" s="1">
        <v>838</v>
      </c>
      <c r="O790" s="1">
        <v>568</v>
      </c>
      <c r="P790" s="1">
        <v>502</v>
      </c>
      <c r="Q790" s="1">
        <v>642</v>
      </c>
      <c r="R790" s="1">
        <v>756</v>
      </c>
      <c r="S790" s="1">
        <f>SUM(ecommerce_sales_all_data[[#This Row],[sales_month_1]:[sales_month_12]])</f>
        <v>6105</v>
      </c>
      <c r="T790" s="3">
        <f t="shared" si="154"/>
        <v>175267.5</v>
      </c>
      <c r="U790" s="3">
        <f t="shared" si="155"/>
        <v>48373.83</v>
      </c>
      <c r="V790" s="3">
        <f t="shared" si="156"/>
        <v>232054.16999999998</v>
      </c>
      <c r="W790" s="3">
        <f t="shared" si="157"/>
        <v>17526.75</v>
      </c>
      <c r="X790" s="3">
        <f t="shared" si="158"/>
        <v>31080.77</v>
      </c>
      <c r="Y790" s="3">
        <f t="shared" si="159"/>
        <v>68938.55</v>
      </c>
      <c r="Z790" s="3">
        <f t="shared" si="160"/>
        <v>80856.740000000005</v>
      </c>
      <c r="AA790" s="3">
        <f t="shared" si="161"/>
        <v>195832.22</v>
      </c>
      <c r="AB790" s="3">
        <f t="shared" si="162"/>
        <v>132735.92000000001</v>
      </c>
      <c r="AC790" s="3">
        <f t="shared" si="163"/>
        <v>117312.38</v>
      </c>
      <c r="AD790" s="3">
        <f t="shared" si="164"/>
        <v>150028.98000000001</v>
      </c>
      <c r="AE790" s="3">
        <f t="shared" si="165"/>
        <v>176669.63999999998</v>
      </c>
      <c r="AF790" s="3">
        <f>SUM(ecommerce_sales_all_data[[#This Row],[revenue_month_1]:[revenue_month_12]])</f>
        <v>1426677.45</v>
      </c>
    </row>
    <row r="791" spans="1:32" x14ac:dyDescent="0.3">
      <c r="A791">
        <v>790</v>
      </c>
      <c r="B791" t="s">
        <v>814</v>
      </c>
      <c r="C791" t="s">
        <v>35</v>
      </c>
      <c r="D791" s="2">
        <v>473.91</v>
      </c>
      <c r="E791">
        <v>3.1</v>
      </c>
      <c r="F791">
        <v>628</v>
      </c>
      <c r="G791" s="1">
        <v>168</v>
      </c>
      <c r="H791" s="1">
        <v>708</v>
      </c>
      <c r="I791" s="1">
        <v>236</v>
      </c>
      <c r="J791" s="1">
        <v>438</v>
      </c>
      <c r="K791" s="1">
        <v>911</v>
      </c>
      <c r="L791" s="1">
        <v>460</v>
      </c>
      <c r="M791" s="1">
        <v>961</v>
      </c>
      <c r="N791" s="1">
        <v>877</v>
      </c>
      <c r="O791" s="1">
        <v>794</v>
      </c>
      <c r="P791" s="1">
        <v>247</v>
      </c>
      <c r="Q791" s="1">
        <v>415</v>
      </c>
      <c r="R791" s="1">
        <v>930</v>
      </c>
      <c r="S791" s="1">
        <f>SUM(ecommerce_sales_all_data[[#This Row],[sales_month_1]:[sales_month_12]])</f>
        <v>7145</v>
      </c>
      <c r="T791" s="3">
        <f t="shared" si="154"/>
        <v>79616.88</v>
      </c>
      <c r="U791" s="3">
        <f t="shared" si="155"/>
        <v>335528.28000000003</v>
      </c>
      <c r="V791" s="3">
        <f t="shared" si="156"/>
        <v>111842.76000000001</v>
      </c>
      <c r="W791" s="3">
        <f t="shared" si="157"/>
        <v>207572.58000000002</v>
      </c>
      <c r="X791" s="3">
        <f t="shared" si="158"/>
        <v>431732.01</v>
      </c>
      <c r="Y791" s="3">
        <f t="shared" si="159"/>
        <v>217998.6</v>
      </c>
      <c r="Z791" s="3">
        <f t="shared" si="160"/>
        <v>455427.51</v>
      </c>
      <c r="AA791" s="3">
        <f t="shared" si="161"/>
        <v>415619.07</v>
      </c>
      <c r="AB791" s="3">
        <f t="shared" si="162"/>
        <v>376284.54000000004</v>
      </c>
      <c r="AC791" s="3">
        <f t="shared" si="163"/>
        <v>117055.77</v>
      </c>
      <c r="AD791" s="3">
        <f t="shared" si="164"/>
        <v>196672.65000000002</v>
      </c>
      <c r="AE791" s="3">
        <f t="shared" si="165"/>
        <v>440736.30000000005</v>
      </c>
      <c r="AF791" s="3">
        <f>SUM(ecommerce_sales_all_data[[#This Row],[revenue_month_1]:[revenue_month_12]])</f>
        <v>3386086.95</v>
      </c>
    </row>
    <row r="792" spans="1:32" x14ac:dyDescent="0.3">
      <c r="A792">
        <v>791</v>
      </c>
      <c r="B792" t="s">
        <v>815</v>
      </c>
      <c r="C792" t="s">
        <v>48</v>
      </c>
      <c r="D792" s="2">
        <v>80.91</v>
      </c>
      <c r="E792">
        <v>1.6</v>
      </c>
      <c r="F792">
        <v>440</v>
      </c>
      <c r="G792" s="1">
        <v>964</v>
      </c>
      <c r="H792" s="1">
        <v>852</v>
      </c>
      <c r="I792" s="1">
        <v>247</v>
      </c>
      <c r="J792" s="1">
        <v>731</v>
      </c>
      <c r="K792" s="1">
        <v>147</v>
      </c>
      <c r="L792" s="1">
        <v>323</v>
      </c>
      <c r="M792" s="1">
        <v>727</v>
      </c>
      <c r="N792" s="1">
        <v>822</v>
      </c>
      <c r="O792" s="1">
        <v>970</v>
      </c>
      <c r="P792" s="1">
        <v>382</v>
      </c>
      <c r="Q792" s="1">
        <v>147</v>
      </c>
      <c r="R792" s="1">
        <v>944</v>
      </c>
      <c r="S792" s="1">
        <f>SUM(ecommerce_sales_all_data[[#This Row],[sales_month_1]:[sales_month_12]])</f>
        <v>7256</v>
      </c>
      <c r="T792" s="3">
        <f t="shared" si="154"/>
        <v>77997.239999999991</v>
      </c>
      <c r="U792" s="3">
        <f t="shared" si="155"/>
        <v>68935.319999999992</v>
      </c>
      <c r="V792" s="3">
        <f t="shared" si="156"/>
        <v>19984.77</v>
      </c>
      <c r="W792" s="3">
        <f t="shared" si="157"/>
        <v>59145.21</v>
      </c>
      <c r="X792" s="3">
        <f t="shared" si="158"/>
        <v>11893.769999999999</v>
      </c>
      <c r="Y792" s="3">
        <f t="shared" si="159"/>
        <v>26133.93</v>
      </c>
      <c r="Z792" s="3">
        <f t="shared" si="160"/>
        <v>58821.57</v>
      </c>
      <c r="AA792" s="3">
        <f t="shared" si="161"/>
        <v>66508.02</v>
      </c>
      <c r="AB792" s="3">
        <f t="shared" si="162"/>
        <v>78482.7</v>
      </c>
      <c r="AC792" s="3">
        <f t="shared" si="163"/>
        <v>30907.62</v>
      </c>
      <c r="AD792" s="3">
        <f t="shared" si="164"/>
        <v>11893.769999999999</v>
      </c>
      <c r="AE792" s="3">
        <f t="shared" si="165"/>
        <v>76379.039999999994</v>
      </c>
      <c r="AF792" s="3">
        <f>SUM(ecommerce_sales_all_data[[#This Row],[revenue_month_1]:[revenue_month_12]])</f>
        <v>587082.96000000008</v>
      </c>
    </row>
    <row r="793" spans="1:32" x14ac:dyDescent="0.3">
      <c r="A793">
        <v>792</v>
      </c>
      <c r="B793" t="s">
        <v>816</v>
      </c>
      <c r="C793" t="s">
        <v>26</v>
      </c>
      <c r="D793" s="2">
        <v>295.18</v>
      </c>
      <c r="E793">
        <v>3.9</v>
      </c>
      <c r="F793">
        <v>204</v>
      </c>
      <c r="G793" s="1">
        <v>908</v>
      </c>
      <c r="H793" s="1">
        <v>124</v>
      </c>
      <c r="I793" s="1">
        <v>367</v>
      </c>
      <c r="J793" s="1">
        <v>859</v>
      </c>
      <c r="K793" s="1">
        <v>335</v>
      </c>
      <c r="L793" s="1">
        <v>813</v>
      </c>
      <c r="M793" s="1">
        <v>926</v>
      </c>
      <c r="N793" s="1">
        <v>128</v>
      </c>
      <c r="O793" s="1">
        <v>624</v>
      </c>
      <c r="P793" s="1">
        <v>217</v>
      </c>
      <c r="Q793" s="1">
        <v>969</v>
      </c>
      <c r="R793" s="1">
        <v>554</v>
      </c>
      <c r="S793" s="1">
        <f>SUM(ecommerce_sales_all_data[[#This Row],[sales_month_1]:[sales_month_12]])</f>
        <v>6824</v>
      </c>
      <c r="T793" s="3">
        <f t="shared" si="154"/>
        <v>268023.44</v>
      </c>
      <c r="U793" s="3">
        <f t="shared" si="155"/>
        <v>36602.32</v>
      </c>
      <c r="V793" s="3">
        <f t="shared" si="156"/>
        <v>108331.06</v>
      </c>
      <c r="W793" s="3">
        <f t="shared" si="157"/>
        <v>253559.62</v>
      </c>
      <c r="X793" s="3">
        <f t="shared" si="158"/>
        <v>98885.3</v>
      </c>
      <c r="Y793" s="3">
        <f t="shared" si="159"/>
        <v>239981.34</v>
      </c>
      <c r="Z793" s="3">
        <f t="shared" si="160"/>
        <v>273336.68</v>
      </c>
      <c r="AA793" s="3">
        <f t="shared" si="161"/>
        <v>37783.040000000001</v>
      </c>
      <c r="AB793" s="3">
        <f t="shared" si="162"/>
        <v>184192.32</v>
      </c>
      <c r="AC793" s="3">
        <f t="shared" si="163"/>
        <v>64054.060000000005</v>
      </c>
      <c r="AD793" s="3">
        <f t="shared" si="164"/>
        <v>286029.42</v>
      </c>
      <c r="AE793" s="3">
        <f t="shared" si="165"/>
        <v>163529.72</v>
      </c>
      <c r="AF793" s="3">
        <f>SUM(ecommerce_sales_all_data[[#This Row],[revenue_month_1]:[revenue_month_12]])</f>
        <v>2014308.32</v>
      </c>
    </row>
    <row r="794" spans="1:32" x14ac:dyDescent="0.3">
      <c r="A794">
        <v>793</v>
      </c>
      <c r="B794" t="s">
        <v>817</v>
      </c>
      <c r="C794" t="s">
        <v>19</v>
      </c>
      <c r="D794" s="2">
        <v>255.41</v>
      </c>
      <c r="E794">
        <v>3</v>
      </c>
      <c r="F794">
        <v>486</v>
      </c>
      <c r="G794" s="1">
        <v>342</v>
      </c>
      <c r="H794" s="1">
        <v>137</v>
      </c>
      <c r="I794" s="1">
        <v>494</v>
      </c>
      <c r="J794" s="1">
        <v>955</v>
      </c>
      <c r="K794" s="1">
        <v>70</v>
      </c>
      <c r="L794" s="1">
        <v>845</v>
      </c>
      <c r="M794" s="1">
        <v>672</v>
      </c>
      <c r="N794" s="1">
        <v>48</v>
      </c>
      <c r="O794" s="1">
        <v>132</v>
      </c>
      <c r="P794" s="1">
        <v>86</v>
      </c>
      <c r="Q794" s="1">
        <v>28</v>
      </c>
      <c r="R794" s="1">
        <v>424</v>
      </c>
      <c r="S794" s="1">
        <f>SUM(ecommerce_sales_all_data[[#This Row],[sales_month_1]:[sales_month_12]])</f>
        <v>4233</v>
      </c>
      <c r="T794" s="3">
        <f t="shared" si="154"/>
        <v>87350.22</v>
      </c>
      <c r="U794" s="3">
        <f t="shared" si="155"/>
        <v>34991.17</v>
      </c>
      <c r="V794" s="3">
        <f t="shared" si="156"/>
        <v>126172.54</v>
      </c>
      <c r="W794" s="3">
        <f t="shared" si="157"/>
        <v>243916.55</v>
      </c>
      <c r="X794" s="3">
        <f t="shared" si="158"/>
        <v>17878.7</v>
      </c>
      <c r="Y794" s="3">
        <f t="shared" si="159"/>
        <v>215821.45</v>
      </c>
      <c r="Z794" s="3">
        <f t="shared" si="160"/>
        <v>171635.52</v>
      </c>
      <c r="AA794" s="3">
        <f t="shared" si="161"/>
        <v>12259.68</v>
      </c>
      <c r="AB794" s="3">
        <f t="shared" si="162"/>
        <v>33714.120000000003</v>
      </c>
      <c r="AC794" s="3">
        <f t="shared" si="163"/>
        <v>21965.26</v>
      </c>
      <c r="AD794" s="3">
        <f t="shared" si="164"/>
        <v>7151.48</v>
      </c>
      <c r="AE794" s="3">
        <f t="shared" si="165"/>
        <v>108293.84</v>
      </c>
      <c r="AF794" s="3">
        <f>SUM(ecommerce_sales_all_data[[#This Row],[revenue_month_1]:[revenue_month_12]])</f>
        <v>1081150.53</v>
      </c>
    </row>
    <row r="795" spans="1:32" x14ac:dyDescent="0.3">
      <c r="A795">
        <v>794</v>
      </c>
      <c r="B795" t="s">
        <v>818</v>
      </c>
      <c r="C795" t="s">
        <v>48</v>
      </c>
      <c r="D795" s="2">
        <v>307.67</v>
      </c>
      <c r="E795">
        <v>3.7</v>
      </c>
      <c r="F795">
        <v>833</v>
      </c>
      <c r="G795" s="1">
        <v>825</v>
      </c>
      <c r="H795" s="1">
        <v>338</v>
      </c>
      <c r="I795" s="1">
        <v>24</v>
      </c>
      <c r="J795" s="1">
        <v>698</v>
      </c>
      <c r="K795" s="1">
        <v>232</v>
      </c>
      <c r="L795" s="1">
        <v>140</v>
      </c>
      <c r="M795" s="1">
        <v>422</v>
      </c>
      <c r="N795" s="1">
        <v>675</v>
      </c>
      <c r="O795" s="1">
        <v>582</v>
      </c>
      <c r="P795" s="1">
        <v>81</v>
      </c>
      <c r="Q795" s="1">
        <v>360</v>
      </c>
      <c r="R795" s="1">
        <v>292</v>
      </c>
      <c r="S795" s="1">
        <f>SUM(ecommerce_sales_all_data[[#This Row],[sales_month_1]:[sales_month_12]])</f>
        <v>4669</v>
      </c>
      <c r="T795" s="3">
        <f t="shared" si="154"/>
        <v>253827.75</v>
      </c>
      <c r="U795" s="3">
        <f t="shared" si="155"/>
        <v>103992.46</v>
      </c>
      <c r="V795" s="3">
        <f t="shared" si="156"/>
        <v>7384.08</v>
      </c>
      <c r="W795" s="3">
        <f t="shared" si="157"/>
        <v>214753.66</v>
      </c>
      <c r="X795" s="3">
        <f t="shared" si="158"/>
        <v>71379.44</v>
      </c>
      <c r="Y795" s="3">
        <f t="shared" si="159"/>
        <v>43073.8</v>
      </c>
      <c r="Z795" s="3">
        <f t="shared" si="160"/>
        <v>129836.74</v>
      </c>
      <c r="AA795" s="3">
        <f t="shared" si="161"/>
        <v>207677.25</v>
      </c>
      <c r="AB795" s="3">
        <f t="shared" si="162"/>
        <v>179063.94</v>
      </c>
      <c r="AC795" s="3">
        <f t="shared" si="163"/>
        <v>24921.27</v>
      </c>
      <c r="AD795" s="3">
        <f t="shared" si="164"/>
        <v>110761.20000000001</v>
      </c>
      <c r="AE795" s="3">
        <f t="shared" si="165"/>
        <v>89839.64</v>
      </c>
      <c r="AF795" s="3">
        <f>SUM(ecommerce_sales_all_data[[#This Row],[revenue_month_1]:[revenue_month_12]])</f>
        <v>1436511.23</v>
      </c>
    </row>
    <row r="796" spans="1:32" x14ac:dyDescent="0.3">
      <c r="A796">
        <v>795</v>
      </c>
      <c r="B796" t="s">
        <v>819</v>
      </c>
      <c r="C796" t="s">
        <v>26</v>
      </c>
      <c r="D796" s="2">
        <v>13.96</v>
      </c>
      <c r="E796">
        <v>1.2</v>
      </c>
      <c r="F796">
        <v>31</v>
      </c>
      <c r="G796" s="1">
        <v>305</v>
      </c>
      <c r="H796" s="1">
        <v>536</v>
      </c>
      <c r="I796" s="1">
        <v>585</v>
      </c>
      <c r="J796" s="1">
        <v>288</v>
      </c>
      <c r="K796" s="1">
        <v>333</v>
      </c>
      <c r="L796" s="1">
        <v>666</v>
      </c>
      <c r="M796" s="1">
        <v>605</v>
      </c>
      <c r="N796" s="1">
        <v>788</v>
      </c>
      <c r="O796" s="1">
        <v>82</v>
      </c>
      <c r="P796" s="1">
        <v>61</v>
      </c>
      <c r="Q796" s="1">
        <v>307</v>
      </c>
      <c r="R796" s="1">
        <v>184</v>
      </c>
      <c r="S796" s="1">
        <f>SUM(ecommerce_sales_all_data[[#This Row],[sales_month_1]:[sales_month_12]])</f>
        <v>4740</v>
      </c>
      <c r="T796" s="3">
        <f t="shared" si="154"/>
        <v>4257.8</v>
      </c>
      <c r="U796" s="3">
        <f t="shared" si="155"/>
        <v>7482.56</v>
      </c>
      <c r="V796" s="3">
        <f t="shared" si="156"/>
        <v>8166.6</v>
      </c>
      <c r="W796" s="3">
        <f t="shared" si="157"/>
        <v>4020.4800000000005</v>
      </c>
      <c r="X796" s="3">
        <f t="shared" si="158"/>
        <v>4648.68</v>
      </c>
      <c r="Y796" s="3">
        <f t="shared" si="159"/>
        <v>9297.36</v>
      </c>
      <c r="Z796" s="3">
        <f t="shared" si="160"/>
        <v>8445.8000000000011</v>
      </c>
      <c r="AA796" s="3">
        <f t="shared" si="161"/>
        <v>11000.480000000001</v>
      </c>
      <c r="AB796" s="3">
        <f t="shared" si="162"/>
        <v>1144.72</v>
      </c>
      <c r="AC796" s="3">
        <f t="shared" si="163"/>
        <v>851.56000000000006</v>
      </c>
      <c r="AD796" s="3">
        <f t="shared" si="164"/>
        <v>4285.72</v>
      </c>
      <c r="AE796" s="3">
        <f t="shared" si="165"/>
        <v>2568.6400000000003</v>
      </c>
      <c r="AF796" s="3">
        <f>SUM(ecommerce_sales_all_data[[#This Row],[revenue_month_1]:[revenue_month_12]])</f>
        <v>66170.400000000009</v>
      </c>
    </row>
    <row r="797" spans="1:32" x14ac:dyDescent="0.3">
      <c r="A797">
        <v>796</v>
      </c>
      <c r="B797" t="s">
        <v>820</v>
      </c>
      <c r="C797" t="s">
        <v>35</v>
      </c>
      <c r="D797" s="2">
        <v>436.7</v>
      </c>
      <c r="E797">
        <v>1.3</v>
      </c>
      <c r="F797">
        <v>388</v>
      </c>
      <c r="G797" s="1">
        <v>541</v>
      </c>
      <c r="H797" s="1">
        <v>67</v>
      </c>
      <c r="I797" s="1">
        <v>717</v>
      </c>
      <c r="J797" s="1">
        <v>914</v>
      </c>
      <c r="K797" s="1">
        <v>810</v>
      </c>
      <c r="L797" s="1">
        <v>261</v>
      </c>
      <c r="M797" s="1">
        <v>173</v>
      </c>
      <c r="N797" s="1">
        <v>292</v>
      </c>
      <c r="O797" s="1">
        <v>56</v>
      </c>
      <c r="P797" s="1">
        <v>798</v>
      </c>
      <c r="Q797" s="1">
        <v>882</v>
      </c>
      <c r="R797" s="1">
        <v>553</v>
      </c>
      <c r="S797" s="1">
        <f>SUM(ecommerce_sales_all_data[[#This Row],[sales_month_1]:[sales_month_12]])</f>
        <v>6064</v>
      </c>
      <c r="T797" s="3">
        <f t="shared" si="154"/>
        <v>236254.69999999998</v>
      </c>
      <c r="U797" s="3">
        <f t="shared" si="155"/>
        <v>29258.899999999998</v>
      </c>
      <c r="V797" s="3">
        <f t="shared" si="156"/>
        <v>313113.89999999997</v>
      </c>
      <c r="W797" s="3">
        <f t="shared" si="157"/>
        <v>399143.8</v>
      </c>
      <c r="X797" s="3">
        <f t="shared" si="158"/>
        <v>353727</v>
      </c>
      <c r="Y797" s="3">
        <f t="shared" si="159"/>
        <v>113978.7</v>
      </c>
      <c r="Z797" s="3">
        <f t="shared" si="160"/>
        <v>75549.099999999991</v>
      </c>
      <c r="AA797" s="3">
        <f t="shared" si="161"/>
        <v>127516.4</v>
      </c>
      <c r="AB797" s="3">
        <f t="shared" si="162"/>
        <v>24455.200000000001</v>
      </c>
      <c r="AC797" s="3">
        <f t="shared" si="163"/>
        <v>348486.6</v>
      </c>
      <c r="AD797" s="3">
        <f t="shared" si="164"/>
        <v>385169.39999999997</v>
      </c>
      <c r="AE797" s="3">
        <f t="shared" si="165"/>
        <v>241495.1</v>
      </c>
      <c r="AF797" s="3">
        <f>SUM(ecommerce_sales_all_data[[#This Row],[revenue_month_1]:[revenue_month_12]])</f>
        <v>2648148.7999999998</v>
      </c>
    </row>
    <row r="798" spans="1:32" x14ac:dyDescent="0.3">
      <c r="A798">
        <v>797</v>
      </c>
      <c r="B798" t="s">
        <v>821</v>
      </c>
      <c r="C798" t="s">
        <v>21</v>
      </c>
      <c r="D798" s="2">
        <v>466.4</v>
      </c>
      <c r="E798">
        <v>3.9</v>
      </c>
      <c r="F798">
        <v>625</v>
      </c>
      <c r="G798" s="1">
        <v>701</v>
      </c>
      <c r="H798" s="1">
        <v>572</v>
      </c>
      <c r="I798" s="1">
        <v>489</v>
      </c>
      <c r="J798" s="1">
        <v>539</v>
      </c>
      <c r="K798" s="1">
        <v>665</v>
      </c>
      <c r="L798" s="1">
        <v>784</v>
      </c>
      <c r="M798" s="1">
        <v>676</v>
      </c>
      <c r="N798" s="1">
        <v>627</v>
      </c>
      <c r="O798" s="1">
        <v>375</v>
      </c>
      <c r="P798" s="1">
        <v>499</v>
      </c>
      <c r="Q798" s="1">
        <v>941</v>
      </c>
      <c r="R798" s="1">
        <v>430</v>
      </c>
      <c r="S798" s="1">
        <f>SUM(ecommerce_sales_all_data[[#This Row],[sales_month_1]:[sales_month_12]])</f>
        <v>7298</v>
      </c>
      <c r="T798" s="3">
        <f t="shared" si="154"/>
        <v>326946.39999999997</v>
      </c>
      <c r="U798" s="3">
        <f t="shared" si="155"/>
        <v>266780.79999999999</v>
      </c>
      <c r="V798" s="3">
        <f t="shared" si="156"/>
        <v>228069.59999999998</v>
      </c>
      <c r="W798" s="3">
        <f t="shared" si="157"/>
        <v>251389.59999999998</v>
      </c>
      <c r="X798" s="3">
        <f t="shared" si="158"/>
        <v>310156</v>
      </c>
      <c r="Y798" s="3">
        <f t="shared" si="159"/>
        <v>365657.59999999998</v>
      </c>
      <c r="Z798" s="3">
        <f t="shared" si="160"/>
        <v>315286.39999999997</v>
      </c>
      <c r="AA798" s="3">
        <f t="shared" si="161"/>
        <v>292432.8</v>
      </c>
      <c r="AB798" s="3">
        <f t="shared" si="162"/>
        <v>174900</v>
      </c>
      <c r="AC798" s="3">
        <f t="shared" si="163"/>
        <v>232733.59999999998</v>
      </c>
      <c r="AD798" s="3">
        <f t="shared" si="164"/>
        <v>438882.39999999997</v>
      </c>
      <c r="AE798" s="3">
        <f t="shared" si="165"/>
        <v>200552</v>
      </c>
      <c r="AF798" s="3">
        <f>SUM(ecommerce_sales_all_data[[#This Row],[revenue_month_1]:[revenue_month_12]])</f>
        <v>3403787.1999999997</v>
      </c>
    </row>
    <row r="799" spans="1:32" x14ac:dyDescent="0.3">
      <c r="A799">
        <v>798</v>
      </c>
      <c r="B799" t="s">
        <v>822</v>
      </c>
      <c r="C799" t="s">
        <v>35</v>
      </c>
      <c r="D799" s="2">
        <v>284.74</v>
      </c>
      <c r="E799">
        <v>1.3</v>
      </c>
      <c r="F799">
        <v>877</v>
      </c>
      <c r="G799" s="1">
        <v>868</v>
      </c>
      <c r="H799" s="1">
        <v>540</v>
      </c>
      <c r="I799" s="1">
        <v>493</v>
      </c>
      <c r="J799" s="1">
        <v>890</v>
      </c>
      <c r="K799" s="1">
        <v>89</v>
      </c>
      <c r="L799" s="1">
        <v>419</v>
      </c>
      <c r="M799" s="1">
        <v>114</v>
      </c>
      <c r="N799" s="1">
        <v>535</v>
      </c>
      <c r="O799" s="1">
        <v>348</v>
      </c>
      <c r="P799" s="1">
        <v>41</v>
      </c>
      <c r="Q799" s="1">
        <v>161</v>
      </c>
      <c r="R799" s="1">
        <v>603</v>
      </c>
      <c r="S799" s="1">
        <f>SUM(ecommerce_sales_all_data[[#This Row],[sales_month_1]:[sales_month_12]])</f>
        <v>5101</v>
      </c>
      <c r="T799" s="3">
        <f t="shared" si="154"/>
        <v>247154.32</v>
      </c>
      <c r="U799" s="3">
        <f t="shared" si="155"/>
        <v>153759.6</v>
      </c>
      <c r="V799" s="3">
        <f t="shared" si="156"/>
        <v>140376.82</v>
      </c>
      <c r="W799" s="3">
        <f t="shared" si="157"/>
        <v>253418.6</v>
      </c>
      <c r="X799" s="3">
        <f t="shared" si="158"/>
        <v>25341.86</v>
      </c>
      <c r="Y799" s="3">
        <f t="shared" si="159"/>
        <v>119306.06</v>
      </c>
      <c r="Z799" s="3">
        <f t="shared" si="160"/>
        <v>32460.36</v>
      </c>
      <c r="AA799" s="3">
        <f t="shared" si="161"/>
        <v>152335.9</v>
      </c>
      <c r="AB799" s="3">
        <f t="shared" si="162"/>
        <v>99089.52</v>
      </c>
      <c r="AC799" s="3">
        <f t="shared" si="163"/>
        <v>11674.34</v>
      </c>
      <c r="AD799" s="3">
        <f t="shared" si="164"/>
        <v>45843.14</v>
      </c>
      <c r="AE799" s="3">
        <f t="shared" si="165"/>
        <v>171698.22</v>
      </c>
      <c r="AF799" s="3">
        <f>SUM(ecommerce_sales_all_data[[#This Row],[revenue_month_1]:[revenue_month_12]])</f>
        <v>1452458.74</v>
      </c>
    </row>
    <row r="800" spans="1:32" x14ac:dyDescent="0.3">
      <c r="A800">
        <v>799</v>
      </c>
      <c r="B800" t="s">
        <v>823</v>
      </c>
      <c r="C800" t="s">
        <v>19</v>
      </c>
      <c r="D800" s="2">
        <v>349.84</v>
      </c>
      <c r="E800">
        <v>1.3</v>
      </c>
      <c r="F800">
        <v>434</v>
      </c>
      <c r="G800" s="1">
        <v>536</v>
      </c>
      <c r="H800" s="1">
        <v>382</v>
      </c>
      <c r="I800" s="1">
        <v>313</v>
      </c>
      <c r="J800" s="1">
        <v>691</v>
      </c>
      <c r="K800" s="1">
        <v>333</v>
      </c>
      <c r="L800" s="1">
        <v>743</v>
      </c>
      <c r="M800" s="1">
        <v>219</v>
      </c>
      <c r="N800" s="1">
        <v>310</v>
      </c>
      <c r="O800" s="1">
        <v>270</v>
      </c>
      <c r="P800" s="1">
        <v>11</v>
      </c>
      <c r="Q800" s="1">
        <v>868</v>
      </c>
      <c r="R800" s="1">
        <v>316</v>
      </c>
      <c r="S800" s="1">
        <f>SUM(ecommerce_sales_all_data[[#This Row],[sales_month_1]:[sales_month_12]])</f>
        <v>4992</v>
      </c>
      <c r="T800" s="3">
        <f t="shared" si="154"/>
        <v>187514.23999999999</v>
      </c>
      <c r="U800" s="3">
        <f t="shared" si="155"/>
        <v>133638.88</v>
      </c>
      <c r="V800" s="3">
        <f t="shared" si="156"/>
        <v>109499.92</v>
      </c>
      <c r="W800" s="3">
        <f t="shared" si="157"/>
        <v>241739.43999999997</v>
      </c>
      <c r="X800" s="3">
        <f t="shared" si="158"/>
        <v>116496.71999999999</v>
      </c>
      <c r="Y800" s="3">
        <f t="shared" si="159"/>
        <v>259931.12</v>
      </c>
      <c r="Z800" s="3">
        <f t="shared" si="160"/>
        <v>76614.959999999992</v>
      </c>
      <c r="AA800" s="3">
        <f t="shared" si="161"/>
        <v>108450.4</v>
      </c>
      <c r="AB800" s="3">
        <f t="shared" si="162"/>
        <v>94456.799999999988</v>
      </c>
      <c r="AC800" s="3">
        <f t="shared" si="163"/>
        <v>3848.24</v>
      </c>
      <c r="AD800" s="3">
        <f t="shared" si="164"/>
        <v>303661.12</v>
      </c>
      <c r="AE800" s="3">
        <f t="shared" si="165"/>
        <v>110549.43999999999</v>
      </c>
      <c r="AF800" s="3">
        <f>SUM(ecommerce_sales_all_data[[#This Row],[revenue_month_1]:[revenue_month_12]])</f>
        <v>1746401.2799999998</v>
      </c>
    </row>
    <row r="801" spans="1:32" x14ac:dyDescent="0.3">
      <c r="A801">
        <v>800</v>
      </c>
      <c r="B801" t="s">
        <v>824</v>
      </c>
      <c r="C801" t="s">
        <v>35</v>
      </c>
      <c r="D801" s="2">
        <v>461.64</v>
      </c>
      <c r="E801">
        <v>1</v>
      </c>
      <c r="F801">
        <v>837</v>
      </c>
      <c r="G801" s="1">
        <v>111</v>
      </c>
      <c r="H801" s="1">
        <v>18</v>
      </c>
      <c r="I801" s="1">
        <v>605</v>
      </c>
      <c r="J801" s="1">
        <v>252</v>
      </c>
      <c r="K801" s="1">
        <v>198</v>
      </c>
      <c r="L801" s="1">
        <v>240</v>
      </c>
      <c r="M801" s="1">
        <v>955</v>
      </c>
      <c r="N801" s="1">
        <v>536</v>
      </c>
      <c r="O801" s="1">
        <v>482</v>
      </c>
      <c r="P801" s="1">
        <v>832</v>
      </c>
      <c r="Q801" s="1">
        <v>851</v>
      </c>
      <c r="R801" s="1">
        <v>397</v>
      </c>
      <c r="S801" s="1">
        <f>SUM(ecommerce_sales_all_data[[#This Row],[sales_month_1]:[sales_month_12]])</f>
        <v>5477</v>
      </c>
      <c r="T801" s="3">
        <f t="shared" si="154"/>
        <v>51242.04</v>
      </c>
      <c r="U801" s="3">
        <f t="shared" si="155"/>
        <v>8309.52</v>
      </c>
      <c r="V801" s="3">
        <f t="shared" si="156"/>
        <v>279292.2</v>
      </c>
      <c r="W801" s="3">
        <f t="shared" si="157"/>
        <v>116333.28</v>
      </c>
      <c r="X801" s="3">
        <f t="shared" si="158"/>
        <v>91404.72</v>
      </c>
      <c r="Y801" s="3">
        <f t="shared" si="159"/>
        <v>110793.59999999999</v>
      </c>
      <c r="Z801" s="3">
        <f t="shared" si="160"/>
        <v>440866.2</v>
      </c>
      <c r="AA801" s="3">
        <f t="shared" si="161"/>
        <v>247439.03999999998</v>
      </c>
      <c r="AB801" s="3">
        <f t="shared" si="162"/>
        <v>222510.47999999998</v>
      </c>
      <c r="AC801" s="3">
        <f t="shared" si="163"/>
        <v>384084.47999999998</v>
      </c>
      <c r="AD801" s="3">
        <f t="shared" si="164"/>
        <v>392855.64</v>
      </c>
      <c r="AE801" s="3">
        <f t="shared" si="165"/>
        <v>183271.08</v>
      </c>
      <c r="AF801" s="3">
        <f>SUM(ecommerce_sales_all_data[[#This Row],[revenue_month_1]:[revenue_month_12]])</f>
        <v>2528402.2800000003</v>
      </c>
    </row>
    <row r="802" spans="1:32" x14ac:dyDescent="0.3">
      <c r="A802">
        <v>801</v>
      </c>
      <c r="B802" t="s">
        <v>825</v>
      </c>
      <c r="C802" t="s">
        <v>48</v>
      </c>
      <c r="D802" s="2">
        <v>355.08</v>
      </c>
      <c r="E802">
        <v>4.8</v>
      </c>
      <c r="F802">
        <v>926</v>
      </c>
      <c r="G802" s="1">
        <v>410</v>
      </c>
      <c r="H802" s="1">
        <v>682</v>
      </c>
      <c r="I802" s="1">
        <v>374</v>
      </c>
      <c r="J802" s="1">
        <v>125</v>
      </c>
      <c r="K802" s="1">
        <v>160</v>
      </c>
      <c r="L802" s="1">
        <v>354</v>
      </c>
      <c r="M802" s="1">
        <v>30</v>
      </c>
      <c r="N802" s="1">
        <v>902</v>
      </c>
      <c r="O802" s="1">
        <v>110</v>
      </c>
      <c r="P802" s="1">
        <v>745</v>
      </c>
      <c r="Q802" s="1">
        <v>60</v>
      </c>
      <c r="R802" s="1">
        <v>323</v>
      </c>
      <c r="S802" s="1">
        <f>SUM(ecommerce_sales_all_data[[#This Row],[sales_month_1]:[sales_month_12]])</f>
        <v>4275</v>
      </c>
      <c r="T802" s="3">
        <f t="shared" si="154"/>
        <v>145582.79999999999</v>
      </c>
      <c r="U802" s="3">
        <f t="shared" si="155"/>
        <v>242164.56</v>
      </c>
      <c r="V802" s="3">
        <f t="shared" si="156"/>
        <v>132799.91999999998</v>
      </c>
      <c r="W802" s="3">
        <f t="shared" si="157"/>
        <v>44385</v>
      </c>
      <c r="X802" s="3">
        <f t="shared" si="158"/>
        <v>56812.799999999996</v>
      </c>
      <c r="Y802" s="3">
        <f t="shared" si="159"/>
        <v>125698.31999999999</v>
      </c>
      <c r="Z802" s="3">
        <f t="shared" si="160"/>
        <v>10652.4</v>
      </c>
      <c r="AA802" s="3">
        <f t="shared" si="161"/>
        <v>320282.15999999997</v>
      </c>
      <c r="AB802" s="3">
        <f t="shared" si="162"/>
        <v>39058.799999999996</v>
      </c>
      <c r="AC802" s="3">
        <f t="shared" si="163"/>
        <v>264534.59999999998</v>
      </c>
      <c r="AD802" s="3">
        <f t="shared" si="164"/>
        <v>21304.799999999999</v>
      </c>
      <c r="AE802" s="3">
        <f t="shared" si="165"/>
        <v>114690.84</v>
      </c>
      <c r="AF802" s="3">
        <f>SUM(ecommerce_sales_all_data[[#This Row],[revenue_month_1]:[revenue_month_12]])</f>
        <v>1517967</v>
      </c>
    </row>
    <row r="803" spans="1:32" x14ac:dyDescent="0.3">
      <c r="A803">
        <v>802</v>
      </c>
      <c r="B803" t="s">
        <v>826</v>
      </c>
      <c r="C803" t="s">
        <v>19</v>
      </c>
      <c r="D803" s="2">
        <v>80.510000000000005</v>
      </c>
      <c r="E803">
        <v>4</v>
      </c>
      <c r="F803">
        <v>376</v>
      </c>
      <c r="G803" s="1">
        <v>946</v>
      </c>
      <c r="H803" s="1">
        <v>449</v>
      </c>
      <c r="I803" s="1">
        <v>638</v>
      </c>
      <c r="J803" s="1">
        <v>176</v>
      </c>
      <c r="K803" s="1">
        <v>537</v>
      </c>
      <c r="L803" s="1">
        <v>848</v>
      </c>
      <c r="M803" s="1">
        <v>522</v>
      </c>
      <c r="N803" s="1">
        <v>638</v>
      </c>
      <c r="O803" s="1">
        <v>868</v>
      </c>
      <c r="P803" s="1">
        <v>840</v>
      </c>
      <c r="Q803" s="1">
        <v>124</v>
      </c>
      <c r="R803" s="1">
        <v>564</v>
      </c>
      <c r="S803" s="1">
        <f>SUM(ecommerce_sales_all_data[[#This Row],[sales_month_1]:[sales_month_12]])</f>
        <v>7150</v>
      </c>
      <c r="T803" s="3">
        <f t="shared" si="154"/>
        <v>76162.460000000006</v>
      </c>
      <c r="U803" s="3">
        <f t="shared" si="155"/>
        <v>36148.990000000005</v>
      </c>
      <c r="V803" s="3">
        <f t="shared" si="156"/>
        <v>51365.380000000005</v>
      </c>
      <c r="W803" s="3">
        <f t="shared" si="157"/>
        <v>14169.76</v>
      </c>
      <c r="X803" s="3">
        <f t="shared" si="158"/>
        <v>43233.87</v>
      </c>
      <c r="Y803" s="3">
        <f t="shared" si="159"/>
        <v>68272.48000000001</v>
      </c>
      <c r="Z803" s="3">
        <f t="shared" si="160"/>
        <v>42026.22</v>
      </c>
      <c r="AA803" s="3">
        <f t="shared" si="161"/>
        <v>51365.380000000005</v>
      </c>
      <c r="AB803" s="3">
        <f t="shared" si="162"/>
        <v>69882.680000000008</v>
      </c>
      <c r="AC803" s="3">
        <f t="shared" si="163"/>
        <v>67628.400000000009</v>
      </c>
      <c r="AD803" s="3">
        <f t="shared" si="164"/>
        <v>9983.24</v>
      </c>
      <c r="AE803" s="3">
        <f t="shared" si="165"/>
        <v>45407.64</v>
      </c>
      <c r="AF803" s="3">
        <f>SUM(ecommerce_sales_all_data[[#This Row],[revenue_month_1]:[revenue_month_12]])</f>
        <v>575646.50000000012</v>
      </c>
    </row>
    <row r="804" spans="1:32" x14ac:dyDescent="0.3">
      <c r="A804">
        <v>803</v>
      </c>
      <c r="B804" t="s">
        <v>827</v>
      </c>
      <c r="C804" t="s">
        <v>29</v>
      </c>
      <c r="D804" s="2">
        <v>290.26</v>
      </c>
      <c r="E804">
        <v>2.4</v>
      </c>
      <c r="F804">
        <v>344</v>
      </c>
      <c r="G804" s="1">
        <v>205</v>
      </c>
      <c r="H804" s="1">
        <v>73</v>
      </c>
      <c r="I804" s="1">
        <v>936</v>
      </c>
      <c r="J804" s="1">
        <v>36</v>
      </c>
      <c r="K804" s="1">
        <v>120</v>
      </c>
      <c r="L804" s="1">
        <v>1000</v>
      </c>
      <c r="M804" s="1">
        <v>342</v>
      </c>
      <c r="N804" s="1">
        <v>233</v>
      </c>
      <c r="O804" s="1">
        <v>886</v>
      </c>
      <c r="P804" s="1">
        <v>642</v>
      </c>
      <c r="Q804" s="1">
        <v>455</v>
      </c>
      <c r="R804" s="1">
        <v>595</v>
      </c>
      <c r="S804" s="1">
        <f>SUM(ecommerce_sales_all_data[[#This Row],[sales_month_1]:[sales_month_12]])</f>
        <v>5523</v>
      </c>
      <c r="T804" s="3">
        <f t="shared" si="154"/>
        <v>59503.299999999996</v>
      </c>
      <c r="U804" s="3">
        <f t="shared" si="155"/>
        <v>21188.98</v>
      </c>
      <c r="V804" s="3">
        <f t="shared" si="156"/>
        <v>271683.36</v>
      </c>
      <c r="W804" s="3">
        <f t="shared" si="157"/>
        <v>10449.36</v>
      </c>
      <c r="X804" s="3">
        <f t="shared" si="158"/>
        <v>34831.199999999997</v>
      </c>
      <c r="Y804" s="3">
        <f t="shared" si="159"/>
        <v>290260</v>
      </c>
      <c r="Z804" s="3">
        <f t="shared" si="160"/>
        <v>99268.92</v>
      </c>
      <c r="AA804" s="3">
        <f t="shared" si="161"/>
        <v>67630.58</v>
      </c>
      <c r="AB804" s="3">
        <f t="shared" si="162"/>
        <v>257170.36</v>
      </c>
      <c r="AC804" s="3">
        <f t="shared" si="163"/>
        <v>186346.91999999998</v>
      </c>
      <c r="AD804" s="3">
        <f t="shared" si="164"/>
        <v>132068.29999999999</v>
      </c>
      <c r="AE804" s="3">
        <f t="shared" si="165"/>
        <v>172704.69999999998</v>
      </c>
      <c r="AF804" s="3">
        <f>SUM(ecommerce_sales_all_data[[#This Row],[revenue_month_1]:[revenue_month_12]])</f>
        <v>1603105.98</v>
      </c>
    </row>
    <row r="805" spans="1:32" x14ac:dyDescent="0.3">
      <c r="A805">
        <v>804</v>
      </c>
      <c r="B805" t="s">
        <v>828</v>
      </c>
      <c r="C805" t="s">
        <v>23</v>
      </c>
      <c r="D805" s="2">
        <v>305.32</v>
      </c>
      <c r="E805">
        <v>2.2000000000000002</v>
      </c>
      <c r="F805">
        <v>443</v>
      </c>
      <c r="G805" s="1">
        <v>184</v>
      </c>
      <c r="H805" s="1">
        <v>572</v>
      </c>
      <c r="I805" s="1">
        <v>24</v>
      </c>
      <c r="J805" s="1">
        <v>409</v>
      </c>
      <c r="K805" s="1">
        <v>300</v>
      </c>
      <c r="L805" s="1">
        <v>769</v>
      </c>
      <c r="M805" s="1">
        <v>376</v>
      </c>
      <c r="N805" s="1">
        <v>208</v>
      </c>
      <c r="O805" s="1">
        <v>75</v>
      </c>
      <c r="P805" s="1">
        <v>114</v>
      </c>
      <c r="Q805" s="1">
        <v>70</v>
      </c>
      <c r="R805" s="1">
        <v>545</v>
      </c>
      <c r="S805" s="1">
        <f>SUM(ecommerce_sales_all_data[[#This Row],[sales_month_1]:[sales_month_12]])</f>
        <v>3646</v>
      </c>
      <c r="T805" s="3">
        <f t="shared" si="154"/>
        <v>56178.879999999997</v>
      </c>
      <c r="U805" s="3">
        <f t="shared" si="155"/>
        <v>174643.04</v>
      </c>
      <c r="V805" s="3">
        <f t="shared" si="156"/>
        <v>7327.68</v>
      </c>
      <c r="W805" s="3">
        <f t="shared" si="157"/>
        <v>124875.87999999999</v>
      </c>
      <c r="X805" s="3">
        <f t="shared" si="158"/>
        <v>91596</v>
      </c>
      <c r="Y805" s="3">
        <f t="shared" si="159"/>
        <v>234791.08</v>
      </c>
      <c r="Z805" s="3">
        <f t="shared" si="160"/>
        <v>114800.31999999999</v>
      </c>
      <c r="AA805" s="3">
        <f t="shared" si="161"/>
        <v>63506.559999999998</v>
      </c>
      <c r="AB805" s="3">
        <f t="shared" si="162"/>
        <v>22899</v>
      </c>
      <c r="AC805" s="3">
        <f t="shared" si="163"/>
        <v>34806.479999999996</v>
      </c>
      <c r="AD805" s="3">
        <f t="shared" si="164"/>
        <v>21372.399999999998</v>
      </c>
      <c r="AE805" s="3">
        <f t="shared" si="165"/>
        <v>166399.4</v>
      </c>
      <c r="AF805" s="3">
        <f>SUM(ecommerce_sales_all_data[[#This Row],[revenue_month_1]:[revenue_month_12]])</f>
        <v>1113196.72</v>
      </c>
    </row>
    <row r="806" spans="1:32" x14ac:dyDescent="0.3">
      <c r="A806">
        <v>805</v>
      </c>
      <c r="B806" t="s">
        <v>829</v>
      </c>
      <c r="C806" t="s">
        <v>29</v>
      </c>
      <c r="D806" s="2">
        <v>214.94</v>
      </c>
      <c r="E806">
        <v>2.4</v>
      </c>
      <c r="F806">
        <v>579</v>
      </c>
      <c r="G806" s="1">
        <v>381</v>
      </c>
      <c r="H806" s="1">
        <v>938</v>
      </c>
      <c r="I806" s="1">
        <v>333</v>
      </c>
      <c r="J806" s="1">
        <v>610</v>
      </c>
      <c r="K806" s="1">
        <v>723</v>
      </c>
      <c r="L806" s="1">
        <v>760</v>
      </c>
      <c r="M806" s="1">
        <v>129</v>
      </c>
      <c r="N806" s="1">
        <v>604</v>
      </c>
      <c r="O806" s="1">
        <v>157</v>
      </c>
      <c r="P806" s="1">
        <v>217</v>
      </c>
      <c r="Q806" s="1">
        <v>837</v>
      </c>
      <c r="R806" s="1">
        <v>75</v>
      </c>
      <c r="S806" s="1">
        <f>SUM(ecommerce_sales_all_data[[#This Row],[sales_month_1]:[sales_month_12]])</f>
        <v>5764</v>
      </c>
      <c r="T806" s="3">
        <f t="shared" si="154"/>
        <v>81892.14</v>
      </c>
      <c r="U806" s="3">
        <f t="shared" si="155"/>
        <v>201613.72</v>
      </c>
      <c r="V806" s="3">
        <f t="shared" si="156"/>
        <v>71575.02</v>
      </c>
      <c r="W806" s="3">
        <f t="shared" si="157"/>
        <v>131113.4</v>
      </c>
      <c r="X806" s="3">
        <f t="shared" si="158"/>
        <v>155401.62</v>
      </c>
      <c r="Y806" s="3">
        <f t="shared" si="159"/>
        <v>163354.4</v>
      </c>
      <c r="Z806" s="3">
        <f t="shared" si="160"/>
        <v>27727.26</v>
      </c>
      <c r="AA806" s="3">
        <f t="shared" si="161"/>
        <v>129823.76</v>
      </c>
      <c r="AB806" s="3">
        <f t="shared" si="162"/>
        <v>33745.58</v>
      </c>
      <c r="AC806" s="3">
        <f t="shared" si="163"/>
        <v>46641.979999999996</v>
      </c>
      <c r="AD806" s="3">
        <f t="shared" si="164"/>
        <v>179904.78</v>
      </c>
      <c r="AE806" s="3">
        <f t="shared" si="165"/>
        <v>16120.5</v>
      </c>
      <c r="AF806" s="3">
        <f>SUM(ecommerce_sales_all_data[[#This Row],[revenue_month_1]:[revenue_month_12]])</f>
        <v>1238914.1599999999</v>
      </c>
    </row>
    <row r="807" spans="1:32" x14ac:dyDescent="0.3">
      <c r="A807">
        <v>806</v>
      </c>
      <c r="B807" t="s">
        <v>830</v>
      </c>
      <c r="C807" t="s">
        <v>48</v>
      </c>
      <c r="D807" s="2">
        <v>369.54</v>
      </c>
      <c r="E807">
        <v>4.0999999999999996</v>
      </c>
      <c r="F807">
        <v>75</v>
      </c>
      <c r="G807" s="1">
        <v>495</v>
      </c>
      <c r="H807" s="1">
        <v>664</v>
      </c>
      <c r="I807" s="1">
        <v>354</v>
      </c>
      <c r="J807" s="1">
        <v>609</v>
      </c>
      <c r="K807" s="1">
        <v>574</v>
      </c>
      <c r="L807" s="1">
        <v>588</v>
      </c>
      <c r="M807" s="1">
        <v>999</v>
      </c>
      <c r="N807" s="1">
        <v>93</v>
      </c>
      <c r="O807" s="1">
        <v>531</v>
      </c>
      <c r="P807" s="1">
        <v>648</v>
      </c>
      <c r="Q807" s="1">
        <v>906</v>
      </c>
      <c r="R807" s="1">
        <v>864</v>
      </c>
      <c r="S807" s="1">
        <f>SUM(ecommerce_sales_all_data[[#This Row],[sales_month_1]:[sales_month_12]])</f>
        <v>7325</v>
      </c>
      <c r="T807" s="3">
        <f t="shared" si="154"/>
        <v>182922.30000000002</v>
      </c>
      <c r="U807" s="3">
        <f t="shared" si="155"/>
        <v>245374.56000000003</v>
      </c>
      <c r="V807" s="3">
        <f t="shared" si="156"/>
        <v>130817.16</v>
      </c>
      <c r="W807" s="3">
        <f t="shared" si="157"/>
        <v>225049.86000000002</v>
      </c>
      <c r="X807" s="3">
        <f t="shared" si="158"/>
        <v>212115.96000000002</v>
      </c>
      <c r="Y807" s="3">
        <f t="shared" si="159"/>
        <v>217289.52000000002</v>
      </c>
      <c r="Z807" s="3">
        <f t="shared" si="160"/>
        <v>369170.46</v>
      </c>
      <c r="AA807" s="3">
        <f t="shared" si="161"/>
        <v>34367.22</v>
      </c>
      <c r="AB807" s="3">
        <f t="shared" si="162"/>
        <v>196225.74000000002</v>
      </c>
      <c r="AC807" s="3">
        <f t="shared" si="163"/>
        <v>239461.92</v>
      </c>
      <c r="AD807" s="3">
        <f t="shared" si="164"/>
        <v>334803.24</v>
      </c>
      <c r="AE807" s="3">
        <f t="shared" si="165"/>
        <v>319282.56</v>
      </c>
      <c r="AF807" s="3">
        <f>SUM(ecommerce_sales_all_data[[#This Row],[revenue_month_1]:[revenue_month_12]])</f>
        <v>2706880.5</v>
      </c>
    </row>
    <row r="808" spans="1:32" x14ac:dyDescent="0.3">
      <c r="A808">
        <v>807</v>
      </c>
      <c r="B808" t="s">
        <v>831</v>
      </c>
      <c r="C808" t="s">
        <v>23</v>
      </c>
      <c r="D808" s="2">
        <v>467.51</v>
      </c>
      <c r="E808">
        <v>3.6</v>
      </c>
      <c r="F808">
        <v>557</v>
      </c>
      <c r="G808" s="1">
        <v>378</v>
      </c>
      <c r="H808" s="1">
        <v>275</v>
      </c>
      <c r="I808" s="1">
        <v>115</v>
      </c>
      <c r="J808" s="1">
        <v>126</v>
      </c>
      <c r="K808" s="1">
        <v>962</v>
      </c>
      <c r="L808" s="1">
        <v>179</v>
      </c>
      <c r="M808" s="1">
        <v>616</v>
      </c>
      <c r="N808" s="1">
        <v>326</v>
      </c>
      <c r="O808" s="1">
        <v>932</v>
      </c>
      <c r="P808" s="1">
        <v>105</v>
      </c>
      <c r="Q808" s="1">
        <v>875</v>
      </c>
      <c r="R808" s="1">
        <v>919</v>
      </c>
      <c r="S808" s="1">
        <f>SUM(ecommerce_sales_all_data[[#This Row],[sales_month_1]:[sales_month_12]])</f>
        <v>5808</v>
      </c>
      <c r="T808" s="3">
        <f t="shared" si="154"/>
        <v>176718.78</v>
      </c>
      <c r="U808" s="3">
        <f t="shared" si="155"/>
        <v>128565.25</v>
      </c>
      <c r="V808" s="3">
        <f t="shared" si="156"/>
        <v>53763.65</v>
      </c>
      <c r="W808" s="3">
        <f t="shared" si="157"/>
        <v>58906.26</v>
      </c>
      <c r="X808" s="3">
        <f t="shared" si="158"/>
        <v>449744.62</v>
      </c>
      <c r="Y808" s="3">
        <f t="shared" si="159"/>
        <v>83684.289999999994</v>
      </c>
      <c r="Z808" s="3">
        <f t="shared" si="160"/>
        <v>287986.15999999997</v>
      </c>
      <c r="AA808" s="3">
        <f t="shared" si="161"/>
        <v>152408.26</v>
      </c>
      <c r="AB808" s="3">
        <f t="shared" si="162"/>
        <v>435719.32</v>
      </c>
      <c r="AC808" s="3">
        <f t="shared" si="163"/>
        <v>49088.549999999996</v>
      </c>
      <c r="AD808" s="3">
        <f t="shared" si="164"/>
        <v>409071.25</v>
      </c>
      <c r="AE808" s="3">
        <f t="shared" si="165"/>
        <v>429641.69</v>
      </c>
      <c r="AF808" s="3">
        <f>SUM(ecommerce_sales_all_data[[#This Row],[revenue_month_1]:[revenue_month_12]])</f>
        <v>2715298.08</v>
      </c>
    </row>
    <row r="809" spans="1:32" x14ac:dyDescent="0.3">
      <c r="A809">
        <v>808</v>
      </c>
      <c r="B809" t="s">
        <v>832</v>
      </c>
      <c r="C809" t="s">
        <v>29</v>
      </c>
      <c r="D809" s="2">
        <v>463.16</v>
      </c>
      <c r="E809">
        <v>1.7</v>
      </c>
      <c r="F809">
        <v>772</v>
      </c>
      <c r="G809" s="1">
        <v>46</v>
      </c>
      <c r="H809" s="1">
        <v>47</v>
      </c>
      <c r="I809" s="1">
        <v>47</v>
      </c>
      <c r="J809" s="1">
        <v>482</v>
      </c>
      <c r="K809" s="1">
        <v>435</v>
      </c>
      <c r="L809" s="1">
        <v>65</v>
      </c>
      <c r="M809" s="1">
        <v>538</v>
      </c>
      <c r="N809" s="1">
        <v>224</v>
      </c>
      <c r="O809" s="1">
        <v>642</v>
      </c>
      <c r="P809" s="1">
        <v>690</v>
      </c>
      <c r="Q809" s="1">
        <v>465</v>
      </c>
      <c r="R809" s="1">
        <v>915</v>
      </c>
      <c r="S809" s="1">
        <f>SUM(ecommerce_sales_all_data[[#This Row],[sales_month_1]:[sales_month_12]])</f>
        <v>4596</v>
      </c>
      <c r="T809" s="3">
        <f t="shared" si="154"/>
        <v>21305.360000000001</v>
      </c>
      <c r="U809" s="3">
        <f t="shared" si="155"/>
        <v>21768.52</v>
      </c>
      <c r="V809" s="3">
        <f t="shared" si="156"/>
        <v>21768.52</v>
      </c>
      <c r="W809" s="3">
        <f t="shared" si="157"/>
        <v>223243.12000000002</v>
      </c>
      <c r="X809" s="3">
        <f t="shared" si="158"/>
        <v>201474.6</v>
      </c>
      <c r="Y809" s="3">
        <f t="shared" si="159"/>
        <v>30105.4</v>
      </c>
      <c r="Z809" s="3">
        <f t="shared" si="160"/>
        <v>249180.08000000002</v>
      </c>
      <c r="AA809" s="3">
        <f t="shared" si="161"/>
        <v>103747.84000000001</v>
      </c>
      <c r="AB809" s="3">
        <f t="shared" si="162"/>
        <v>297348.72000000003</v>
      </c>
      <c r="AC809" s="3">
        <f t="shared" si="163"/>
        <v>319580.40000000002</v>
      </c>
      <c r="AD809" s="3">
        <f t="shared" si="164"/>
        <v>215369.40000000002</v>
      </c>
      <c r="AE809" s="3">
        <f t="shared" si="165"/>
        <v>423791.4</v>
      </c>
      <c r="AF809" s="3">
        <f>SUM(ecommerce_sales_all_data[[#This Row],[revenue_month_1]:[revenue_month_12]])</f>
        <v>2128683.36</v>
      </c>
    </row>
    <row r="810" spans="1:32" x14ac:dyDescent="0.3">
      <c r="A810">
        <v>809</v>
      </c>
      <c r="B810" t="s">
        <v>833</v>
      </c>
      <c r="C810" t="s">
        <v>23</v>
      </c>
      <c r="D810" s="2">
        <v>228.17</v>
      </c>
      <c r="E810">
        <v>1.7</v>
      </c>
      <c r="F810">
        <v>666</v>
      </c>
      <c r="G810" s="1">
        <v>885</v>
      </c>
      <c r="H810" s="1">
        <v>210</v>
      </c>
      <c r="I810" s="1">
        <v>737</v>
      </c>
      <c r="J810" s="1">
        <v>167</v>
      </c>
      <c r="K810" s="1">
        <v>67</v>
      </c>
      <c r="L810" s="1">
        <v>819</v>
      </c>
      <c r="M810" s="1">
        <v>738</v>
      </c>
      <c r="N810" s="1">
        <v>966</v>
      </c>
      <c r="O810" s="1">
        <v>328</v>
      </c>
      <c r="P810" s="1">
        <v>527</v>
      </c>
      <c r="Q810" s="1">
        <v>242</v>
      </c>
      <c r="R810" s="1">
        <v>708</v>
      </c>
      <c r="S810" s="1">
        <f>SUM(ecommerce_sales_all_data[[#This Row],[sales_month_1]:[sales_month_12]])</f>
        <v>6394</v>
      </c>
      <c r="T810" s="3">
        <f t="shared" si="154"/>
        <v>201930.44999999998</v>
      </c>
      <c r="U810" s="3">
        <f t="shared" si="155"/>
        <v>47915.7</v>
      </c>
      <c r="V810" s="3">
        <f t="shared" si="156"/>
        <v>168161.28999999998</v>
      </c>
      <c r="W810" s="3">
        <f t="shared" si="157"/>
        <v>38104.39</v>
      </c>
      <c r="X810" s="3">
        <f t="shared" si="158"/>
        <v>15287.39</v>
      </c>
      <c r="Y810" s="3">
        <f t="shared" si="159"/>
        <v>186871.22999999998</v>
      </c>
      <c r="Z810" s="3">
        <f t="shared" si="160"/>
        <v>168389.46</v>
      </c>
      <c r="AA810" s="3">
        <f t="shared" si="161"/>
        <v>220412.22</v>
      </c>
      <c r="AB810" s="3">
        <f t="shared" si="162"/>
        <v>74839.759999999995</v>
      </c>
      <c r="AC810" s="3">
        <f t="shared" si="163"/>
        <v>120245.59</v>
      </c>
      <c r="AD810" s="3">
        <f t="shared" si="164"/>
        <v>55217.14</v>
      </c>
      <c r="AE810" s="3">
        <f t="shared" si="165"/>
        <v>161544.35999999999</v>
      </c>
      <c r="AF810" s="3">
        <f>SUM(ecommerce_sales_all_data[[#This Row],[revenue_month_1]:[revenue_month_12]])</f>
        <v>1458918.98</v>
      </c>
    </row>
    <row r="811" spans="1:32" x14ac:dyDescent="0.3">
      <c r="A811">
        <v>810</v>
      </c>
      <c r="B811" t="s">
        <v>834</v>
      </c>
      <c r="C811" t="s">
        <v>26</v>
      </c>
      <c r="D811" s="2">
        <v>61.05</v>
      </c>
      <c r="E811">
        <v>1.4</v>
      </c>
      <c r="F811">
        <v>155</v>
      </c>
      <c r="G811" s="1">
        <v>739</v>
      </c>
      <c r="H811" s="1">
        <v>854</v>
      </c>
      <c r="I811" s="1">
        <v>777</v>
      </c>
      <c r="J811" s="1">
        <v>591</v>
      </c>
      <c r="K811" s="1">
        <v>764</v>
      </c>
      <c r="L811" s="1">
        <v>347</v>
      </c>
      <c r="M811" s="1">
        <v>1</v>
      </c>
      <c r="N811" s="1">
        <v>889</v>
      </c>
      <c r="O811" s="1">
        <v>121</v>
      </c>
      <c r="P811" s="1">
        <v>471</v>
      </c>
      <c r="Q811" s="1">
        <v>489</v>
      </c>
      <c r="R811" s="1">
        <v>485</v>
      </c>
      <c r="S811" s="1">
        <f>SUM(ecommerce_sales_all_data[[#This Row],[sales_month_1]:[sales_month_12]])</f>
        <v>6528</v>
      </c>
      <c r="T811" s="3">
        <f t="shared" si="154"/>
        <v>45115.95</v>
      </c>
      <c r="U811" s="3">
        <f t="shared" si="155"/>
        <v>52136.7</v>
      </c>
      <c r="V811" s="3">
        <f t="shared" si="156"/>
        <v>47435.85</v>
      </c>
      <c r="W811" s="3">
        <f t="shared" si="157"/>
        <v>36080.549999999996</v>
      </c>
      <c r="X811" s="3">
        <f t="shared" si="158"/>
        <v>46642.2</v>
      </c>
      <c r="Y811" s="3">
        <f t="shared" si="159"/>
        <v>21184.35</v>
      </c>
      <c r="Z811" s="3">
        <f t="shared" si="160"/>
        <v>61.05</v>
      </c>
      <c r="AA811" s="3">
        <f t="shared" si="161"/>
        <v>54273.45</v>
      </c>
      <c r="AB811" s="3">
        <f t="shared" si="162"/>
        <v>7387.0499999999993</v>
      </c>
      <c r="AC811" s="3">
        <f t="shared" si="163"/>
        <v>28754.55</v>
      </c>
      <c r="AD811" s="3">
        <f t="shared" si="164"/>
        <v>29853.449999999997</v>
      </c>
      <c r="AE811" s="3">
        <f t="shared" si="165"/>
        <v>29609.25</v>
      </c>
      <c r="AF811" s="3">
        <f>SUM(ecommerce_sales_all_data[[#This Row],[revenue_month_1]:[revenue_month_12]])</f>
        <v>398534.39999999997</v>
      </c>
    </row>
    <row r="812" spans="1:32" x14ac:dyDescent="0.3">
      <c r="A812">
        <v>811</v>
      </c>
      <c r="B812" t="s">
        <v>835</v>
      </c>
      <c r="C812" t="s">
        <v>35</v>
      </c>
      <c r="D812" s="2">
        <v>492.5</v>
      </c>
      <c r="E812">
        <v>3.6</v>
      </c>
      <c r="F812">
        <v>430</v>
      </c>
      <c r="G812" s="1">
        <v>550</v>
      </c>
      <c r="H812" s="1">
        <v>919</v>
      </c>
      <c r="I812" s="1">
        <v>98</v>
      </c>
      <c r="J812" s="1">
        <v>293</v>
      </c>
      <c r="K812" s="1">
        <v>921</v>
      </c>
      <c r="L812" s="1">
        <v>170</v>
      </c>
      <c r="M812" s="1">
        <v>870</v>
      </c>
      <c r="N812" s="1">
        <v>791</v>
      </c>
      <c r="O812" s="1">
        <v>40</v>
      </c>
      <c r="P812" s="1">
        <v>753</v>
      </c>
      <c r="Q812" s="1">
        <v>760</v>
      </c>
      <c r="R812" s="1">
        <v>797</v>
      </c>
      <c r="S812" s="1">
        <f>SUM(ecommerce_sales_all_data[[#This Row],[sales_month_1]:[sales_month_12]])</f>
        <v>6962</v>
      </c>
      <c r="T812" s="3">
        <f t="shared" si="154"/>
        <v>270875</v>
      </c>
      <c r="U812" s="3">
        <f t="shared" si="155"/>
        <v>452607.5</v>
      </c>
      <c r="V812" s="3">
        <f t="shared" si="156"/>
        <v>48265</v>
      </c>
      <c r="W812" s="3">
        <f t="shared" si="157"/>
        <v>144302.5</v>
      </c>
      <c r="X812" s="3">
        <f t="shared" si="158"/>
        <v>453592.5</v>
      </c>
      <c r="Y812" s="3">
        <f t="shared" si="159"/>
        <v>83725</v>
      </c>
      <c r="Z812" s="3">
        <f t="shared" si="160"/>
        <v>428475</v>
      </c>
      <c r="AA812" s="3">
        <f t="shared" si="161"/>
        <v>389567.5</v>
      </c>
      <c r="AB812" s="3">
        <f t="shared" si="162"/>
        <v>19700</v>
      </c>
      <c r="AC812" s="3">
        <f t="shared" si="163"/>
        <v>370852.5</v>
      </c>
      <c r="AD812" s="3">
        <f t="shared" si="164"/>
        <v>374300</v>
      </c>
      <c r="AE812" s="3">
        <f t="shared" si="165"/>
        <v>392522.5</v>
      </c>
      <c r="AF812" s="3">
        <f>SUM(ecommerce_sales_all_data[[#This Row],[revenue_month_1]:[revenue_month_12]])</f>
        <v>3428785</v>
      </c>
    </row>
    <row r="813" spans="1:32" x14ac:dyDescent="0.3">
      <c r="A813">
        <v>812</v>
      </c>
      <c r="B813" t="s">
        <v>836</v>
      </c>
      <c r="C813" t="s">
        <v>19</v>
      </c>
      <c r="D813" s="2">
        <v>420.25</v>
      </c>
      <c r="E813">
        <v>4.0999999999999996</v>
      </c>
      <c r="F813">
        <v>363</v>
      </c>
      <c r="G813" s="1">
        <v>527</v>
      </c>
      <c r="H813" s="1">
        <v>650</v>
      </c>
      <c r="I813" s="1">
        <v>458</v>
      </c>
      <c r="J813" s="1">
        <v>844</v>
      </c>
      <c r="K813" s="1">
        <v>458</v>
      </c>
      <c r="L813" s="1">
        <v>473</v>
      </c>
      <c r="M813" s="1">
        <v>100</v>
      </c>
      <c r="N813" s="1">
        <v>10</v>
      </c>
      <c r="O813" s="1">
        <v>166</v>
      </c>
      <c r="P813" s="1">
        <v>845</v>
      </c>
      <c r="Q813" s="1">
        <v>220</v>
      </c>
      <c r="R813" s="1">
        <v>87</v>
      </c>
      <c r="S813" s="1">
        <f>SUM(ecommerce_sales_all_data[[#This Row],[sales_month_1]:[sales_month_12]])</f>
        <v>4838</v>
      </c>
      <c r="T813" s="3">
        <f t="shared" si="154"/>
        <v>221471.75</v>
      </c>
      <c r="U813" s="3">
        <f t="shared" si="155"/>
        <v>273162.5</v>
      </c>
      <c r="V813" s="3">
        <f t="shared" si="156"/>
        <v>192474.5</v>
      </c>
      <c r="W813" s="3">
        <f t="shared" si="157"/>
        <v>354691</v>
      </c>
      <c r="X813" s="3">
        <f t="shared" si="158"/>
        <v>192474.5</v>
      </c>
      <c r="Y813" s="3">
        <f t="shared" si="159"/>
        <v>198778.25</v>
      </c>
      <c r="Z813" s="3">
        <f t="shared" si="160"/>
        <v>42025</v>
      </c>
      <c r="AA813" s="3">
        <f t="shared" si="161"/>
        <v>4202.5</v>
      </c>
      <c r="AB813" s="3">
        <f t="shared" si="162"/>
        <v>69761.5</v>
      </c>
      <c r="AC813" s="3">
        <f t="shared" si="163"/>
        <v>355111.25</v>
      </c>
      <c r="AD813" s="3">
        <f t="shared" si="164"/>
        <v>92455</v>
      </c>
      <c r="AE813" s="3">
        <f t="shared" si="165"/>
        <v>36561.75</v>
      </c>
      <c r="AF813" s="3">
        <f>SUM(ecommerce_sales_all_data[[#This Row],[revenue_month_1]:[revenue_month_12]])</f>
        <v>2033169.5</v>
      </c>
    </row>
    <row r="814" spans="1:32" x14ac:dyDescent="0.3">
      <c r="A814">
        <v>813</v>
      </c>
      <c r="B814" t="s">
        <v>837</v>
      </c>
      <c r="C814" t="s">
        <v>23</v>
      </c>
      <c r="D814" s="2">
        <v>66.709999999999994</v>
      </c>
      <c r="E814">
        <v>2.1</v>
      </c>
      <c r="F814">
        <v>448</v>
      </c>
      <c r="G814" s="1">
        <v>503</v>
      </c>
      <c r="H814" s="1">
        <v>621</v>
      </c>
      <c r="I814" s="1">
        <v>522</v>
      </c>
      <c r="J814" s="1">
        <v>637</v>
      </c>
      <c r="K814" s="1">
        <v>513</v>
      </c>
      <c r="L814" s="1">
        <v>533</v>
      </c>
      <c r="M814" s="1">
        <v>532</v>
      </c>
      <c r="N814" s="1">
        <v>328</v>
      </c>
      <c r="O814" s="1">
        <v>921</v>
      </c>
      <c r="P814" s="1">
        <v>892</v>
      </c>
      <c r="Q814" s="1">
        <v>472</v>
      </c>
      <c r="R814" s="1">
        <v>746</v>
      </c>
      <c r="S814" s="1">
        <f>SUM(ecommerce_sales_all_data[[#This Row],[sales_month_1]:[sales_month_12]])</f>
        <v>7220</v>
      </c>
      <c r="T814" s="3">
        <f t="shared" si="154"/>
        <v>33555.129999999997</v>
      </c>
      <c r="U814" s="3">
        <f t="shared" si="155"/>
        <v>41426.909999999996</v>
      </c>
      <c r="V814" s="3">
        <f t="shared" si="156"/>
        <v>34822.619999999995</v>
      </c>
      <c r="W814" s="3">
        <f t="shared" si="157"/>
        <v>42494.27</v>
      </c>
      <c r="X814" s="3">
        <f t="shared" si="158"/>
        <v>34222.229999999996</v>
      </c>
      <c r="Y814" s="3">
        <f t="shared" si="159"/>
        <v>35556.43</v>
      </c>
      <c r="Z814" s="3">
        <f t="shared" si="160"/>
        <v>35489.719999999994</v>
      </c>
      <c r="AA814" s="3">
        <f t="shared" si="161"/>
        <v>21880.879999999997</v>
      </c>
      <c r="AB814" s="3">
        <f t="shared" si="162"/>
        <v>61439.909999999996</v>
      </c>
      <c r="AC814" s="3">
        <f t="shared" si="163"/>
        <v>59505.319999999992</v>
      </c>
      <c r="AD814" s="3">
        <f t="shared" si="164"/>
        <v>31487.119999999995</v>
      </c>
      <c r="AE814" s="3">
        <f t="shared" si="165"/>
        <v>49765.659999999996</v>
      </c>
      <c r="AF814" s="3">
        <f>SUM(ecommerce_sales_all_data[[#This Row],[revenue_month_1]:[revenue_month_12]])</f>
        <v>481646.1999999999</v>
      </c>
    </row>
    <row r="815" spans="1:32" x14ac:dyDescent="0.3">
      <c r="A815">
        <v>814</v>
      </c>
      <c r="B815" t="s">
        <v>838</v>
      </c>
      <c r="C815" t="s">
        <v>26</v>
      </c>
      <c r="D815" s="2">
        <v>460.82</v>
      </c>
      <c r="E815">
        <v>1.1000000000000001</v>
      </c>
      <c r="F815">
        <v>987</v>
      </c>
      <c r="G815" s="1">
        <v>21</v>
      </c>
      <c r="H815" s="1">
        <v>993</v>
      </c>
      <c r="I815" s="1">
        <v>596</v>
      </c>
      <c r="J815" s="1">
        <v>342</v>
      </c>
      <c r="K815" s="1">
        <v>397</v>
      </c>
      <c r="L815" s="1">
        <v>366</v>
      </c>
      <c r="M815" s="1">
        <v>57</v>
      </c>
      <c r="N815" s="1">
        <v>11</v>
      </c>
      <c r="O815" s="1">
        <v>641</v>
      </c>
      <c r="P815" s="1">
        <v>386</v>
      </c>
      <c r="Q815" s="1">
        <v>958</v>
      </c>
      <c r="R815" s="1">
        <v>231</v>
      </c>
      <c r="S815" s="1">
        <f>SUM(ecommerce_sales_all_data[[#This Row],[sales_month_1]:[sales_month_12]])</f>
        <v>4999</v>
      </c>
      <c r="T815" s="3">
        <f t="shared" si="154"/>
        <v>9677.2199999999993</v>
      </c>
      <c r="U815" s="3">
        <f t="shared" si="155"/>
        <v>457594.26</v>
      </c>
      <c r="V815" s="3">
        <f t="shared" si="156"/>
        <v>274648.71999999997</v>
      </c>
      <c r="W815" s="3">
        <f t="shared" si="157"/>
        <v>157600.44</v>
      </c>
      <c r="X815" s="3">
        <f t="shared" si="158"/>
        <v>182945.54</v>
      </c>
      <c r="Y815" s="3">
        <f t="shared" si="159"/>
        <v>168660.12</v>
      </c>
      <c r="Z815" s="3">
        <f t="shared" si="160"/>
        <v>26266.739999999998</v>
      </c>
      <c r="AA815" s="3">
        <f t="shared" si="161"/>
        <v>5069.0199999999995</v>
      </c>
      <c r="AB815" s="3">
        <f t="shared" si="162"/>
        <v>295385.62</v>
      </c>
      <c r="AC815" s="3">
        <f t="shared" si="163"/>
        <v>177876.52</v>
      </c>
      <c r="AD815" s="3">
        <f t="shared" si="164"/>
        <v>441465.56</v>
      </c>
      <c r="AE815" s="3">
        <f t="shared" si="165"/>
        <v>106449.42</v>
      </c>
      <c r="AF815" s="3">
        <f>SUM(ecommerce_sales_all_data[[#This Row],[revenue_month_1]:[revenue_month_12]])</f>
        <v>2303639.1799999997</v>
      </c>
    </row>
    <row r="816" spans="1:32" x14ac:dyDescent="0.3">
      <c r="A816">
        <v>815</v>
      </c>
      <c r="B816" t="s">
        <v>839</v>
      </c>
      <c r="C816" t="s">
        <v>35</v>
      </c>
      <c r="D816" s="2">
        <v>435.6</v>
      </c>
      <c r="E816">
        <v>1.3</v>
      </c>
      <c r="F816">
        <v>234</v>
      </c>
      <c r="G816" s="1">
        <v>212</v>
      </c>
      <c r="H816" s="1">
        <v>694</v>
      </c>
      <c r="I816" s="1">
        <v>404</v>
      </c>
      <c r="J816" s="1">
        <v>309</v>
      </c>
      <c r="K816" s="1">
        <v>619</v>
      </c>
      <c r="L816" s="1">
        <v>106</v>
      </c>
      <c r="M816" s="1">
        <v>388</v>
      </c>
      <c r="N816" s="1">
        <v>34</v>
      </c>
      <c r="O816" s="1">
        <v>22</v>
      </c>
      <c r="P816" s="1">
        <v>225</v>
      </c>
      <c r="Q816" s="1">
        <v>532</v>
      </c>
      <c r="R816" s="1">
        <v>6</v>
      </c>
      <c r="S816" s="1">
        <f>SUM(ecommerce_sales_all_data[[#This Row],[sales_month_1]:[sales_month_12]])</f>
        <v>3551</v>
      </c>
      <c r="T816" s="3">
        <f t="shared" si="154"/>
        <v>92347.200000000012</v>
      </c>
      <c r="U816" s="3">
        <f t="shared" si="155"/>
        <v>302306.40000000002</v>
      </c>
      <c r="V816" s="3">
        <f t="shared" si="156"/>
        <v>175982.40000000002</v>
      </c>
      <c r="W816" s="3">
        <f t="shared" si="157"/>
        <v>134600.4</v>
      </c>
      <c r="X816" s="3">
        <f t="shared" si="158"/>
        <v>269636.40000000002</v>
      </c>
      <c r="Y816" s="3">
        <f t="shared" si="159"/>
        <v>46173.600000000006</v>
      </c>
      <c r="Z816" s="3">
        <f t="shared" si="160"/>
        <v>169012.80000000002</v>
      </c>
      <c r="AA816" s="3">
        <f t="shared" si="161"/>
        <v>14810.400000000001</v>
      </c>
      <c r="AB816" s="3">
        <f t="shared" si="162"/>
        <v>9583.2000000000007</v>
      </c>
      <c r="AC816" s="3">
        <f t="shared" si="163"/>
        <v>98010</v>
      </c>
      <c r="AD816" s="3">
        <f t="shared" si="164"/>
        <v>231739.2</v>
      </c>
      <c r="AE816" s="3">
        <f t="shared" si="165"/>
        <v>2613.6000000000004</v>
      </c>
      <c r="AF816" s="3">
        <f>SUM(ecommerce_sales_all_data[[#This Row],[revenue_month_1]:[revenue_month_12]])</f>
        <v>1546815.5999999999</v>
      </c>
    </row>
    <row r="817" spans="1:32" x14ac:dyDescent="0.3">
      <c r="A817">
        <v>816</v>
      </c>
      <c r="B817" t="s">
        <v>840</v>
      </c>
      <c r="C817" t="s">
        <v>35</v>
      </c>
      <c r="D817" s="2">
        <v>261.82</v>
      </c>
      <c r="E817">
        <v>4.9000000000000004</v>
      </c>
      <c r="F817">
        <v>563</v>
      </c>
      <c r="G817" s="1">
        <v>309</v>
      </c>
      <c r="H817" s="1">
        <v>539</v>
      </c>
      <c r="I817" s="1">
        <v>213</v>
      </c>
      <c r="J817" s="1">
        <v>661</v>
      </c>
      <c r="K817" s="1">
        <v>285</v>
      </c>
      <c r="L817" s="1">
        <v>438</v>
      </c>
      <c r="M817" s="1">
        <v>691</v>
      </c>
      <c r="N817" s="1">
        <v>446</v>
      </c>
      <c r="O817" s="1">
        <v>278</v>
      </c>
      <c r="P817" s="1">
        <v>480</v>
      </c>
      <c r="Q817" s="1">
        <v>493</v>
      </c>
      <c r="R817" s="1">
        <v>803</v>
      </c>
      <c r="S817" s="1">
        <f>SUM(ecommerce_sales_all_data[[#This Row],[sales_month_1]:[sales_month_12]])</f>
        <v>5636</v>
      </c>
      <c r="T817" s="3">
        <f t="shared" si="154"/>
        <v>80902.38</v>
      </c>
      <c r="U817" s="3">
        <f t="shared" si="155"/>
        <v>141120.98000000001</v>
      </c>
      <c r="V817" s="3">
        <f t="shared" si="156"/>
        <v>55767.659999999996</v>
      </c>
      <c r="W817" s="3">
        <f t="shared" si="157"/>
        <v>173063.02</v>
      </c>
      <c r="X817" s="3">
        <f t="shared" si="158"/>
        <v>74618.7</v>
      </c>
      <c r="Y817" s="3">
        <f t="shared" si="159"/>
        <v>114677.16</v>
      </c>
      <c r="Z817" s="3">
        <f t="shared" si="160"/>
        <v>180917.62</v>
      </c>
      <c r="AA817" s="3">
        <f t="shared" si="161"/>
        <v>116771.72</v>
      </c>
      <c r="AB817" s="3">
        <f t="shared" si="162"/>
        <v>72785.959999999992</v>
      </c>
      <c r="AC817" s="3">
        <f t="shared" si="163"/>
        <v>125673.59999999999</v>
      </c>
      <c r="AD817" s="3">
        <f t="shared" si="164"/>
        <v>129077.26</v>
      </c>
      <c r="AE817" s="3">
        <f t="shared" si="165"/>
        <v>210241.46</v>
      </c>
      <c r="AF817" s="3">
        <f>SUM(ecommerce_sales_all_data[[#This Row],[revenue_month_1]:[revenue_month_12]])</f>
        <v>1475617.52</v>
      </c>
    </row>
    <row r="818" spans="1:32" x14ac:dyDescent="0.3">
      <c r="A818">
        <v>817</v>
      </c>
      <c r="B818" t="s">
        <v>841</v>
      </c>
      <c r="C818" t="s">
        <v>21</v>
      </c>
      <c r="D818" s="2">
        <v>297.68</v>
      </c>
      <c r="E818">
        <v>2.2000000000000002</v>
      </c>
      <c r="F818">
        <v>818</v>
      </c>
      <c r="G818" s="1">
        <v>660</v>
      </c>
      <c r="H818" s="1">
        <v>708</v>
      </c>
      <c r="I818" s="1">
        <v>684</v>
      </c>
      <c r="J818" s="1">
        <v>527</v>
      </c>
      <c r="K818" s="1">
        <v>560</v>
      </c>
      <c r="L818" s="1">
        <v>834</v>
      </c>
      <c r="M818" s="1">
        <v>940</v>
      </c>
      <c r="N818" s="1">
        <v>451</v>
      </c>
      <c r="O818" s="1">
        <v>762</v>
      </c>
      <c r="P818" s="1">
        <v>753</v>
      </c>
      <c r="Q818" s="1">
        <v>898</v>
      </c>
      <c r="R818" s="1">
        <v>549</v>
      </c>
      <c r="S818" s="1">
        <f>SUM(ecommerce_sales_all_data[[#This Row],[sales_month_1]:[sales_month_12]])</f>
        <v>8326</v>
      </c>
      <c r="T818" s="3">
        <f t="shared" si="154"/>
        <v>196468.80000000002</v>
      </c>
      <c r="U818" s="3">
        <f t="shared" si="155"/>
        <v>210757.44</v>
      </c>
      <c r="V818" s="3">
        <f t="shared" si="156"/>
        <v>203613.12</v>
      </c>
      <c r="W818" s="3">
        <f t="shared" si="157"/>
        <v>156877.36000000002</v>
      </c>
      <c r="X818" s="3">
        <f t="shared" si="158"/>
        <v>166700.80000000002</v>
      </c>
      <c r="Y818" s="3">
        <f t="shared" si="159"/>
        <v>248265.12</v>
      </c>
      <c r="Z818" s="3">
        <f t="shared" si="160"/>
        <v>279819.2</v>
      </c>
      <c r="AA818" s="3">
        <f t="shared" si="161"/>
        <v>134253.68</v>
      </c>
      <c r="AB818" s="3">
        <f t="shared" si="162"/>
        <v>226832.16</v>
      </c>
      <c r="AC818" s="3">
        <f t="shared" si="163"/>
        <v>224153.04</v>
      </c>
      <c r="AD818" s="3">
        <f t="shared" si="164"/>
        <v>267316.64</v>
      </c>
      <c r="AE818" s="3">
        <f t="shared" si="165"/>
        <v>163426.32</v>
      </c>
      <c r="AF818" s="3">
        <f>SUM(ecommerce_sales_all_data[[#This Row],[revenue_month_1]:[revenue_month_12]])</f>
        <v>2478483.6799999997</v>
      </c>
    </row>
    <row r="819" spans="1:32" x14ac:dyDescent="0.3">
      <c r="A819">
        <v>818</v>
      </c>
      <c r="B819" t="s">
        <v>842</v>
      </c>
      <c r="C819" t="s">
        <v>29</v>
      </c>
      <c r="D819" s="2">
        <v>202.51</v>
      </c>
      <c r="E819">
        <v>4.0999999999999996</v>
      </c>
      <c r="F819">
        <v>262</v>
      </c>
      <c r="G819" s="1">
        <v>967</v>
      </c>
      <c r="H819" s="1">
        <v>190</v>
      </c>
      <c r="I819" s="1">
        <v>902</v>
      </c>
      <c r="J819" s="1">
        <v>539</v>
      </c>
      <c r="K819" s="1">
        <v>139</v>
      </c>
      <c r="L819" s="1">
        <v>226</v>
      </c>
      <c r="M819" s="1">
        <v>340</v>
      </c>
      <c r="N819" s="1">
        <v>739</v>
      </c>
      <c r="O819" s="1">
        <v>468</v>
      </c>
      <c r="P819" s="1">
        <v>407</v>
      </c>
      <c r="Q819" s="1">
        <v>81</v>
      </c>
      <c r="R819" s="1">
        <v>975</v>
      </c>
      <c r="S819" s="1">
        <f>SUM(ecommerce_sales_all_data[[#This Row],[sales_month_1]:[sales_month_12]])</f>
        <v>5973</v>
      </c>
      <c r="T819" s="3">
        <f t="shared" si="154"/>
        <v>195827.16999999998</v>
      </c>
      <c r="U819" s="3">
        <f t="shared" si="155"/>
        <v>38476.9</v>
      </c>
      <c r="V819" s="3">
        <f t="shared" si="156"/>
        <v>182664.02</v>
      </c>
      <c r="W819" s="3">
        <f t="shared" si="157"/>
        <v>109152.89</v>
      </c>
      <c r="X819" s="3">
        <f t="shared" si="158"/>
        <v>28148.89</v>
      </c>
      <c r="Y819" s="3">
        <f t="shared" si="159"/>
        <v>45767.259999999995</v>
      </c>
      <c r="Z819" s="3">
        <f t="shared" si="160"/>
        <v>68853.399999999994</v>
      </c>
      <c r="AA819" s="3">
        <f t="shared" si="161"/>
        <v>149654.88999999998</v>
      </c>
      <c r="AB819" s="3">
        <f t="shared" si="162"/>
        <v>94774.68</v>
      </c>
      <c r="AC819" s="3">
        <f t="shared" si="163"/>
        <v>82421.569999999992</v>
      </c>
      <c r="AD819" s="3">
        <f t="shared" si="164"/>
        <v>16403.309999999998</v>
      </c>
      <c r="AE819" s="3">
        <f t="shared" si="165"/>
        <v>197447.25</v>
      </c>
      <c r="AF819" s="3">
        <f>SUM(ecommerce_sales_all_data[[#This Row],[revenue_month_1]:[revenue_month_12]])</f>
        <v>1209592.23</v>
      </c>
    </row>
    <row r="820" spans="1:32" x14ac:dyDescent="0.3">
      <c r="A820">
        <v>819</v>
      </c>
      <c r="B820" t="s">
        <v>843</v>
      </c>
      <c r="C820" t="s">
        <v>21</v>
      </c>
      <c r="D820" s="2">
        <v>32.11</v>
      </c>
      <c r="E820">
        <v>3.5</v>
      </c>
      <c r="F820">
        <v>827</v>
      </c>
      <c r="G820" s="1">
        <v>752</v>
      </c>
      <c r="H820" s="1">
        <v>314</v>
      </c>
      <c r="I820" s="1">
        <v>502</v>
      </c>
      <c r="J820" s="1">
        <v>418</v>
      </c>
      <c r="K820" s="1">
        <v>729</v>
      </c>
      <c r="L820" s="1">
        <v>443</v>
      </c>
      <c r="M820" s="1">
        <v>860</v>
      </c>
      <c r="N820" s="1">
        <v>219</v>
      </c>
      <c r="O820" s="1">
        <v>399</v>
      </c>
      <c r="P820" s="1">
        <v>456</v>
      </c>
      <c r="Q820" s="1">
        <v>855</v>
      </c>
      <c r="R820" s="1">
        <v>51</v>
      </c>
      <c r="S820" s="1">
        <f>SUM(ecommerce_sales_all_data[[#This Row],[sales_month_1]:[sales_month_12]])</f>
        <v>5998</v>
      </c>
      <c r="T820" s="3">
        <f t="shared" si="154"/>
        <v>24146.720000000001</v>
      </c>
      <c r="U820" s="3">
        <f t="shared" si="155"/>
        <v>10082.539999999999</v>
      </c>
      <c r="V820" s="3">
        <f t="shared" si="156"/>
        <v>16119.22</v>
      </c>
      <c r="W820" s="3">
        <f t="shared" si="157"/>
        <v>13421.98</v>
      </c>
      <c r="X820" s="3">
        <f t="shared" si="158"/>
        <v>23408.19</v>
      </c>
      <c r="Y820" s="3">
        <f t="shared" si="159"/>
        <v>14224.73</v>
      </c>
      <c r="Z820" s="3">
        <f t="shared" si="160"/>
        <v>27614.6</v>
      </c>
      <c r="AA820" s="3">
        <f t="shared" si="161"/>
        <v>7032.09</v>
      </c>
      <c r="AB820" s="3">
        <f t="shared" si="162"/>
        <v>12811.89</v>
      </c>
      <c r="AC820" s="3">
        <f t="shared" si="163"/>
        <v>14642.16</v>
      </c>
      <c r="AD820" s="3">
        <f t="shared" si="164"/>
        <v>27454.05</v>
      </c>
      <c r="AE820" s="3">
        <f t="shared" si="165"/>
        <v>1637.61</v>
      </c>
      <c r="AF820" s="3">
        <f>SUM(ecommerce_sales_all_data[[#This Row],[revenue_month_1]:[revenue_month_12]])</f>
        <v>192595.78</v>
      </c>
    </row>
    <row r="821" spans="1:32" x14ac:dyDescent="0.3">
      <c r="A821">
        <v>820</v>
      </c>
      <c r="B821" t="s">
        <v>844</v>
      </c>
      <c r="C821" t="s">
        <v>48</v>
      </c>
      <c r="D821" s="2">
        <v>170.92</v>
      </c>
      <c r="E821">
        <v>2.5</v>
      </c>
      <c r="F821">
        <v>125</v>
      </c>
      <c r="G821" s="1">
        <v>271</v>
      </c>
      <c r="H821" s="1">
        <v>900</v>
      </c>
      <c r="I821" s="1">
        <v>720</v>
      </c>
      <c r="J821" s="1">
        <v>443</v>
      </c>
      <c r="K821" s="1">
        <v>555</v>
      </c>
      <c r="L821" s="1">
        <v>441</v>
      </c>
      <c r="M821" s="1">
        <v>19</v>
      </c>
      <c r="N821" s="1">
        <v>440</v>
      </c>
      <c r="O821" s="1">
        <v>8</v>
      </c>
      <c r="P821" s="1">
        <v>652</v>
      </c>
      <c r="Q821" s="1">
        <v>878</v>
      </c>
      <c r="R821" s="1">
        <v>654</v>
      </c>
      <c r="S821" s="1">
        <f>SUM(ecommerce_sales_all_data[[#This Row],[sales_month_1]:[sales_month_12]])</f>
        <v>5981</v>
      </c>
      <c r="T821" s="3">
        <f t="shared" si="154"/>
        <v>46319.32</v>
      </c>
      <c r="U821" s="3">
        <f t="shared" si="155"/>
        <v>153828</v>
      </c>
      <c r="V821" s="3">
        <f t="shared" si="156"/>
        <v>123062.39999999999</v>
      </c>
      <c r="W821" s="3">
        <f t="shared" si="157"/>
        <v>75717.56</v>
      </c>
      <c r="X821" s="3">
        <f t="shared" si="158"/>
        <v>94860.599999999991</v>
      </c>
      <c r="Y821" s="3">
        <f t="shared" si="159"/>
        <v>75375.72</v>
      </c>
      <c r="Z821" s="3">
        <f t="shared" si="160"/>
        <v>3247.4799999999996</v>
      </c>
      <c r="AA821" s="3">
        <f t="shared" si="161"/>
        <v>75204.799999999988</v>
      </c>
      <c r="AB821" s="3">
        <f t="shared" si="162"/>
        <v>1367.36</v>
      </c>
      <c r="AC821" s="3">
        <f t="shared" si="163"/>
        <v>111439.84</v>
      </c>
      <c r="AD821" s="3">
        <f t="shared" si="164"/>
        <v>150067.75999999998</v>
      </c>
      <c r="AE821" s="3">
        <f t="shared" si="165"/>
        <v>111781.68</v>
      </c>
      <c r="AF821" s="3">
        <f>SUM(ecommerce_sales_all_data[[#This Row],[revenue_month_1]:[revenue_month_12]])</f>
        <v>1022272.5199999998</v>
      </c>
    </row>
    <row r="822" spans="1:32" x14ac:dyDescent="0.3">
      <c r="A822">
        <v>821</v>
      </c>
      <c r="B822" t="s">
        <v>845</v>
      </c>
      <c r="C822" t="s">
        <v>26</v>
      </c>
      <c r="D822" s="2">
        <v>402.41</v>
      </c>
      <c r="E822">
        <v>1.8</v>
      </c>
      <c r="F822">
        <v>911</v>
      </c>
      <c r="G822" s="1">
        <v>570</v>
      </c>
      <c r="H822" s="1">
        <v>562</v>
      </c>
      <c r="I822" s="1">
        <v>447</v>
      </c>
      <c r="J822" s="1">
        <v>684</v>
      </c>
      <c r="K822" s="1">
        <v>928</v>
      </c>
      <c r="L822" s="1">
        <v>395</v>
      </c>
      <c r="M822" s="1">
        <v>254</v>
      </c>
      <c r="N822" s="1">
        <v>652</v>
      </c>
      <c r="O822" s="1">
        <v>12</v>
      </c>
      <c r="P822" s="1">
        <v>897</v>
      </c>
      <c r="Q822" s="1">
        <v>997</v>
      </c>
      <c r="R822" s="1">
        <v>941</v>
      </c>
      <c r="S822" s="1">
        <f>SUM(ecommerce_sales_all_data[[#This Row],[sales_month_1]:[sales_month_12]])</f>
        <v>7339</v>
      </c>
      <c r="T822" s="3">
        <f t="shared" si="154"/>
        <v>229373.7</v>
      </c>
      <c r="U822" s="3">
        <f t="shared" si="155"/>
        <v>226154.42</v>
      </c>
      <c r="V822" s="3">
        <f t="shared" si="156"/>
        <v>179877.27000000002</v>
      </c>
      <c r="W822" s="3">
        <f t="shared" si="157"/>
        <v>275248.44</v>
      </c>
      <c r="X822" s="3">
        <f t="shared" si="158"/>
        <v>373436.48000000004</v>
      </c>
      <c r="Y822" s="3">
        <f t="shared" si="159"/>
        <v>158951.95000000001</v>
      </c>
      <c r="Z822" s="3">
        <f t="shared" si="160"/>
        <v>102212.14</v>
      </c>
      <c r="AA822" s="3">
        <f t="shared" si="161"/>
        <v>262371.32</v>
      </c>
      <c r="AB822" s="3">
        <f t="shared" si="162"/>
        <v>4828.92</v>
      </c>
      <c r="AC822" s="3">
        <f t="shared" si="163"/>
        <v>360961.77</v>
      </c>
      <c r="AD822" s="3">
        <f t="shared" si="164"/>
        <v>401202.77</v>
      </c>
      <c r="AE822" s="3">
        <f t="shared" si="165"/>
        <v>378667.81</v>
      </c>
      <c r="AF822" s="3">
        <f>SUM(ecommerce_sales_all_data[[#This Row],[revenue_month_1]:[revenue_month_12]])</f>
        <v>2953286.99</v>
      </c>
    </row>
    <row r="823" spans="1:32" x14ac:dyDescent="0.3">
      <c r="A823">
        <v>822</v>
      </c>
      <c r="B823" t="s">
        <v>846</v>
      </c>
      <c r="C823" t="s">
        <v>21</v>
      </c>
      <c r="D823" s="2">
        <v>7.29</v>
      </c>
      <c r="E823">
        <v>1.5</v>
      </c>
      <c r="F823">
        <v>245</v>
      </c>
      <c r="G823" s="1">
        <v>798</v>
      </c>
      <c r="H823" s="1">
        <v>660</v>
      </c>
      <c r="I823" s="1">
        <v>893</v>
      </c>
      <c r="J823" s="1">
        <v>557</v>
      </c>
      <c r="K823" s="1">
        <v>780</v>
      </c>
      <c r="L823" s="1">
        <v>727</v>
      </c>
      <c r="M823" s="1">
        <v>316</v>
      </c>
      <c r="N823" s="1">
        <v>534</v>
      </c>
      <c r="O823" s="1">
        <v>923</v>
      </c>
      <c r="P823" s="1">
        <v>710</v>
      </c>
      <c r="Q823" s="1">
        <v>521</v>
      </c>
      <c r="R823" s="1">
        <v>918</v>
      </c>
      <c r="S823" s="1">
        <f>SUM(ecommerce_sales_all_data[[#This Row],[sales_month_1]:[sales_month_12]])</f>
        <v>8337</v>
      </c>
      <c r="T823" s="3">
        <f t="shared" si="154"/>
        <v>5817.42</v>
      </c>
      <c r="U823" s="3">
        <f t="shared" si="155"/>
        <v>4811.3999999999996</v>
      </c>
      <c r="V823" s="3">
        <f t="shared" si="156"/>
        <v>6509.97</v>
      </c>
      <c r="W823" s="3">
        <f t="shared" si="157"/>
        <v>4060.53</v>
      </c>
      <c r="X823" s="3">
        <f t="shared" si="158"/>
        <v>5686.2</v>
      </c>
      <c r="Y823" s="3">
        <f t="shared" si="159"/>
        <v>5299.83</v>
      </c>
      <c r="Z823" s="3">
        <f t="shared" si="160"/>
        <v>2303.64</v>
      </c>
      <c r="AA823" s="3">
        <f t="shared" si="161"/>
        <v>3892.86</v>
      </c>
      <c r="AB823" s="3">
        <f t="shared" si="162"/>
        <v>6728.67</v>
      </c>
      <c r="AC823" s="3">
        <f t="shared" si="163"/>
        <v>5175.8999999999996</v>
      </c>
      <c r="AD823" s="3">
        <f t="shared" si="164"/>
        <v>3798.09</v>
      </c>
      <c r="AE823" s="3">
        <f t="shared" si="165"/>
        <v>6692.22</v>
      </c>
      <c r="AF823" s="3">
        <f>SUM(ecommerce_sales_all_data[[#This Row],[revenue_month_1]:[revenue_month_12]])</f>
        <v>60776.729999999996</v>
      </c>
    </row>
    <row r="824" spans="1:32" x14ac:dyDescent="0.3">
      <c r="A824">
        <v>823</v>
      </c>
      <c r="B824" t="s">
        <v>847</v>
      </c>
      <c r="C824" t="s">
        <v>21</v>
      </c>
      <c r="D824" s="2">
        <v>170.08</v>
      </c>
      <c r="E824">
        <v>3.5</v>
      </c>
      <c r="F824">
        <v>542</v>
      </c>
      <c r="G824" s="1">
        <v>937</v>
      </c>
      <c r="H824" s="1">
        <v>779</v>
      </c>
      <c r="I824" s="1">
        <v>575</v>
      </c>
      <c r="J824" s="1">
        <v>839</v>
      </c>
      <c r="K824" s="1">
        <v>589</v>
      </c>
      <c r="L824" s="1">
        <v>580</v>
      </c>
      <c r="M824" s="1">
        <v>37</v>
      </c>
      <c r="N824" s="1">
        <v>594</v>
      </c>
      <c r="O824" s="1">
        <v>922</v>
      </c>
      <c r="P824" s="1">
        <v>623</v>
      </c>
      <c r="Q824" s="1">
        <v>922</v>
      </c>
      <c r="R824" s="1">
        <v>395</v>
      </c>
      <c r="S824" s="1">
        <f>SUM(ecommerce_sales_all_data[[#This Row],[sales_month_1]:[sales_month_12]])</f>
        <v>7792</v>
      </c>
      <c r="T824" s="3">
        <f t="shared" si="154"/>
        <v>159364.96000000002</v>
      </c>
      <c r="U824" s="3">
        <f t="shared" si="155"/>
        <v>132492.32</v>
      </c>
      <c r="V824" s="3">
        <f t="shared" si="156"/>
        <v>97796</v>
      </c>
      <c r="W824" s="3">
        <f t="shared" si="157"/>
        <v>142697.12000000002</v>
      </c>
      <c r="X824" s="3">
        <f t="shared" si="158"/>
        <v>100177.12000000001</v>
      </c>
      <c r="Y824" s="3">
        <f t="shared" si="159"/>
        <v>98646.400000000009</v>
      </c>
      <c r="Z824" s="3">
        <f t="shared" si="160"/>
        <v>6292.96</v>
      </c>
      <c r="AA824" s="3">
        <f t="shared" si="161"/>
        <v>101027.52</v>
      </c>
      <c r="AB824" s="3">
        <f t="shared" si="162"/>
        <v>156813.76000000001</v>
      </c>
      <c r="AC824" s="3">
        <f t="shared" si="163"/>
        <v>105959.84000000001</v>
      </c>
      <c r="AD824" s="3">
        <f t="shared" si="164"/>
        <v>156813.76000000001</v>
      </c>
      <c r="AE824" s="3">
        <f t="shared" si="165"/>
        <v>67181.600000000006</v>
      </c>
      <c r="AF824" s="3">
        <f>SUM(ecommerce_sales_all_data[[#This Row],[revenue_month_1]:[revenue_month_12]])</f>
        <v>1325263.3600000001</v>
      </c>
    </row>
    <row r="825" spans="1:32" x14ac:dyDescent="0.3">
      <c r="A825">
        <v>824</v>
      </c>
      <c r="B825" t="s">
        <v>848</v>
      </c>
      <c r="C825" t="s">
        <v>35</v>
      </c>
      <c r="D825" s="2">
        <v>202.09</v>
      </c>
      <c r="E825">
        <v>4.0999999999999996</v>
      </c>
      <c r="F825">
        <v>938</v>
      </c>
      <c r="G825" s="1">
        <v>201</v>
      </c>
      <c r="H825" s="1">
        <v>561</v>
      </c>
      <c r="I825" s="1">
        <v>257</v>
      </c>
      <c r="J825" s="1">
        <v>235</v>
      </c>
      <c r="K825" s="1">
        <v>727</v>
      </c>
      <c r="L825" s="1">
        <v>83</v>
      </c>
      <c r="M825" s="1">
        <v>659</v>
      </c>
      <c r="N825" s="1">
        <v>228</v>
      </c>
      <c r="O825" s="1">
        <v>818</v>
      </c>
      <c r="P825" s="1">
        <v>638</v>
      </c>
      <c r="Q825" s="1">
        <v>11</v>
      </c>
      <c r="R825" s="1">
        <v>220</v>
      </c>
      <c r="S825" s="1">
        <f>SUM(ecommerce_sales_all_data[[#This Row],[sales_month_1]:[sales_month_12]])</f>
        <v>4638</v>
      </c>
      <c r="T825" s="3">
        <f t="shared" si="154"/>
        <v>40620.090000000004</v>
      </c>
      <c r="U825" s="3">
        <f t="shared" si="155"/>
        <v>113372.49</v>
      </c>
      <c r="V825" s="3">
        <f t="shared" si="156"/>
        <v>51937.13</v>
      </c>
      <c r="W825" s="3">
        <f t="shared" si="157"/>
        <v>47491.15</v>
      </c>
      <c r="X825" s="3">
        <f t="shared" si="158"/>
        <v>146919.43</v>
      </c>
      <c r="Y825" s="3">
        <f t="shared" si="159"/>
        <v>16773.47</v>
      </c>
      <c r="Z825" s="3">
        <f t="shared" si="160"/>
        <v>133177.31</v>
      </c>
      <c r="AA825" s="3">
        <f t="shared" si="161"/>
        <v>46076.520000000004</v>
      </c>
      <c r="AB825" s="3">
        <f t="shared" si="162"/>
        <v>165309.62</v>
      </c>
      <c r="AC825" s="3">
        <f t="shared" si="163"/>
        <v>128933.42</v>
      </c>
      <c r="AD825" s="3">
        <f t="shared" si="164"/>
        <v>2222.9900000000002</v>
      </c>
      <c r="AE825" s="3">
        <f t="shared" si="165"/>
        <v>44459.8</v>
      </c>
      <c r="AF825" s="3">
        <f>SUM(ecommerce_sales_all_data[[#This Row],[revenue_month_1]:[revenue_month_12]])</f>
        <v>937293.42000000016</v>
      </c>
    </row>
    <row r="826" spans="1:32" x14ac:dyDescent="0.3">
      <c r="A826">
        <v>825</v>
      </c>
      <c r="B826" t="s">
        <v>849</v>
      </c>
      <c r="C826" t="s">
        <v>26</v>
      </c>
      <c r="D826" s="2">
        <v>271.01</v>
      </c>
      <c r="E826">
        <v>3.6</v>
      </c>
      <c r="F826">
        <v>485</v>
      </c>
      <c r="G826" s="1">
        <v>31</v>
      </c>
      <c r="H826" s="1">
        <v>899</v>
      </c>
      <c r="I826" s="1">
        <v>843</v>
      </c>
      <c r="J826" s="1">
        <v>438</v>
      </c>
      <c r="K826" s="1">
        <v>893</v>
      </c>
      <c r="L826" s="1">
        <v>614</v>
      </c>
      <c r="M826" s="1">
        <v>536</v>
      </c>
      <c r="N826" s="1">
        <v>934</v>
      </c>
      <c r="O826" s="1">
        <v>831</v>
      </c>
      <c r="P826" s="1">
        <v>20</v>
      </c>
      <c r="Q826" s="1">
        <v>262</v>
      </c>
      <c r="R826" s="1">
        <v>427</v>
      </c>
      <c r="S826" s="1">
        <f>SUM(ecommerce_sales_all_data[[#This Row],[sales_month_1]:[sales_month_12]])</f>
        <v>6728</v>
      </c>
      <c r="T826" s="3">
        <f t="shared" si="154"/>
        <v>8401.31</v>
      </c>
      <c r="U826" s="3">
        <f t="shared" si="155"/>
        <v>243637.99</v>
      </c>
      <c r="V826" s="3">
        <f t="shared" si="156"/>
        <v>228461.43</v>
      </c>
      <c r="W826" s="3">
        <f t="shared" si="157"/>
        <v>118702.37999999999</v>
      </c>
      <c r="X826" s="3">
        <f t="shared" si="158"/>
        <v>242011.93</v>
      </c>
      <c r="Y826" s="3">
        <f t="shared" si="159"/>
        <v>166400.13999999998</v>
      </c>
      <c r="Z826" s="3">
        <f t="shared" si="160"/>
        <v>145261.35999999999</v>
      </c>
      <c r="AA826" s="3">
        <f t="shared" si="161"/>
        <v>253123.34</v>
      </c>
      <c r="AB826" s="3">
        <f t="shared" si="162"/>
        <v>225209.31</v>
      </c>
      <c r="AC826" s="3">
        <f t="shared" si="163"/>
        <v>5420.2</v>
      </c>
      <c r="AD826" s="3">
        <f t="shared" si="164"/>
        <v>71004.62</v>
      </c>
      <c r="AE826" s="3">
        <f t="shared" si="165"/>
        <v>115721.26999999999</v>
      </c>
      <c r="AF826" s="3">
        <f>SUM(ecommerce_sales_all_data[[#This Row],[revenue_month_1]:[revenue_month_12]])</f>
        <v>1823355.2800000003</v>
      </c>
    </row>
    <row r="827" spans="1:32" x14ac:dyDescent="0.3">
      <c r="A827">
        <v>826</v>
      </c>
      <c r="B827" t="s">
        <v>850</v>
      </c>
      <c r="C827" t="s">
        <v>35</v>
      </c>
      <c r="D827" s="2">
        <v>460.33</v>
      </c>
      <c r="E827">
        <v>3.1</v>
      </c>
      <c r="F827">
        <v>122</v>
      </c>
      <c r="G827" s="1">
        <v>442</v>
      </c>
      <c r="H827" s="1">
        <v>757</v>
      </c>
      <c r="I827" s="1">
        <v>120</v>
      </c>
      <c r="J827" s="1">
        <v>213</v>
      </c>
      <c r="K827" s="1">
        <v>609</v>
      </c>
      <c r="L827" s="1">
        <v>550</v>
      </c>
      <c r="M827" s="1">
        <v>385</v>
      </c>
      <c r="N827" s="1">
        <v>343</v>
      </c>
      <c r="O827" s="1">
        <v>51</v>
      </c>
      <c r="P827" s="1">
        <v>658</v>
      </c>
      <c r="Q827" s="1">
        <v>656</v>
      </c>
      <c r="R827" s="1">
        <v>751</v>
      </c>
      <c r="S827" s="1">
        <f>SUM(ecommerce_sales_all_data[[#This Row],[sales_month_1]:[sales_month_12]])</f>
        <v>5535</v>
      </c>
      <c r="T827" s="3">
        <f t="shared" si="154"/>
        <v>203465.86</v>
      </c>
      <c r="U827" s="3">
        <f t="shared" si="155"/>
        <v>348469.81</v>
      </c>
      <c r="V827" s="3">
        <f t="shared" si="156"/>
        <v>55239.6</v>
      </c>
      <c r="W827" s="3">
        <f t="shared" si="157"/>
        <v>98050.29</v>
      </c>
      <c r="X827" s="3">
        <f t="shared" si="158"/>
        <v>280340.96999999997</v>
      </c>
      <c r="Y827" s="3">
        <f t="shared" si="159"/>
        <v>253181.5</v>
      </c>
      <c r="Z827" s="3">
        <f t="shared" si="160"/>
        <v>177227.05</v>
      </c>
      <c r="AA827" s="3">
        <f t="shared" si="161"/>
        <v>157893.19</v>
      </c>
      <c r="AB827" s="3">
        <f t="shared" si="162"/>
        <v>23476.829999999998</v>
      </c>
      <c r="AC827" s="3">
        <f t="shared" si="163"/>
        <v>302897.14</v>
      </c>
      <c r="AD827" s="3">
        <f t="shared" si="164"/>
        <v>301976.48</v>
      </c>
      <c r="AE827" s="3">
        <f t="shared" si="165"/>
        <v>345707.83</v>
      </c>
      <c r="AF827" s="3">
        <f>SUM(ecommerce_sales_all_data[[#This Row],[revenue_month_1]:[revenue_month_12]])</f>
        <v>2547926.5499999998</v>
      </c>
    </row>
    <row r="828" spans="1:32" x14ac:dyDescent="0.3">
      <c r="A828">
        <v>827</v>
      </c>
      <c r="B828" t="s">
        <v>851</v>
      </c>
      <c r="C828" t="s">
        <v>19</v>
      </c>
      <c r="D828" s="2">
        <v>176.44</v>
      </c>
      <c r="E828">
        <v>1.2</v>
      </c>
      <c r="F828">
        <v>125</v>
      </c>
      <c r="G828" s="1">
        <v>161</v>
      </c>
      <c r="H828" s="1">
        <v>112</v>
      </c>
      <c r="I828" s="1">
        <v>809</v>
      </c>
      <c r="J828" s="1">
        <v>84</v>
      </c>
      <c r="K828" s="1">
        <v>747</v>
      </c>
      <c r="L828" s="1">
        <v>12</v>
      </c>
      <c r="M828" s="1">
        <v>632</v>
      </c>
      <c r="N828" s="1">
        <v>79</v>
      </c>
      <c r="O828" s="1">
        <v>208</v>
      </c>
      <c r="P828" s="1">
        <v>600</v>
      </c>
      <c r="Q828" s="1">
        <v>448</v>
      </c>
      <c r="R828" s="1">
        <v>142</v>
      </c>
      <c r="S828" s="1">
        <f>SUM(ecommerce_sales_all_data[[#This Row],[sales_month_1]:[sales_month_12]])</f>
        <v>4034</v>
      </c>
      <c r="T828" s="3">
        <f t="shared" si="154"/>
        <v>28406.84</v>
      </c>
      <c r="U828" s="3">
        <f t="shared" si="155"/>
        <v>19761.28</v>
      </c>
      <c r="V828" s="3">
        <f t="shared" si="156"/>
        <v>142739.96</v>
      </c>
      <c r="W828" s="3">
        <f t="shared" si="157"/>
        <v>14820.96</v>
      </c>
      <c r="X828" s="3">
        <f t="shared" si="158"/>
        <v>131800.68</v>
      </c>
      <c r="Y828" s="3">
        <f t="shared" si="159"/>
        <v>2117.2799999999997</v>
      </c>
      <c r="Z828" s="3">
        <f t="shared" si="160"/>
        <v>111510.08</v>
      </c>
      <c r="AA828" s="3">
        <f t="shared" si="161"/>
        <v>13938.76</v>
      </c>
      <c r="AB828" s="3">
        <f t="shared" si="162"/>
        <v>36699.519999999997</v>
      </c>
      <c r="AC828" s="3">
        <f t="shared" si="163"/>
        <v>105864</v>
      </c>
      <c r="AD828" s="3">
        <f t="shared" si="164"/>
        <v>79045.119999999995</v>
      </c>
      <c r="AE828" s="3">
        <f t="shared" si="165"/>
        <v>25054.48</v>
      </c>
      <c r="AF828" s="3">
        <f>SUM(ecommerce_sales_all_data[[#This Row],[revenue_month_1]:[revenue_month_12]])</f>
        <v>711758.96000000008</v>
      </c>
    </row>
    <row r="829" spans="1:32" x14ac:dyDescent="0.3">
      <c r="A829">
        <v>828</v>
      </c>
      <c r="B829" t="s">
        <v>852</v>
      </c>
      <c r="C829" t="s">
        <v>23</v>
      </c>
      <c r="D829" s="2">
        <v>176.74</v>
      </c>
      <c r="E829">
        <v>4.9000000000000004</v>
      </c>
      <c r="F829">
        <v>549</v>
      </c>
      <c r="G829" s="1">
        <v>766</v>
      </c>
      <c r="H829" s="1">
        <v>169</v>
      </c>
      <c r="I829" s="1">
        <v>977</v>
      </c>
      <c r="J829" s="1">
        <v>793</v>
      </c>
      <c r="K829" s="1">
        <v>281</v>
      </c>
      <c r="L829" s="1">
        <v>808</v>
      </c>
      <c r="M829" s="1">
        <v>927</v>
      </c>
      <c r="N829" s="1">
        <v>352</v>
      </c>
      <c r="O829" s="1">
        <v>549</v>
      </c>
      <c r="P829" s="1">
        <v>814</v>
      </c>
      <c r="Q829" s="1">
        <v>191</v>
      </c>
      <c r="R829" s="1">
        <v>860</v>
      </c>
      <c r="S829" s="1">
        <f>SUM(ecommerce_sales_all_data[[#This Row],[sales_month_1]:[sales_month_12]])</f>
        <v>7487</v>
      </c>
      <c r="T829" s="3">
        <f t="shared" si="154"/>
        <v>135382.84</v>
      </c>
      <c r="U829" s="3">
        <f t="shared" si="155"/>
        <v>29869.06</v>
      </c>
      <c r="V829" s="3">
        <f t="shared" si="156"/>
        <v>172674.98</v>
      </c>
      <c r="W829" s="3">
        <f t="shared" si="157"/>
        <v>140154.82</v>
      </c>
      <c r="X829" s="3">
        <f t="shared" si="158"/>
        <v>49663.94</v>
      </c>
      <c r="Y829" s="3">
        <f t="shared" si="159"/>
        <v>142805.92000000001</v>
      </c>
      <c r="Z829" s="3">
        <f t="shared" si="160"/>
        <v>163837.98000000001</v>
      </c>
      <c r="AA829" s="3">
        <f t="shared" si="161"/>
        <v>62212.480000000003</v>
      </c>
      <c r="AB829" s="3">
        <f t="shared" si="162"/>
        <v>97030.260000000009</v>
      </c>
      <c r="AC829" s="3">
        <f t="shared" si="163"/>
        <v>143866.36000000002</v>
      </c>
      <c r="AD829" s="3">
        <f t="shared" si="164"/>
        <v>33757.340000000004</v>
      </c>
      <c r="AE829" s="3">
        <f t="shared" si="165"/>
        <v>151996.4</v>
      </c>
      <c r="AF829" s="3">
        <f>SUM(ecommerce_sales_all_data[[#This Row],[revenue_month_1]:[revenue_month_12]])</f>
        <v>1323252.3800000001</v>
      </c>
    </row>
    <row r="830" spans="1:32" x14ac:dyDescent="0.3">
      <c r="A830">
        <v>829</v>
      </c>
      <c r="B830" t="s">
        <v>853</v>
      </c>
      <c r="C830" t="s">
        <v>48</v>
      </c>
      <c r="D830" s="2">
        <v>370.06</v>
      </c>
      <c r="E830">
        <v>4.2</v>
      </c>
      <c r="F830">
        <v>170</v>
      </c>
      <c r="G830" s="1">
        <v>253</v>
      </c>
      <c r="H830" s="1">
        <v>467</v>
      </c>
      <c r="I830" s="1">
        <v>53</v>
      </c>
      <c r="J830" s="1">
        <v>743</v>
      </c>
      <c r="K830" s="1">
        <v>660</v>
      </c>
      <c r="L830" s="1">
        <v>824</v>
      </c>
      <c r="M830" s="1">
        <v>25</v>
      </c>
      <c r="N830" s="1">
        <v>395</v>
      </c>
      <c r="O830" s="1">
        <v>611</v>
      </c>
      <c r="P830" s="1">
        <v>917</v>
      </c>
      <c r="Q830" s="1">
        <v>761</v>
      </c>
      <c r="R830" s="1">
        <v>362</v>
      </c>
      <c r="S830" s="1">
        <f>SUM(ecommerce_sales_all_data[[#This Row],[sales_month_1]:[sales_month_12]])</f>
        <v>6071</v>
      </c>
      <c r="T830" s="3">
        <f t="shared" si="154"/>
        <v>93625.180000000008</v>
      </c>
      <c r="U830" s="3">
        <f t="shared" si="155"/>
        <v>172818.02</v>
      </c>
      <c r="V830" s="3">
        <f t="shared" si="156"/>
        <v>19613.18</v>
      </c>
      <c r="W830" s="3">
        <f t="shared" si="157"/>
        <v>274954.58</v>
      </c>
      <c r="X830" s="3">
        <f t="shared" si="158"/>
        <v>244239.6</v>
      </c>
      <c r="Y830" s="3">
        <f t="shared" si="159"/>
        <v>304929.44</v>
      </c>
      <c r="Z830" s="3">
        <f t="shared" si="160"/>
        <v>9251.5</v>
      </c>
      <c r="AA830" s="3">
        <f t="shared" si="161"/>
        <v>146173.70000000001</v>
      </c>
      <c r="AB830" s="3">
        <f t="shared" si="162"/>
        <v>226106.66</v>
      </c>
      <c r="AC830" s="3">
        <f t="shared" si="163"/>
        <v>339345.02</v>
      </c>
      <c r="AD830" s="3">
        <f t="shared" si="164"/>
        <v>281615.65999999997</v>
      </c>
      <c r="AE830" s="3">
        <f t="shared" si="165"/>
        <v>133961.72</v>
      </c>
      <c r="AF830" s="3">
        <f>SUM(ecommerce_sales_all_data[[#This Row],[revenue_month_1]:[revenue_month_12]])</f>
        <v>2246634.2600000002</v>
      </c>
    </row>
    <row r="831" spans="1:32" x14ac:dyDescent="0.3">
      <c r="A831">
        <v>830</v>
      </c>
      <c r="B831" t="s">
        <v>854</v>
      </c>
      <c r="C831" t="s">
        <v>48</v>
      </c>
      <c r="D831" s="2">
        <v>228.85</v>
      </c>
      <c r="E831">
        <v>2.2000000000000002</v>
      </c>
      <c r="F831">
        <v>124</v>
      </c>
      <c r="G831" s="1">
        <v>520</v>
      </c>
      <c r="H831" s="1">
        <v>677</v>
      </c>
      <c r="I831" s="1">
        <v>330</v>
      </c>
      <c r="J831" s="1">
        <v>84</v>
      </c>
      <c r="K831" s="1">
        <v>923</v>
      </c>
      <c r="L831" s="1">
        <v>692</v>
      </c>
      <c r="M831" s="1">
        <v>453</v>
      </c>
      <c r="N831" s="1">
        <v>289</v>
      </c>
      <c r="O831" s="1">
        <v>704</v>
      </c>
      <c r="P831" s="1">
        <v>202</v>
      </c>
      <c r="Q831" s="1">
        <v>113</v>
      </c>
      <c r="R831" s="1">
        <v>381</v>
      </c>
      <c r="S831" s="1">
        <f>SUM(ecommerce_sales_all_data[[#This Row],[sales_month_1]:[sales_month_12]])</f>
        <v>5368</v>
      </c>
      <c r="T831" s="3">
        <f t="shared" si="154"/>
        <v>119002</v>
      </c>
      <c r="U831" s="3">
        <f t="shared" si="155"/>
        <v>154931.44999999998</v>
      </c>
      <c r="V831" s="3">
        <f t="shared" si="156"/>
        <v>75520.5</v>
      </c>
      <c r="W831" s="3">
        <f t="shared" si="157"/>
        <v>19223.399999999998</v>
      </c>
      <c r="X831" s="3">
        <f t="shared" si="158"/>
        <v>211228.55</v>
      </c>
      <c r="Y831" s="3">
        <f t="shared" si="159"/>
        <v>158364.19999999998</v>
      </c>
      <c r="Z831" s="3">
        <f t="shared" si="160"/>
        <v>103669.05</v>
      </c>
      <c r="AA831" s="3">
        <f t="shared" si="161"/>
        <v>66137.649999999994</v>
      </c>
      <c r="AB831" s="3">
        <f t="shared" si="162"/>
        <v>161110.39999999999</v>
      </c>
      <c r="AC831" s="3">
        <f t="shared" si="163"/>
        <v>46227.7</v>
      </c>
      <c r="AD831" s="3">
        <f t="shared" si="164"/>
        <v>25860.05</v>
      </c>
      <c r="AE831" s="3">
        <f t="shared" si="165"/>
        <v>87191.849999999991</v>
      </c>
      <c r="AF831" s="3">
        <f>SUM(ecommerce_sales_all_data[[#This Row],[revenue_month_1]:[revenue_month_12]])</f>
        <v>1228466.8</v>
      </c>
    </row>
    <row r="832" spans="1:32" x14ac:dyDescent="0.3">
      <c r="A832">
        <v>831</v>
      </c>
      <c r="B832" t="s">
        <v>855</v>
      </c>
      <c r="C832" t="s">
        <v>29</v>
      </c>
      <c r="D832" s="2">
        <v>116.18</v>
      </c>
      <c r="E832">
        <v>4.9000000000000004</v>
      </c>
      <c r="F832">
        <v>869</v>
      </c>
      <c r="G832" s="1">
        <v>976</v>
      </c>
      <c r="H832" s="1">
        <v>920</v>
      </c>
      <c r="I832" s="1">
        <v>783</v>
      </c>
      <c r="J832" s="1">
        <v>920</v>
      </c>
      <c r="K832" s="1">
        <v>815</v>
      </c>
      <c r="L832" s="1">
        <v>492</v>
      </c>
      <c r="M832" s="1">
        <v>680</v>
      </c>
      <c r="N832" s="1">
        <v>454</v>
      </c>
      <c r="O832" s="1">
        <v>401</v>
      </c>
      <c r="P832" s="1">
        <v>416</v>
      </c>
      <c r="Q832" s="1">
        <v>25</v>
      </c>
      <c r="R832" s="1">
        <v>560</v>
      </c>
      <c r="S832" s="1">
        <f>SUM(ecommerce_sales_all_data[[#This Row],[sales_month_1]:[sales_month_12]])</f>
        <v>7442</v>
      </c>
      <c r="T832" s="3">
        <f t="shared" si="154"/>
        <v>113391.68000000001</v>
      </c>
      <c r="U832" s="3">
        <f t="shared" si="155"/>
        <v>106885.6</v>
      </c>
      <c r="V832" s="3">
        <f t="shared" si="156"/>
        <v>90968.94</v>
      </c>
      <c r="W832" s="3">
        <f t="shared" si="157"/>
        <v>106885.6</v>
      </c>
      <c r="X832" s="3">
        <f t="shared" si="158"/>
        <v>94686.700000000012</v>
      </c>
      <c r="Y832" s="3">
        <f t="shared" si="159"/>
        <v>57160.560000000005</v>
      </c>
      <c r="Z832" s="3">
        <f t="shared" si="160"/>
        <v>79002.400000000009</v>
      </c>
      <c r="AA832" s="3">
        <f t="shared" si="161"/>
        <v>52745.72</v>
      </c>
      <c r="AB832" s="3">
        <f t="shared" si="162"/>
        <v>46588.18</v>
      </c>
      <c r="AC832" s="3">
        <f t="shared" si="163"/>
        <v>48330.880000000005</v>
      </c>
      <c r="AD832" s="3">
        <f t="shared" si="164"/>
        <v>2904.5</v>
      </c>
      <c r="AE832" s="3">
        <f t="shared" si="165"/>
        <v>65060.800000000003</v>
      </c>
      <c r="AF832" s="3">
        <f>SUM(ecommerce_sales_all_data[[#This Row],[revenue_month_1]:[revenue_month_12]])</f>
        <v>864611.56000000017</v>
      </c>
    </row>
    <row r="833" spans="1:32" x14ac:dyDescent="0.3">
      <c r="A833">
        <v>832</v>
      </c>
      <c r="B833" t="s">
        <v>856</v>
      </c>
      <c r="C833" t="s">
        <v>35</v>
      </c>
      <c r="D833" s="2">
        <v>228.96</v>
      </c>
      <c r="E833">
        <v>3.4</v>
      </c>
      <c r="F833">
        <v>35</v>
      </c>
      <c r="G833" s="1">
        <v>650</v>
      </c>
      <c r="H833" s="1">
        <v>13</v>
      </c>
      <c r="I833" s="1">
        <v>240</v>
      </c>
      <c r="J833" s="1">
        <v>488</v>
      </c>
      <c r="K833" s="1">
        <v>995</v>
      </c>
      <c r="L833" s="1">
        <v>267</v>
      </c>
      <c r="M833" s="1">
        <v>322</v>
      </c>
      <c r="N833" s="1">
        <v>842</v>
      </c>
      <c r="O833" s="1">
        <v>190</v>
      </c>
      <c r="P833" s="1">
        <v>415</v>
      </c>
      <c r="Q833" s="1">
        <v>782</v>
      </c>
      <c r="R833" s="1">
        <v>276</v>
      </c>
      <c r="S833" s="1">
        <f>SUM(ecommerce_sales_all_data[[#This Row],[sales_month_1]:[sales_month_12]])</f>
        <v>5480</v>
      </c>
      <c r="T833" s="3">
        <f t="shared" si="154"/>
        <v>148824</v>
      </c>
      <c r="U833" s="3">
        <f t="shared" si="155"/>
        <v>2976.48</v>
      </c>
      <c r="V833" s="3">
        <f t="shared" si="156"/>
        <v>54950.400000000001</v>
      </c>
      <c r="W833" s="3">
        <f t="shared" si="157"/>
        <v>111732.48000000001</v>
      </c>
      <c r="X833" s="3">
        <f t="shared" si="158"/>
        <v>227815.2</v>
      </c>
      <c r="Y833" s="3">
        <f t="shared" si="159"/>
        <v>61132.32</v>
      </c>
      <c r="Z833" s="3">
        <f t="shared" si="160"/>
        <v>73725.119999999995</v>
      </c>
      <c r="AA833" s="3">
        <f t="shared" si="161"/>
        <v>192784.32</v>
      </c>
      <c r="AB833" s="3">
        <f t="shared" si="162"/>
        <v>43502.400000000001</v>
      </c>
      <c r="AC833" s="3">
        <f t="shared" si="163"/>
        <v>95018.400000000009</v>
      </c>
      <c r="AD833" s="3">
        <f t="shared" si="164"/>
        <v>179046.72</v>
      </c>
      <c r="AE833" s="3">
        <f t="shared" si="165"/>
        <v>63192.959999999999</v>
      </c>
      <c r="AF833" s="3">
        <f>SUM(ecommerce_sales_all_data[[#This Row],[revenue_month_1]:[revenue_month_12]])</f>
        <v>1254700.8</v>
      </c>
    </row>
    <row r="834" spans="1:32" x14ac:dyDescent="0.3">
      <c r="A834">
        <v>833</v>
      </c>
      <c r="B834" t="s">
        <v>857</v>
      </c>
      <c r="C834" t="s">
        <v>23</v>
      </c>
      <c r="D834" s="2">
        <v>74.72</v>
      </c>
      <c r="E834">
        <v>3.3</v>
      </c>
      <c r="F834">
        <v>87</v>
      </c>
      <c r="G834" s="1">
        <v>479</v>
      </c>
      <c r="H834" s="1">
        <v>714</v>
      </c>
      <c r="I834" s="1">
        <v>754</v>
      </c>
      <c r="J834" s="1">
        <v>64</v>
      </c>
      <c r="K834" s="1">
        <v>935</v>
      </c>
      <c r="L834" s="1">
        <v>524</v>
      </c>
      <c r="M834" s="1">
        <v>736</v>
      </c>
      <c r="N834" s="1">
        <v>670</v>
      </c>
      <c r="O834" s="1">
        <v>50</v>
      </c>
      <c r="P834" s="1">
        <v>447</v>
      </c>
      <c r="Q834" s="1">
        <v>498</v>
      </c>
      <c r="R834" s="1">
        <v>270</v>
      </c>
      <c r="S834" s="1">
        <f>SUM(ecommerce_sales_all_data[[#This Row],[sales_month_1]:[sales_month_12]])</f>
        <v>6141</v>
      </c>
      <c r="T834" s="3">
        <f t="shared" ref="T834:T897" si="166">G834*$D834</f>
        <v>35790.879999999997</v>
      </c>
      <c r="U834" s="3">
        <f t="shared" ref="U834:U897" si="167">H834*$D834</f>
        <v>53350.080000000002</v>
      </c>
      <c r="V834" s="3">
        <f t="shared" si="156"/>
        <v>56338.879999999997</v>
      </c>
      <c r="W834" s="3">
        <f t="shared" si="157"/>
        <v>4782.08</v>
      </c>
      <c r="X834" s="3">
        <f t="shared" si="158"/>
        <v>69863.199999999997</v>
      </c>
      <c r="Y834" s="3">
        <f t="shared" si="159"/>
        <v>39153.279999999999</v>
      </c>
      <c r="Z834" s="3">
        <f t="shared" si="160"/>
        <v>54993.919999999998</v>
      </c>
      <c r="AA834" s="3">
        <f t="shared" si="161"/>
        <v>50062.400000000001</v>
      </c>
      <c r="AB834" s="3">
        <f t="shared" si="162"/>
        <v>3736</v>
      </c>
      <c r="AC834" s="3">
        <f t="shared" si="163"/>
        <v>33399.839999999997</v>
      </c>
      <c r="AD834" s="3">
        <f t="shared" si="164"/>
        <v>37210.559999999998</v>
      </c>
      <c r="AE834" s="3">
        <f t="shared" si="165"/>
        <v>20174.400000000001</v>
      </c>
      <c r="AF834" s="3">
        <f>SUM(ecommerce_sales_all_data[[#This Row],[revenue_month_1]:[revenue_month_12]])</f>
        <v>458855.52000000008</v>
      </c>
    </row>
    <row r="835" spans="1:32" x14ac:dyDescent="0.3">
      <c r="A835">
        <v>834</v>
      </c>
      <c r="B835" t="s">
        <v>858</v>
      </c>
      <c r="C835" t="s">
        <v>29</v>
      </c>
      <c r="D835" s="2">
        <v>92.31</v>
      </c>
      <c r="E835">
        <v>4</v>
      </c>
      <c r="F835">
        <v>646</v>
      </c>
      <c r="G835" s="1">
        <v>9</v>
      </c>
      <c r="H835" s="1">
        <v>287</v>
      </c>
      <c r="I835" s="1">
        <v>529</v>
      </c>
      <c r="J835" s="1">
        <v>645</v>
      </c>
      <c r="K835" s="1">
        <v>577</v>
      </c>
      <c r="L835" s="1">
        <v>119</v>
      </c>
      <c r="M835" s="1">
        <v>512</v>
      </c>
      <c r="N835" s="1">
        <v>988</v>
      </c>
      <c r="O835" s="1">
        <v>392</v>
      </c>
      <c r="P835" s="1">
        <v>511</v>
      </c>
      <c r="Q835" s="1">
        <v>507</v>
      </c>
      <c r="R835" s="1">
        <v>13</v>
      </c>
      <c r="S835" s="1">
        <f>SUM(ecommerce_sales_all_data[[#This Row],[sales_month_1]:[sales_month_12]])</f>
        <v>5089</v>
      </c>
      <c r="T835" s="3">
        <f t="shared" si="166"/>
        <v>830.79</v>
      </c>
      <c r="U835" s="3">
        <f t="shared" si="167"/>
        <v>26492.97</v>
      </c>
      <c r="V835" s="3">
        <f t="shared" ref="V835:V898" si="168">I835*$D835</f>
        <v>48831.99</v>
      </c>
      <c r="W835" s="3">
        <f t="shared" ref="W835:W898" si="169">J835*$D835</f>
        <v>59539.950000000004</v>
      </c>
      <c r="X835" s="3">
        <f t="shared" ref="X835:X898" si="170">K835*$D835</f>
        <v>53262.87</v>
      </c>
      <c r="Y835" s="3">
        <f t="shared" ref="Y835:Y898" si="171">L835*$D835</f>
        <v>10984.89</v>
      </c>
      <c r="Z835" s="3">
        <f t="shared" ref="Z835:Z898" si="172">M835*$D835</f>
        <v>47262.720000000001</v>
      </c>
      <c r="AA835" s="3">
        <f t="shared" ref="AA835:AA898" si="173">N835*$D835</f>
        <v>91202.28</v>
      </c>
      <c r="AB835" s="3">
        <f t="shared" ref="AB835:AB898" si="174">O835*$D835</f>
        <v>36185.520000000004</v>
      </c>
      <c r="AC835" s="3">
        <f t="shared" ref="AC835:AC898" si="175">P835*$D835</f>
        <v>47170.41</v>
      </c>
      <c r="AD835" s="3">
        <f t="shared" ref="AD835:AD898" si="176">Q835*$D835</f>
        <v>46801.17</v>
      </c>
      <c r="AE835" s="3">
        <f t="shared" ref="AE835:AE898" si="177">R835*$D835</f>
        <v>1200.03</v>
      </c>
      <c r="AF835" s="3">
        <f>SUM(ecommerce_sales_all_data[[#This Row],[revenue_month_1]:[revenue_month_12]])</f>
        <v>469765.59</v>
      </c>
    </row>
    <row r="836" spans="1:32" x14ac:dyDescent="0.3">
      <c r="A836">
        <v>835</v>
      </c>
      <c r="B836" t="s">
        <v>859</v>
      </c>
      <c r="C836" t="s">
        <v>48</v>
      </c>
      <c r="D836" s="2">
        <v>251.69</v>
      </c>
      <c r="E836">
        <v>4.2</v>
      </c>
      <c r="F836">
        <v>708</v>
      </c>
      <c r="G836" s="1">
        <v>725</v>
      </c>
      <c r="H836" s="1">
        <v>906</v>
      </c>
      <c r="I836" s="1">
        <v>482</v>
      </c>
      <c r="J836" s="1">
        <v>662</v>
      </c>
      <c r="K836" s="1">
        <v>745</v>
      </c>
      <c r="L836" s="1">
        <v>969</v>
      </c>
      <c r="M836" s="1">
        <v>818</v>
      </c>
      <c r="N836" s="1">
        <v>127</v>
      </c>
      <c r="O836" s="1">
        <v>652</v>
      </c>
      <c r="P836" s="1">
        <v>84</v>
      </c>
      <c r="Q836" s="1">
        <v>544</v>
      </c>
      <c r="R836" s="1">
        <v>297</v>
      </c>
      <c r="S836" s="1">
        <f>SUM(ecommerce_sales_all_data[[#This Row],[sales_month_1]:[sales_month_12]])</f>
        <v>7011</v>
      </c>
      <c r="T836" s="3">
        <f t="shared" si="166"/>
        <v>182475.25</v>
      </c>
      <c r="U836" s="3">
        <f t="shared" si="167"/>
        <v>228031.13999999998</v>
      </c>
      <c r="V836" s="3">
        <f t="shared" si="168"/>
        <v>121314.58</v>
      </c>
      <c r="W836" s="3">
        <f t="shared" si="169"/>
        <v>166618.78</v>
      </c>
      <c r="X836" s="3">
        <f t="shared" si="170"/>
        <v>187509.05</v>
      </c>
      <c r="Y836" s="3">
        <f t="shared" si="171"/>
        <v>243887.61</v>
      </c>
      <c r="Z836" s="3">
        <f t="shared" si="172"/>
        <v>205882.41999999998</v>
      </c>
      <c r="AA836" s="3">
        <f t="shared" si="173"/>
        <v>31964.63</v>
      </c>
      <c r="AB836" s="3">
        <f t="shared" si="174"/>
        <v>164101.88</v>
      </c>
      <c r="AC836" s="3">
        <f t="shared" si="175"/>
        <v>21141.96</v>
      </c>
      <c r="AD836" s="3">
        <f t="shared" si="176"/>
        <v>136919.35999999999</v>
      </c>
      <c r="AE836" s="3">
        <f t="shared" si="177"/>
        <v>74751.929999999993</v>
      </c>
      <c r="AF836" s="3">
        <f>SUM(ecommerce_sales_all_data[[#This Row],[revenue_month_1]:[revenue_month_12]])</f>
        <v>1764598.5899999996</v>
      </c>
    </row>
    <row r="837" spans="1:32" x14ac:dyDescent="0.3">
      <c r="A837">
        <v>836</v>
      </c>
      <c r="B837" t="s">
        <v>860</v>
      </c>
      <c r="C837" t="s">
        <v>23</v>
      </c>
      <c r="D837" s="2">
        <v>212.37</v>
      </c>
      <c r="E837">
        <v>3.6</v>
      </c>
      <c r="F837">
        <v>786</v>
      </c>
      <c r="G837" s="1">
        <v>504</v>
      </c>
      <c r="H837" s="1">
        <v>188</v>
      </c>
      <c r="I837" s="1">
        <v>186</v>
      </c>
      <c r="J837" s="1">
        <v>626</v>
      </c>
      <c r="K837" s="1">
        <v>456</v>
      </c>
      <c r="L837" s="1">
        <v>352</v>
      </c>
      <c r="M837" s="1">
        <v>772</v>
      </c>
      <c r="N837" s="1">
        <v>701</v>
      </c>
      <c r="O837" s="1">
        <v>679</v>
      </c>
      <c r="P837" s="1">
        <v>166</v>
      </c>
      <c r="Q837" s="1">
        <v>61</v>
      </c>
      <c r="R837" s="1">
        <v>463</v>
      </c>
      <c r="S837" s="1">
        <f>SUM(ecommerce_sales_all_data[[#This Row],[sales_month_1]:[sales_month_12]])</f>
        <v>5154</v>
      </c>
      <c r="T837" s="3">
        <f t="shared" si="166"/>
        <v>107034.48</v>
      </c>
      <c r="U837" s="3">
        <f t="shared" si="167"/>
        <v>39925.56</v>
      </c>
      <c r="V837" s="3">
        <f t="shared" si="168"/>
        <v>39500.82</v>
      </c>
      <c r="W837" s="3">
        <f t="shared" si="169"/>
        <v>132943.62</v>
      </c>
      <c r="X837" s="3">
        <f t="shared" si="170"/>
        <v>96840.72</v>
      </c>
      <c r="Y837" s="3">
        <f t="shared" si="171"/>
        <v>74754.240000000005</v>
      </c>
      <c r="Z837" s="3">
        <f t="shared" si="172"/>
        <v>163949.64000000001</v>
      </c>
      <c r="AA837" s="3">
        <f t="shared" si="173"/>
        <v>148871.37</v>
      </c>
      <c r="AB837" s="3">
        <f t="shared" si="174"/>
        <v>144199.23000000001</v>
      </c>
      <c r="AC837" s="3">
        <f t="shared" si="175"/>
        <v>35253.42</v>
      </c>
      <c r="AD837" s="3">
        <f t="shared" si="176"/>
        <v>12954.57</v>
      </c>
      <c r="AE837" s="3">
        <f t="shared" si="177"/>
        <v>98327.31</v>
      </c>
      <c r="AF837" s="3">
        <f>SUM(ecommerce_sales_all_data[[#This Row],[revenue_month_1]:[revenue_month_12]])</f>
        <v>1094554.98</v>
      </c>
    </row>
    <row r="838" spans="1:32" x14ac:dyDescent="0.3">
      <c r="A838">
        <v>837</v>
      </c>
      <c r="B838" t="s">
        <v>861</v>
      </c>
      <c r="C838" t="s">
        <v>21</v>
      </c>
      <c r="D838" s="2">
        <v>457.85</v>
      </c>
      <c r="E838">
        <v>1.5</v>
      </c>
      <c r="F838">
        <v>201</v>
      </c>
      <c r="G838" s="1">
        <v>784</v>
      </c>
      <c r="H838" s="1">
        <v>913</v>
      </c>
      <c r="I838" s="1">
        <v>857</v>
      </c>
      <c r="J838" s="1">
        <v>63</v>
      </c>
      <c r="K838" s="1">
        <v>86</v>
      </c>
      <c r="L838" s="1">
        <v>56</v>
      </c>
      <c r="M838" s="1">
        <v>12</v>
      </c>
      <c r="N838" s="1">
        <v>908</v>
      </c>
      <c r="O838" s="1">
        <v>822</v>
      </c>
      <c r="P838" s="1">
        <v>383</v>
      </c>
      <c r="Q838" s="1">
        <v>228</v>
      </c>
      <c r="R838" s="1">
        <v>526</v>
      </c>
      <c r="S838" s="1">
        <f>SUM(ecommerce_sales_all_data[[#This Row],[sales_month_1]:[sales_month_12]])</f>
        <v>5638</v>
      </c>
      <c r="T838" s="3">
        <f t="shared" si="166"/>
        <v>358954.4</v>
      </c>
      <c r="U838" s="3">
        <f t="shared" si="167"/>
        <v>418017.05000000005</v>
      </c>
      <c r="V838" s="3">
        <f t="shared" si="168"/>
        <v>392377.45</v>
      </c>
      <c r="W838" s="3">
        <f t="shared" si="169"/>
        <v>28844.550000000003</v>
      </c>
      <c r="X838" s="3">
        <f t="shared" si="170"/>
        <v>39375.1</v>
      </c>
      <c r="Y838" s="3">
        <f t="shared" si="171"/>
        <v>25639.600000000002</v>
      </c>
      <c r="Z838" s="3">
        <f t="shared" si="172"/>
        <v>5494.2000000000007</v>
      </c>
      <c r="AA838" s="3">
        <f t="shared" si="173"/>
        <v>415727.80000000005</v>
      </c>
      <c r="AB838" s="3">
        <f t="shared" si="174"/>
        <v>376352.7</v>
      </c>
      <c r="AC838" s="3">
        <f t="shared" si="175"/>
        <v>175356.55000000002</v>
      </c>
      <c r="AD838" s="3">
        <f t="shared" si="176"/>
        <v>104389.8</v>
      </c>
      <c r="AE838" s="3">
        <f t="shared" si="177"/>
        <v>240829.1</v>
      </c>
      <c r="AF838" s="3">
        <f>SUM(ecommerce_sales_all_data[[#This Row],[revenue_month_1]:[revenue_month_12]])</f>
        <v>2581358.3000000003</v>
      </c>
    </row>
    <row r="839" spans="1:32" x14ac:dyDescent="0.3">
      <c r="A839">
        <v>838</v>
      </c>
      <c r="B839" t="s">
        <v>862</v>
      </c>
      <c r="C839" t="s">
        <v>19</v>
      </c>
      <c r="D839" s="2">
        <v>184.38</v>
      </c>
      <c r="E839">
        <v>2.4</v>
      </c>
      <c r="F839">
        <v>369</v>
      </c>
      <c r="G839" s="1">
        <v>835</v>
      </c>
      <c r="H839" s="1">
        <v>154</v>
      </c>
      <c r="I839" s="1">
        <v>655</v>
      </c>
      <c r="J839" s="1">
        <v>342</v>
      </c>
      <c r="K839" s="1">
        <v>78</v>
      </c>
      <c r="L839" s="1">
        <v>39</v>
      </c>
      <c r="M839" s="1">
        <v>914</v>
      </c>
      <c r="N839" s="1">
        <v>542</v>
      </c>
      <c r="O839" s="1">
        <v>620</v>
      </c>
      <c r="P839" s="1">
        <v>467</v>
      </c>
      <c r="Q839" s="1">
        <v>814</v>
      </c>
      <c r="R839" s="1">
        <v>233</v>
      </c>
      <c r="S839" s="1">
        <f>SUM(ecommerce_sales_all_data[[#This Row],[sales_month_1]:[sales_month_12]])</f>
        <v>5693</v>
      </c>
      <c r="T839" s="3">
        <f t="shared" si="166"/>
        <v>153957.29999999999</v>
      </c>
      <c r="U839" s="3">
        <f t="shared" si="167"/>
        <v>28394.52</v>
      </c>
      <c r="V839" s="3">
        <f t="shared" si="168"/>
        <v>120768.9</v>
      </c>
      <c r="W839" s="3">
        <f t="shared" si="169"/>
        <v>63057.96</v>
      </c>
      <c r="X839" s="3">
        <f t="shared" si="170"/>
        <v>14381.64</v>
      </c>
      <c r="Y839" s="3">
        <f t="shared" si="171"/>
        <v>7190.82</v>
      </c>
      <c r="Z839" s="3">
        <f t="shared" si="172"/>
        <v>168523.32</v>
      </c>
      <c r="AA839" s="3">
        <f t="shared" si="173"/>
        <v>99933.959999999992</v>
      </c>
      <c r="AB839" s="3">
        <f t="shared" si="174"/>
        <v>114315.59999999999</v>
      </c>
      <c r="AC839" s="3">
        <f t="shared" si="175"/>
        <v>86105.459999999992</v>
      </c>
      <c r="AD839" s="3">
        <f t="shared" si="176"/>
        <v>150085.32</v>
      </c>
      <c r="AE839" s="3">
        <f t="shared" si="177"/>
        <v>42960.54</v>
      </c>
      <c r="AF839" s="3">
        <f>SUM(ecommerce_sales_all_data[[#This Row],[revenue_month_1]:[revenue_month_12]])</f>
        <v>1049675.3399999999</v>
      </c>
    </row>
    <row r="840" spans="1:32" x14ac:dyDescent="0.3">
      <c r="A840">
        <v>839</v>
      </c>
      <c r="B840" t="s">
        <v>863</v>
      </c>
      <c r="C840" t="s">
        <v>21</v>
      </c>
      <c r="D840" s="2">
        <v>292.39</v>
      </c>
      <c r="E840">
        <v>4.7</v>
      </c>
      <c r="F840">
        <v>797</v>
      </c>
      <c r="G840" s="1">
        <v>559</v>
      </c>
      <c r="H840" s="1">
        <v>566</v>
      </c>
      <c r="I840" s="1">
        <v>261</v>
      </c>
      <c r="J840" s="1">
        <v>938</v>
      </c>
      <c r="K840" s="1">
        <v>204</v>
      </c>
      <c r="L840" s="1">
        <v>885</v>
      </c>
      <c r="M840" s="1">
        <v>907</v>
      </c>
      <c r="N840" s="1">
        <v>897</v>
      </c>
      <c r="O840" s="1">
        <v>718</v>
      </c>
      <c r="P840" s="1">
        <v>71</v>
      </c>
      <c r="Q840" s="1">
        <v>606</v>
      </c>
      <c r="R840" s="1">
        <v>574</v>
      </c>
      <c r="S840" s="1">
        <f>SUM(ecommerce_sales_all_data[[#This Row],[sales_month_1]:[sales_month_12]])</f>
        <v>7186</v>
      </c>
      <c r="T840" s="3">
        <f t="shared" si="166"/>
        <v>163446.00999999998</v>
      </c>
      <c r="U840" s="3">
        <f t="shared" si="167"/>
        <v>165492.74</v>
      </c>
      <c r="V840" s="3">
        <f t="shared" si="168"/>
        <v>76313.789999999994</v>
      </c>
      <c r="W840" s="3">
        <f t="shared" si="169"/>
        <v>274261.82</v>
      </c>
      <c r="X840" s="3">
        <f t="shared" si="170"/>
        <v>59647.56</v>
      </c>
      <c r="Y840" s="3">
        <f t="shared" si="171"/>
        <v>258765.15</v>
      </c>
      <c r="Z840" s="3">
        <f t="shared" si="172"/>
        <v>265197.73</v>
      </c>
      <c r="AA840" s="3">
        <f t="shared" si="173"/>
        <v>262273.83</v>
      </c>
      <c r="AB840" s="3">
        <f t="shared" si="174"/>
        <v>209936.02</v>
      </c>
      <c r="AC840" s="3">
        <f t="shared" si="175"/>
        <v>20759.689999999999</v>
      </c>
      <c r="AD840" s="3">
        <f t="shared" si="176"/>
        <v>177188.34</v>
      </c>
      <c r="AE840" s="3">
        <f t="shared" si="177"/>
        <v>167831.86</v>
      </c>
      <c r="AF840" s="3">
        <f>SUM(ecommerce_sales_all_data[[#This Row],[revenue_month_1]:[revenue_month_12]])</f>
        <v>2101114.54</v>
      </c>
    </row>
    <row r="841" spans="1:32" x14ac:dyDescent="0.3">
      <c r="A841">
        <v>840</v>
      </c>
      <c r="B841" t="s">
        <v>864</v>
      </c>
      <c r="C841" t="s">
        <v>19</v>
      </c>
      <c r="D841" s="2">
        <v>317.97000000000003</v>
      </c>
      <c r="E841">
        <v>1.9</v>
      </c>
      <c r="F841">
        <v>77</v>
      </c>
      <c r="G841" s="1">
        <v>435</v>
      </c>
      <c r="H841" s="1">
        <v>693</v>
      </c>
      <c r="I841" s="1">
        <v>952</v>
      </c>
      <c r="J841" s="1">
        <v>874</v>
      </c>
      <c r="K841" s="1">
        <v>790</v>
      </c>
      <c r="L841" s="1">
        <v>335</v>
      </c>
      <c r="M841" s="1">
        <v>559</v>
      </c>
      <c r="N841" s="1">
        <v>358</v>
      </c>
      <c r="O841" s="1">
        <v>938</v>
      </c>
      <c r="P841" s="1">
        <v>809</v>
      </c>
      <c r="Q841" s="1">
        <v>34</v>
      </c>
      <c r="R841" s="1">
        <v>707</v>
      </c>
      <c r="S841" s="1">
        <f>SUM(ecommerce_sales_all_data[[#This Row],[sales_month_1]:[sales_month_12]])</f>
        <v>7484</v>
      </c>
      <c r="T841" s="3">
        <f t="shared" si="166"/>
        <v>138316.95000000001</v>
      </c>
      <c r="U841" s="3">
        <f t="shared" si="167"/>
        <v>220353.21000000002</v>
      </c>
      <c r="V841" s="3">
        <f t="shared" si="168"/>
        <v>302707.44</v>
      </c>
      <c r="W841" s="3">
        <f t="shared" si="169"/>
        <v>277905.78000000003</v>
      </c>
      <c r="X841" s="3">
        <f t="shared" si="170"/>
        <v>251196.30000000002</v>
      </c>
      <c r="Y841" s="3">
        <f t="shared" si="171"/>
        <v>106519.95000000001</v>
      </c>
      <c r="Z841" s="3">
        <f t="shared" si="172"/>
        <v>177745.23</v>
      </c>
      <c r="AA841" s="3">
        <f t="shared" si="173"/>
        <v>113833.26000000001</v>
      </c>
      <c r="AB841" s="3">
        <f t="shared" si="174"/>
        <v>298255.86000000004</v>
      </c>
      <c r="AC841" s="3">
        <f t="shared" si="175"/>
        <v>257237.73</v>
      </c>
      <c r="AD841" s="3">
        <f t="shared" si="176"/>
        <v>10810.980000000001</v>
      </c>
      <c r="AE841" s="3">
        <f t="shared" si="177"/>
        <v>224804.79</v>
      </c>
      <c r="AF841" s="3">
        <f>SUM(ecommerce_sales_all_data[[#This Row],[revenue_month_1]:[revenue_month_12]])</f>
        <v>2379687.4800000004</v>
      </c>
    </row>
    <row r="842" spans="1:32" x14ac:dyDescent="0.3">
      <c r="A842">
        <v>841</v>
      </c>
      <c r="B842" t="s">
        <v>865</v>
      </c>
      <c r="C842" t="s">
        <v>35</v>
      </c>
      <c r="D842" s="2">
        <v>11.48</v>
      </c>
      <c r="E842">
        <v>2.5</v>
      </c>
      <c r="F842">
        <v>59</v>
      </c>
      <c r="G842" s="1">
        <v>110</v>
      </c>
      <c r="H842" s="1">
        <v>721</v>
      </c>
      <c r="I842" s="1">
        <v>363</v>
      </c>
      <c r="J842" s="1">
        <v>918</v>
      </c>
      <c r="K842" s="1">
        <v>336</v>
      </c>
      <c r="L842" s="1">
        <v>639</v>
      </c>
      <c r="M842" s="1">
        <v>920</v>
      </c>
      <c r="N842" s="1">
        <v>526</v>
      </c>
      <c r="O842" s="1">
        <v>299</v>
      </c>
      <c r="P842" s="1">
        <v>996</v>
      </c>
      <c r="Q842" s="1">
        <v>704</v>
      </c>
      <c r="R842" s="1">
        <v>26</v>
      </c>
      <c r="S842" s="1">
        <f>SUM(ecommerce_sales_all_data[[#This Row],[sales_month_1]:[sales_month_12]])</f>
        <v>6558</v>
      </c>
      <c r="T842" s="3">
        <f t="shared" si="166"/>
        <v>1262.8</v>
      </c>
      <c r="U842" s="3">
        <f t="shared" si="167"/>
        <v>8277.08</v>
      </c>
      <c r="V842" s="3">
        <f t="shared" si="168"/>
        <v>4167.24</v>
      </c>
      <c r="W842" s="3">
        <f t="shared" si="169"/>
        <v>10538.640000000001</v>
      </c>
      <c r="X842" s="3">
        <f t="shared" si="170"/>
        <v>3857.28</v>
      </c>
      <c r="Y842" s="3">
        <f t="shared" si="171"/>
        <v>7335.72</v>
      </c>
      <c r="Z842" s="3">
        <f t="shared" si="172"/>
        <v>10561.6</v>
      </c>
      <c r="AA842" s="3">
        <f t="shared" si="173"/>
        <v>6038.4800000000005</v>
      </c>
      <c r="AB842" s="3">
        <f t="shared" si="174"/>
        <v>3432.52</v>
      </c>
      <c r="AC842" s="3">
        <f t="shared" si="175"/>
        <v>11434.08</v>
      </c>
      <c r="AD842" s="3">
        <f t="shared" si="176"/>
        <v>8081.92</v>
      </c>
      <c r="AE842" s="3">
        <f t="shared" si="177"/>
        <v>298.48</v>
      </c>
      <c r="AF842" s="3">
        <f>SUM(ecommerce_sales_all_data[[#This Row],[revenue_month_1]:[revenue_month_12]])</f>
        <v>75285.84</v>
      </c>
    </row>
    <row r="843" spans="1:32" x14ac:dyDescent="0.3">
      <c r="A843">
        <v>842</v>
      </c>
      <c r="B843" t="s">
        <v>866</v>
      </c>
      <c r="C843" t="s">
        <v>26</v>
      </c>
      <c r="D843" s="2">
        <v>333.45</v>
      </c>
      <c r="E843">
        <v>2.7</v>
      </c>
      <c r="F843">
        <v>431</v>
      </c>
      <c r="G843" s="1">
        <v>152</v>
      </c>
      <c r="H843" s="1">
        <v>887</v>
      </c>
      <c r="I843" s="1">
        <v>490</v>
      </c>
      <c r="J843" s="1">
        <v>351</v>
      </c>
      <c r="K843" s="1">
        <v>253</v>
      </c>
      <c r="L843" s="1">
        <v>172</v>
      </c>
      <c r="M843" s="1">
        <v>824</v>
      </c>
      <c r="N843" s="1">
        <v>312</v>
      </c>
      <c r="O843" s="1">
        <v>621</v>
      </c>
      <c r="P843" s="1">
        <v>520</v>
      </c>
      <c r="Q843" s="1">
        <v>455</v>
      </c>
      <c r="R843" s="1">
        <v>470</v>
      </c>
      <c r="S843" s="1">
        <f>SUM(ecommerce_sales_all_data[[#This Row],[sales_month_1]:[sales_month_12]])</f>
        <v>5507</v>
      </c>
      <c r="T843" s="3">
        <f t="shared" si="166"/>
        <v>50684.4</v>
      </c>
      <c r="U843" s="3">
        <f t="shared" si="167"/>
        <v>295770.14999999997</v>
      </c>
      <c r="V843" s="3">
        <f t="shared" si="168"/>
        <v>163390.5</v>
      </c>
      <c r="W843" s="3">
        <f t="shared" si="169"/>
        <v>117040.95</v>
      </c>
      <c r="X843" s="3">
        <f t="shared" si="170"/>
        <v>84362.849999999991</v>
      </c>
      <c r="Y843" s="3">
        <f t="shared" si="171"/>
        <v>57353.4</v>
      </c>
      <c r="Z843" s="3">
        <f t="shared" si="172"/>
        <v>274762.8</v>
      </c>
      <c r="AA843" s="3">
        <f t="shared" si="173"/>
        <v>104036.4</v>
      </c>
      <c r="AB843" s="3">
        <f t="shared" si="174"/>
        <v>207072.44999999998</v>
      </c>
      <c r="AC843" s="3">
        <f t="shared" si="175"/>
        <v>173394</v>
      </c>
      <c r="AD843" s="3">
        <f t="shared" si="176"/>
        <v>151719.75</v>
      </c>
      <c r="AE843" s="3">
        <f t="shared" si="177"/>
        <v>156721.5</v>
      </c>
      <c r="AF843" s="3">
        <f>SUM(ecommerce_sales_all_data[[#This Row],[revenue_month_1]:[revenue_month_12]])</f>
        <v>1836309.15</v>
      </c>
    </row>
    <row r="844" spans="1:32" x14ac:dyDescent="0.3">
      <c r="A844">
        <v>843</v>
      </c>
      <c r="B844" t="s">
        <v>867</v>
      </c>
      <c r="C844" t="s">
        <v>29</v>
      </c>
      <c r="D844" s="2">
        <v>93.13</v>
      </c>
      <c r="E844">
        <v>2.8</v>
      </c>
      <c r="F844">
        <v>638</v>
      </c>
      <c r="G844" s="1">
        <v>634</v>
      </c>
      <c r="H844" s="1">
        <v>470</v>
      </c>
      <c r="I844" s="1">
        <v>430</v>
      </c>
      <c r="J844" s="1">
        <v>157</v>
      </c>
      <c r="K844" s="1">
        <v>303</v>
      </c>
      <c r="L844" s="1">
        <v>546</v>
      </c>
      <c r="M844" s="1">
        <v>370</v>
      </c>
      <c r="N844" s="1">
        <v>74</v>
      </c>
      <c r="O844" s="1">
        <v>195</v>
      </c>
      <c r="P844" s="1">
        <v>792</v>
      </c>
      <c r="Q844" s="1">
        <v>587</v>
      </c>
      <c r="R844" s="1">
        <v>92</v>
      </c>
      <c r="S844" s="1">
        <f>SUM(ecommerce_sales_all_data[[#This Row],[sales_month_1]:[sales_month_12]])</f>
        <v>4650</v>
      </c>
      <c r="T844" s="3">
        <f t="shared" si="166"/>
        <v>59044.42</v>
      </c>
      <c r="U844" s="3">
        <f t="shared" si="167"/>
        <v>43771.1</v>
      </c>
      <c r="V844" s="3">
        <f t="shared" si="168"/>
        <v>40045.9</v>
      </c>
      <c r="W844" s="3">
        <f t="shared" si="169"/>
        <v>14621.41</v>
      </c>
      <c r="X844" s="3">
        <f t="shared" si="170"/>
        <v>28218.39</v>
      </c>
      <c r="Y844" s="3">
        <f t="shared" si="171"/>
        <v>50848.979999999996</v>
      </c>
      <c r="Z844" s="3">
        <f t="shared" si="172"/>
        <v>34458.1</v>
      </c>
      <c r="AA844" s="3">
        <f t="shared" si="173"/>
        <v>6891.62</v>
      </c>
      <c r="AB844" s="3">
        <f t="shared" si="174"/>
        <v>18160.349999999999</v>
      </c>
      <c r="AC844" s="3">
        <f t="shared" si="175"/>
        <v>73758.959999999992</v>
      </c>
      <c r="AD844" s="3">
        <f t="shared" si="176"/>
        <v>54667.31</v>
      </c>
      <c r="AE844" s="3">
        <f t="shared" si="177"/>
        <v>8567.9599999999991</v>
      </c>
      <c r="AF844" s="3">
        <f>SUM(ecommerce_sales_all_data[[#This Row],[revenue_month_1]:[revenue_month_12]])</f>
        <v>433054.49999999988</v>
      </c>
    </row>
    <row r="845" spans="1:32" x14ac:dyDescent="0.3">
      <c r="A845">
        <v>844</v>
      </c>
      <c r="B845" t="s">
        <v>868</v>
      </c>
      <c r="C845" t="s">
        <v>29</v>
      </c>
      <c r="D845" s="2">
        <v>480.73</v>
      </c>
      <c r="E845">
        <v>3.5</v>
      </c>
      <c r="F845">
        <v>500</v>
      </c>
      <c r="G845" s="1">
        <v>916</v>
      </c>
      <c r="H845" s="1">
        <v>74</v>
      </c>
      <c r="I845" s="1">
        <v>238</v>
      </c>
      <c r="J845" s="1">
        <v>588</v>
      </c>
      <c r="K845" s="1">
        <v>379</v>
      </c>
      <c r="L845" s="1">
        <v>258</v>
      </c>
      <c r="M845" s="1">
        <v>290</v>
      </c>
      <c r="N845" s="1">
        <v>545</v>
      </c>
      <c r="O845" s="1">
        <v>416</v>
      </c>
      <c r="P845" s="1">
        <v>472</v>
      </c>
      <c r="Q845" s="1">
        <v>890</v>
      </c>
      <c r="R845" s="1">
        <v>616</v>
      </c>
      <c r="S845" s="1">
        <f>SUM(ecommerce_sales_all_data[[#This Row],[sales_month_1]:[sales_month_12]])</f>
        <v>5682</v>
      </c>
      <c r="T845" s="3">
        <f t="shared" si="166"/>
        <v>440348.68</v>
      </c>
      <c r="U845" s="3">
        <f t="shared" si="167"/>
        <v>35574.020000000004</v>
      </c>
      <c r="V845" s="3">
        <f t="shared" si="168"/>
        <v>114413.74</v>
      </c>
      <c r="W845" s="3">
        <f t="shared" si="169"/>
        <v>282669.24</v>
      </c>
      <c r="X845" s="3">
        <f t="shared" si="170"/>
        <v>182196.67</v>
      </c>
      <c r="Y845" s="3">
        <f t="shared" si="171"/>
        <v>124028.34000000001</v>
      </c>
      <c r="Z845" s="3">
        <f t="shared" si="172"/>
        <v>139411.70000000001</v>
      </c>
      <c r="AA845" s="3">
        <f t="shared" si="173"/>
        <v>261997.85</v>
      </c>
      <c r="AB845" s="3">
        <f t="shared" si="174"/>
        <v>199983.68</v>
      </c>
      <c r="AC845" s="3">
        <f t="shared" si="175"/>
        <v>226904.56</v>
      </c>
      <c r="AD845" s="3">
        <f t="shared" si="176"/>
        <v>427849.7</v>
      </c>
      <c r="AE845" s="3">
        <f t="shared" si="177"/>
        <v>296129.68</v>
      </c>
      <c r="AF845" s="3">
        <f>SUM(ecommerce_sales_all_data[[#This Row],[revenue_month_1]:[revenue_month_12]])</f>
        <v>2731507.8600000003</v>
      </c>
    </row>
    <row r="846" spans="1:32" x14ac:dyDescent="0.3">
      <c r="A846">
        <v>845</v>
      </c>
      <c r="B846" t="s">
        <v>869</v>
      </c>
      <c r="C846" t="s">
        <v>26</v>
      </c>
      <c r="D846" s="2">
        <v>78.59</v>
      </c>
      <c r="E846">
        <v>4.8</v>
      </c>
      <c r="F846">
        <v>913</v>
      </c>
      <c r="G846" s="1">
        <v>868</v>
      </c>
      <c r="H846" s="1">
        <v>276</v>
      </c>
      <c r="I846" s="1">
        <v>303</v>
      </c>
      <c r="J846" s="1">
        <v>490</v>
      </c>
      <c r="K846" s="1">
        <v>129</v>
      </c>
      <c r="L846" s="1">
        <v>887</v>
      </c>
      <c r="M846" s="1">
        <v>331</v>
      </c>
      <c r="N846" s="1">
        <v>870</v>
      </c>
      <c r="O846" s="1">
        <v>663</v>
      </c>
      <c r="P846" s="1">
        <v>992</v>
      </c>
      <c r="Q846" s="1">
        <v>501</v>
      </c>
      <c r="R846" s="1">
        <v>308</v>
      </c>
      <c r="S846" s="1">
        <f>SUM(ecommerce_sales_all_data[[#This Row],[sales_month_1]:[sales_month_12]])</f>
        <v>6618</v>
      </c>
      <c r="T846" s="3">
        <f t="shared" si="166"/>
        <v>68216.12000000001</v>
      </c>
      <c r="U846" s="3">
        <f t="shared" si="167"/>
        <v>21690.84</v>
      </c>
      <c r="V846" s="3">
        <f t="shared" si="168"/>
        <v>23812.77</v>
      </c>
      <c r="W846" s="3">
        <f t="shared" si="169"/>
        <v>38509.1</v>
      </c>
      <c r="X846" s="3">
        <f t="shared" si="170"/>
        <v>10138.11</v>
      </c>
      <c r="Y846" s="3">
        <f t="shared" si="171"/>
        <v>69709.33</v>
      </c>
      <c r="Z846" s="3">
        <f t="shared" si="172"/>
        <v>26013.29</v>
      </c>
      <c r="AA846" s="3">
        <f t="shared" si="173"/>
        <v>68373.3</v>
      </c>
      <c r="AB846" s="3">
        <f t="shared" si="174"/>
        <v>52105.170000000006</v>
      </c>
      <c r="AC846" s="3">
        <f t="shared" si="175"/>
        <v>77961.279999999999</v>
      </c>
      <c r="AD846" s="3">
        <f t="shared" si="176"/>
        <v>39373.590000000004</v>
      </c>
      <c r="AE846" s="3">
        <f t="shared" si="177"/>
        <v>24205.72</v>
      </c>
      <c r="AF846" s="3">
        <f>SUM(ecommerce_sales_all_data[[#This Row],[revenue_month_1]:[revenue_month_12]])</f>
        <v>520108.62000000011</v>
      </c>
    </row>
    <row r="847" spans="1:32" x14ac:dyDescent="0.3">
      <c r="A847">
        <v>846</v>
      </c>
      <c r="B847" t="s">
        <v>870</v>
      </c>
      <c r="C847" t="s">
        <v>23</v>
      </c>
      <c r="D847" s="2">
        <v>210.24</v>
      </c>
      <c r="E847">
        <v>2</v>
      </c>
      <c r="F847">
        <v>109</v>
      </c>
      <c r="G847" s="1">
        <v>101</v>
      </c>
      <c r="H847" s="1">
        <v>939</v>
      </c>
      <c r="I847" s="1">
        <v>297</v>
      </c>
      <c r="J847" s="1">
        <v>657</v>
      </c>
      <c r="K847" s="1">
        <v>595</v>
      </c>
      <c r="L847" s="1">
        <v>516</v>
      </c>
      <c r="M847" s="1">
        <v>605</v>
      </c>
      <c r="N847" s="1">
        <v>195</v>
      </c>
      <c r="O847" s="1">
        <v>419</v>
      </c>
      <c r="P847" s="1">
        <v>257</v>
      </c>
      <c r="Q847" s="1">
        <v>760</v>
      </c>
      <c r="R847" s="1">
        <v>51</v>
      </c>
      <c r="S847" s="1">
        <f>SUM(ecommerce_sales_all_data[[#This Row],[sales_month_1]:[sales_month_12]])</f>
        <v>5392</v>
      </c>
      <c r="T847" s="3">
        <f t="shared" si="166"/>
        <v>21234.240000000002</v>
      </c>
      <c r="U847" s="3">
        <f t="shared" si="167"/>
        <v>197415.36000000002</v>
      </c>
      <c r="V847" s="3">
        <f t="shared" si="168"/>
        <v>62441.280000000006</v>
      </c>
      <c r="W847" s="3">
        <f t="shared" si="169"/>
        <v>138127.67999999999</v>
      </c>
      <c r="X847" s="3">
        <f t="shared" si="170"/>
        <v>125092.8</v>
      </c>
      <c r="Y847" s="3">
        <f t="shared" si="171"/>
        <v>108483.84000000001</v>
      </c>
      <c r="Z847" s="3">
        <f t="shared" si="172"/>
        <v>127195.20000000001</v>
      </c>
      <c r="AA847" s="3">
        <f t="shared" si="173"/>
        <v>40996.800000000003</v>
      </c>
      <c r="AB847" s="3">
        <f t="shared" si="174"/>
        <v>88090.559999999998</v>
      </c>
      <c r="AC847" s="3">
        <f t="shared" si="175"/>
        <v>54031.68</v>
      </c>
      <c r="AD847" s="3">
        <f t="shared" si="176"/>
        <v>159782.39999999999</v>
      </c>
      <c r="AE847" s="3">
        <f t="shared" si="177"/>
        <v>10722.24</v>
      </c>
      <c r="AF847" s="3">
        <f>SUM(ecommerce_sales_all_data[[#This Row],[revenue_month_1]:[revenue_month_12]])</f>
        <v>1133614.0800000001</v>
      </c>
    </row>
    <row r="848" spans="1:32" x14ac:dyDescent="0.3">
      <c r="A848">
        <v>847</v>
      </c>
      <c r="B848" t="s">
        <v>871</v>
      </c>
      <c r="C848" t="s">
        <v>26</v>
      </c>
      <c r="D848" s="2">
        <v>47.25</v>
      </c>
      <c r="E848">
        <v>1.5</v>
      </c>
      <c r="F848">
        <v>736</v>
      </c>
      <c r="G848" s="1">
        <v>752</v>
      </c>
      <c r="H848" s="1">
        <v>644</v>
      </c>
      <c r="I848" s="1">
        <v>75</v>
      </c>
      <c r="J848" s="1">
        <v>854</v>
      </c>
      <c r="K848" s="1">
        <v>275</v>
      </c>
      <c r="L848" s="1">
        <v>729</v>
      </c>
      <c r="M848" s="1">
        <v>260</v>
      </c>
      <c r="N848" s="1">
        <v>842</v>
      </c>
      <c r="O848" s="1">
        <v>754</v>
      </c>
      <c r="P848" s="1">
        <v>274</v>
      </c>
      <c r="Q848" s="1">
        <v>594</v>
      </c>
      <c r="R848" s="1">
        <v>318</v>
      </c>
      <c r="S848" s="1">
        <f>SUM(ecommerce_sales_all_data[[#This Row],[sales_month_1]:[sales_month_12]])</f>
        <v>6371</v>
      </c>
      <c r="T848" s="3">
        <f t="shared" si="166"/>
        <v>35532</v>
      </c>
      <c r="U848" s="3">
        <f t="shared" si="167"/>
        <v>30429</v>
      </c>
      <c r="V848" s="3">
        <f t="shared" si="168"/>
        <v>3543.75</v>
      </c>
      <c r="W848" s="3">
        <f t="shared" si="169"/>
        <v>40351.5</v>
      </c>
      <c r="X848" s="3">
        <f t="shared" si="170"/>
        <v>12993.75</v>
      </c>
      <c r="Y848" s="3">
        <f t="shared" si="171"/>
        <v>34445.25</v>
      </c>
      <c r="Z848" s="3">
        <f t="shared" si="172"/>
        <v>12285</v>
      </c>
      <c r="AA848" s="3">
        <f t="shared" si="173"/>
        <v>39784.5</v>
      </c>
      <c r="AB848" s="3">
        <f t="shared" si="174"/>
        <v>35626.5</v>
      </c>
      <c r="AC848" s="3">
        <f t="shared" si="175"/>
        <v>12946.5</v>
      </c>
      <c r="AD848" s="3">
        <f t="shared" si="176"/>
        <v>28066.5</v>
      </c>
      <c r="AE848" s="3">
        <f t="shared" si="177"/>
        <v>15025.5</v>
      </c>
      <c r="AF848" s="3">
        <f>SUM(ecommerce_sales_all_data[[#This Row],[revenue_month_1]:[revenue_month_12]])</f>
        <v>301029.75</v>
      </c>
    </row>
    <row r="849" spans="1:32" x14ac:dyDescent="0.3">
      <c r="A849">
        <v>848</v>
      </c>
      <c r="B849" t="s">
        <v>872</v>
      </c>
      <c r="C849" t="s">
        <v>35</v>
      </c>
      <c r="D849" s="2">
        <v>498.45</v>
      </c>
      <c r="E849">
        <v>1.8</v>
      </c>
      <c r="F849">
        <v>278</v>
      </c>
      <c r="G849" s="1">
        <v>832</v>
      </c>
      <c r="H849" s="1">
        <v>342</v>
      </c>
      <c r="I849" s="1">
        <v>699</v>
      </c>
      <c r="J849" s="1">
        <v>462</v>
      </c>
      <c r="K849" s="1">
        <v>698</v>
      </c>
      <c r="L849" s="1">
        <v>522</v>
      </c>
      <c r="M849" s="1">
        <v>993</v>
      </c>
      <c r="N849" s="1">
        <v>28</v>
      </c>
      <c r="O849" s="1">
        <v>639</v>
      </c>
      <c r="P849" s="1">
        <v>749</v>
      </c>
      <c r="Q849" s="1">
        <v>24</v>
      </c>
      <c r="R849" s="1">
        <v>968</v>
      </c>
      <c r="S849" s="1">
        <f>SUM(ecommerce_sales_all_data[[#This Row],[sales_month_1]:[sales_month_12]])</f>
        <v>6956</v>
      </c>
      <c r="T849" s="3">
        <f t="shared" si="166"/>
        <v>414710.39999999997</v>
      </c>
      <c r="U849" s="3">
        <f t="shared" si="167"/>
        <v>170469.9</v>
      </c>
      <c r="V849" s="3">
        <f t="shared" si="168"/>
        <v>348416.55</v>
      </c>
      <c r="W849" s="3">
        <f t="shared" si="169"/>
        <v>230283.9</v>
      </c>
      <c r="X849" s="3">
        <f t="shared" si="170"/>
        <v>347918.1</v>
      </c>
      <c r="Y849" s="3">
        <f t="shared" si="171"/>
        <v>260190.9</v>
      </c>
      <c r="Z849" s="3">
        <f t="shared" si="172"/>
        <v>494960.85</v>
      </c>
      <c r="AA849" s="3">
        <f t="shared" si="173"/>
        <v>13956.6</v>
      </c>
      <c r="AB849" s="3">
        <f t="shared" si="174"/>
        <v>318509.55</v>
      </c>
      <c r="AC849" s="3">
        <f t="shared" si="175"/>
        <v>373339.05</v>
      </c>
      <c r="AD849" s="3">
        <f t="shared" si="176"/>
        <v>11962.8</v>
      </c>
      <c r="AE849" s="3">
        <f t="shared" si="177"/>
        <v>482499.6</v>
      </c>
      <c r="AF849" s="3">
        <f>SUM(ecommerce_sales_all_data[[#This Row],[revenue_month_1]:[revenue_month_12]])</f>
        <v>3467218.1999999993</v>
      </c>
    </row>
    <row r="850" spans="1:32" x14ac:dyDescent="0.3">
      <c r="A850">
        <v>849</v>
      </c>
      <c r="B850" t="s">
        <v>873</v>
      </c>
      <c r="C850" t="s">
        <v>48</v>
      </c>
      <c r="D850" s="2">
        <v>253.59</v>
      </c>
      <c r="E850">
        <v>4.5</v>
      </c>
      <c r="F850">
        <v>68</v>
      </c>
      <c r="G850" s="1">
        <v>190</v>
      </c>
      <c r="H850" s="1">
        <v>424</v>
      </c>
      <c r="I850" s="1">
        <v>332</v>
      </c>
      <c r="J850" s="1">
        <v>224</v>
      </c>
      <c r="K850" s="1">
        <v>557</v>
      </c>
      <c r="L850" s="1">
        <v>893</v>
      </c>
      <c r="M850" s="1">
        <v>789</v>
      </c>
      <c r="N850" s="1">
        <v>705</v>
      </c>
      <c r="O850" s="1">
        <v>616</v>
      </c>
      <c r="P850" s="1">
        <v>19</v>
      </c>
      <c r="Q850" s="1">
        <v>568</v>
      </c>
      <c r="R850" s="1">
        <v>180</v>
      </c>
      <c r="S850" s="1">
        <f>SUM(ecommerce_sales_all_data[[#This Row],[sales_month_1]:[sales_month_12]])</f>
        <v>5497</v>
      </c>
      <c r="T850" s="3">
        <f t="shared" si="166"/>
        <v>48182.1</v>
      </c>
      <c r="U850" s="3">
        <f t="shared" si="167"/>
        <v>107522.16</v>
      </c>
      <c r="V850" s="3">
        <f t="shared" si="168"/>
        <v>84191.88</v>
      </c>
      <c r="W850" s="3">
        <f t="shared" si="169"/>
        <v>56804.160000000003</v>
      </c>
      <c r="X850" s="3">
        <f t="shared" si="170"/>
        <v>141249.63</v>
      </c>
      <c r="Y850" s="3">
        <f t="shared" si="171"/>
        <v>226455.87</v>
      </c>
      <c r="Z850" s="3">
        <f t="shared" si="172"/>
        <v>200082.51</v>
      </c>
      <c r="AA850" s="3">
        <f t="shared" si="173"/>
        <v>178780.95</v>
      </c>
      <c r="AB850" s="3">
        <f t="shared" si="174"/>
        <v>156211.44</v>
      </c>
      <c r="AC850" s="3">
        <f t="shared" si="175"/>
        <v>4818.21</v>
      </c>
      <c r="AD850" s="3">
        <f t="shared" si="176"/>
        <v>144039.12</v>
      </c>
      <c r="AE850" s="3">
        <f t="shared" si="177"/>
        <v>45646.2</v>
      </c>
      <c r="AF850" s="3">
        <f>SUM(ecommerce_sales_all_data[[#This Row],[revenue_month_1]:[revenue_month_12]])</f>
        <v>1393984.2299999997</v>
      </c>
    </row>
    <row r="851" spans="1:32" x14ac:dyDescent="0.3">
      <c r="A851">
        <v>850</v>
      </c>
      <c r="B851" t="s">
        <v>874</v>
      </c>
      <c r="C851" t="s">
        <v>26</v>
      </c>
      <c r="D851" s="2">
        <v>299.72000000000003</v>
      </c>
      <c r="E851">
        <v>3.6</v>
      </c>
      <c r="F851">
        <v>69</v>
      </c>
      <c r="G851" s="1">
        <v>728</v>
      </c>
      <c r="H851" s="1">
        <v>570</v>
      </c>
      <c r="I851" s="1">
        <v>899</v>
      </c>
      <c r="J851" s="1">
        <v>916</v>
      </c>
      <c r="K851" s="1">
        <v>898</v>
      </c>
      <c r="L851" s="1">
        <v>838</v>
      </c>
      <c r="M851" s="1">
        <v>870</v>
      </c>
      <c r="N851" s="1">
        <v>15</v>
      </c>
      <c r="O851" s="1">
        <v>521</v>
      </c>
      <c r="P851" s="1">
        <v>489</v>
      </c>
      <c r="Q851" s="1">
        <v>31</v>
      </c>
      <c r="R851" s="1">
        <v>568</v>
      </c>
      <c r="S851" s="1">
        <f>SUM(ecommerce_sales_all_data[[#This Row],[sales_month_1]:[sales_month_12]])</f>
        <v>7343</v>
      </c>
      <c r="T851" s="3">
        <f t="shared" si="166"/>
        <v>218196.16000000003</v>
      </c>
      <c r="U851" s="3">
        <f t="shared" si="167"/>
        <v>170840.40000000002</v>
      </c>
      <c r="V851" s="3">
        <f t="shared" si="168"/>
        <v>269448.28000000003</v>
      </c>
      <c r="W851" s="3">
        <f t="shared" si="169"/>
        <v>274543.52</v>
      </c>
      <c r="X851" s="3">
        <f t="shared" si="170"/>
        <v>269148.56</v>
      </c>
      <c r="Y851" s="3">
        <f t="shared" si="171"/>
        <v>251165.36000000002</v>
      </c>
      <c r="Z851" s="3">
        <f t="shared" si="172"/>
        <v>260756.40000000002</v>
      </c>
      <c r="AA851" s="3">
        <f t="shared" si="173"/>
        <v>4495.8</v>
      </c>
      <c r="AB851" s="3">
        <f t="shared" si="174"/>
        <v>156154.12000000002</v>
      </c>
      <c r="AC851" s="3">
        <f t="shared" si="175"/>
        <v>146563.08000000002</v>
      </c>
      <c r="AD851" s="3">
        <f t="shared" si="176"/>
        <v>9291.3200000000015</v>
      </c>
      <c r="AE851" s="3">
        <f t="shared" si="177"/>
        <v>170240.96000000002</v>
      </c>
      <c r="AF851" s="3">
        <f>SUM(ecommerce_sales_all_data[[#This Row],[revenue_month_1]:[revenue_month_12]])</f>
        <v>2200843.9600000004</v>
      </c>
    </row>
    <row r="852" spans="1:32" x14ac:dyDescent="0.3">
      <c r="A852">
        <v>851</v>
      </c>
      <c r="B852" t="s">
        <v>875</v>
      </c>
      <c r="C852" t="s">
        <v>19</v>
      </c>
      <c r="D852" s="2">
        <v>38.200000000000003</v>
      </c>
      <c r="E852">
        <v>2.1</v>
      </c>
      <c r="F852">
        <v>165</v>
      </c>
      <c r="G852" s="1">
        <v>562</v>
      </c>
      <c r="H852" s="1">
        <v>510</v>
      </c>
      <c r="I852" s="1">
        <v>998</v>
      </c>
      <c r="J852" s="1">
        <v>312</v>
      </c>
      <c r="K852" s="1">
        <v>182</v>
      </c>
      <c r="L852" s="1">
        <v>116</v>
      </c>
      <c r="M852" s="1">
        <v>204</v>
      </c>
      <c r="N852" s="1">
        <v>422</v>
      </c>
      <c r="O852" s="1">
        <v>355</v>
      </c>
      <c r="P852" s="1">
        <v>744</v>
      </c>
      <c r="Q852" s="1">
        <v>830</v>
      </c>
      <c r="R852" s="1">
        <v>119</v>
      </c>
      <c r="S852" s="1">
        <f>SUM(ecommerce_sales_all_data[[#This Row],[sales_month_1]:[sales_month_12]])</f>
        <v>5354</v>
      </c>
      <c r="T852" s="3">
        <f t="shared" si="166"/>
        <v>21468.400000000001</v>
      </c>
      <c r="U852" s="3">
        <f t="shared" si="167"/>
        <v>19482</v>
      </c>
      <c r="V852" s="3">
        <f t="shared" si="168"/>
        <v>38123.600000000006</v>
      </c>
      <c r="W852" s="3">
        <f t="shared" si="169"/>
        <v>11918.400000000001</v>
      </c>
      <c r="X852" s="3">
        <f t="shared" si="170"/>
        <v>6952.4000000000005</v>
      </c>
      <c r="Y852" s="3">
        <f t="shared" si="171"/>
        <v>4431.2000000000007</v>
      </c>
      <c r="Z852" s="3">
        <f t="shared" si="172"/>
        <v>7792.8</v>
      </c>
      <c r="AA852" s="3">
        <f t="shared" si="173"/>
        <v>16120.400000000001</v>
      </c>
      <c r="AB852" s="3">
        <f t="shared" si="174"/>
        <v>13561.000000000002</v>
      </c>
      <c r="AC852" s="3">
        <f t="shared" si="175"/>
        <v>28420.800000000003</v>
      </c>
      <c r="AD852" s="3">
        <f t="shared" si="176"/>
        <v>31706.000000000004</v>
      </c>
      <c r="AE852" s="3">
        <f t="shared" si="177"/>
        <v>4545.8</v>
      </c>
      <c r="AF852" s="3">
        <f>SUM(ecommerce_sales_all_data[[#This Row],[revenue_month_1]:[revenue_month_12]])</f>
        <v>204522.8</v>
      </c>
    </row>
    <row r="853" spans="1:32" x14ac:dyDescent="0.3">
      <c r="A853">
        <v>852</v>
      </c>
      <c r="B853" t="s">
        <v>876</v>
      </c>
      <c r="C853" t="s">
        <v>48</v>
      </c>
      <c r="D853" s="2">
        <v>376.23</v>
      </c>
      <c r="E853">
        <v>4.3</v>
      </c>
      <c r="F853">
        <v>489</v>
      </c>
      <c r="G853" s="1">
        <v>803</v>
      </c>
      <c r="H853" s="1">
        <v>856</v>
      </c>
      <c r="I853" s="1">
        <v>757</v>
      </c>
      <c r="J853" s="1">
        <v>614</v>
      </c>
      <c r="K853" s="1">
        <v>267</v>
      </c>
      <c r="L853" s="1">
        <v>183</v>
      </c>
      <c r="M853" s="1">
        <v>696</v>
      </c>
      <c r="N853" s="1">
        <v>588</v>
      </c>
      <c r="O853" s="1">
        <v>147</v>
      </c>
      <c r="P853" s="1">
        <v>489</v>
      </c>
      <c r="Q853" s="1">
        <v>11</v>
      </c>
      <c r="R853" s="1">
        <v>819</v>
      </c>
      <c r="S853" s="1">
        <f>SUM(ecommerce_sales_all_data[[#This Row],[sales_month_1]:[sales_month_12]])</f>
        <v>6230</v>
      </c>
      <c r="T853" s="3">
        <f t="shared" si="166"/>
        <v>302112.69</v>
      </c>
      <c r="U853" s="3">
        <f t="shared" si="167"/>
        <v>322052.88</v>
      </c>
      <c r="V853" s="3">
        <f t="shared" si="168"/>
        <v>284806.11</v>
      </c>
      <c r="W853" s="3">
        <f t="shared" si="169"/>
        <v>231005.22</v>
      </c>
      <c r="X853" s="3">
        <f t="shared" si="170"/>
        <v>100453.41</v>
      </c>
      <c r="Y853" s="3">
        <f t="shared" si="171"/>
        <v>68850.09</v>
      </c>
      <c r="Z853" s="3">
        <f t="shared" si="172"/>
        <v>261856.08000000002</v>
      </c>
      <c r="AA853" s="3">
        <f t="shared" si="173"/>
        <v>221223.24000000002</v>
      </c>
      <c r="AB853" s="3">
        <f t="shared" si="174"/>
        <v>55305.810000000005</v>
      </c>
      <c r="AC853" s="3">
        <f t="shared" si="175"/>
        <v>183976.47</v>
      </c>
      <c r="AD853" s="3">
        <f t="shared" si="176"/>
        <v>4138.5300000000007</v>
      </c>
      <c r="AE853" s="3">
        <f t="shared" si="177"/>
        <v>308132.37</v>
      </c>
      <c r="AF853" s="3">
        <f>SUM(ecommerce_sales_all_data[[#This Row],[revenue_month_1]:[revenue_month_12]])</f>
        <v>2343912.9000000004</v>
      </c>
    </row>
    <row r="854" spans="1:32" x14ac:dyDescent="0.3">
      <c r="A854">
        <v>853</v>
      </c>
      <c r="B854" t="s">
        <v>877</v>
      </c>
      <c r="C854" t="s">
        <v>26</v>
      </c>
      <c r="D854" s="2">
        <v>108.9</v>
      </c>
      <c r="E854">
        <v>4.4000000000000004</v>
      </c>
      <c r="F854">
        <v>305</v>
      </c>
      <c r="G854" s="1">
        <v>80</v>
      </c>
      <c r="H854" s="1">
        <v>1000</v>
      </c>
      <c r="I854" s="1">
        <v>641</v>
      </c>
      <c r="J854" s="1">
        <v>918</v>
      </c>
      <c r="K854" s="1">
        <v>807</v>
      </c>
      <c r="L854" s="1">
        <v>905</v>
      </c>
      <c r="M854" s="1">
        <v>686</v>
      </c>
      <c r="N854" s="1">
        <v>804</v>
      </c>
      <c r="O854" s="1">
        <v>1000</v>
      </c>
      <c r="P854" s="1">
        <v>732</v>
      </c>
      <c r="Q854" s="1">
        <v>318</v>
      </c>
      <c r="R854" s="1">
        <v>874</v>
      </c>
      <c r="S854" s="1">
        <f>SUM(ecommerce_sales_all_data[[#This Row],[sales_month_1]:[sales_month_12]])</f>
        <v>8765</v>
      </c>
      <c r="T854" s="3">
        <f t="shared" si="166"/>
        <v>8712</v>
      </c>
      <c r="U854" s="3">
        <f t="shared" si="167"/>
        <v>108900</v>
      </c>
      <c r="V854" s="3">
        <f t="shared" si="168"/>
        <v>69804.900000000009</v>
      </c>
      <c r="W854" s="3">
        <f t="shared" si="169"/>
        <v>99970.200000000012</v>
      </c>
      <c r="X854" s="3">
        <f t="shared" si="170"/>
        <v>87882.3</v>
      </c>
      <c r="Y854" s="3">
        <f t="shared" si="171"/>
        <v>98554.5</v>
      </c>
      <c r="Z854" s="3">
        <f t="shared" si="172"/>
        <v>74705.400000000009</v>
      </c>
      <c r="AA854" s="3">
        <f t="shared" si="173"/>
        <v>87555.6</v>
      </c>
      <c r="AB854" s="3">
        <f t="shared" si="174"/>
        <v>108900</v>
      </c>
      <c r="AC854" s="3">
        <f t="shared" si="175"/>
        <v>79714.8</v>
      </c>
      <c r="AD854" s="3">
        <f t="shared" si="176"/>
        <v>34630.200000000004</v>
      </c>
      <c r="AE854" s="3">
        <f t="shared" si="177"/>
        <v>95178.6</v>
      </c>
      <c r="AF854" s="3">
        <f>SUM(ecommerce_sales_all_data[[#This Row],[revenue_month_1]:[revenue_month_12]])</f>
        <v>954508.5</v>
      </c>
    </row>
    <row r="855" spans="1:32" x14ac:dyDescent="0.3">
      <c r="A855">
        <v>854</v>
      </c>
      <c r="B855" t="s">
        <v>878</v>
      </c>
      <c r="C855" t="s">
        <v>29</v>
      </c>
      <c r="D855" s="2">
        <v>449.54</v>
      </c>
      <c r="E855">
        <v>4.4000000000000004</v>
      </c>
      <c r="F855">
        <v>909</v>
      </c>
      <c r="G855" s="1">
        <v>488</v>
      </c>
      <c r="H855" s="1">
        <v>181</v>
      </c>
      <c r="I855" s="1">
        <v>473</v>
      </c>
      <c r="J855" s="1">
        <v>858</v>
      </c>
      <c r="K855" s="1">
        <v>321</v>
      </c>
      <c r="L855" s="1">
        <v>873</v>
      </c>
      <c r="M855" s="1">
        <v>949</v>
      </c>
      <c r="N855" s="1">
        <v>592</v>
      </c>
      <c r="O855" s="1">
        <v>364</v>
      </c>
      <c r="P855" s="1">
        <v>325</v>
      </c>
      <c r="Q855" s="1">
        <v>844</v>
      </c>
      <c r="R855" s="1">
        <v>42</v>
      </c>
      <c r="S855" s="1">
        <f>SUM(ecommerce_sales_all_data[[#This Row],[sales_month_1]:[sales_month_12]])</f>
        <v>6310</v>
      </c>
      <c r="T855" s="3">
        <f t="shared" si="166"/>
        <v>219375.52000000002</v>
      </c>
      <c r="U855" s="3">
        <f t="shared" si="167"/>
        <v>81366.740000000005</v>
      </c>
      <c r="V855" s="3">
        <f t="shared" si="168"/>
        <v>212632.42</v>
      </c>
      <c r="W855" s="3">
        <f t="shared" si="169"/>
        <v>385705.32</v>
      </c>
      <c r="X855" s="3">
        <f t="shared" si="170"/>
        <v>144302.34</v>
      </c>
      <c r="Y855" s="3">
        <f t="shared" si="171"/>
        <v>392448.42000000004</v>
      </c>
      <c r="Z855" s="3">
        <f t="shared" si="172"/>
        <v>426613.46</v>
      </c>
      <c r="AA855" s="3">
        <f t="shared" si="173"/>
        <v>266127.68</v>
      </c>
      <c r="AB855" s="3">
        <f t="shared" si="174"/>
        <v>163632.56</v>
      </c>
      <c r="AC855" s="3">
        <f t="shared" si="175"/>
        <v>146100.5</v>
      </c>
      <c r="AD855" s="3">
        <f t="shared" si="176"/>
        <v>379411.76</v>
      </c>
      <c r="AE855" s="3">
        <f t="shared" si="177"/>
        <v>18880.68</v>
      </c>
      <c r="AF855" s="3">
        <f>SUM(ecommerce_sales_all_data[[#This Row],[revenue_month_1]:[revenue_month_12]])</f>
        <v>2836597.4</v>
      </c>
    </row>
    <row r="856" spans="1:32" x14ac:dyDescent="0.3">
      <c r="A856">
        <v>855</v>
      </c>
      <c r="B856" t="s">
        <v>879</v>
      </c>
      <c r="C856" t="s">
        <v>21</v>
      </c>
      <c r="D856" s="2">
        <v>106.54</v>
      </c>
      <c r="E856">
        <v>4.7</v>
      </c>
      <c r="F856">
        <v>674</v>
      </c>
      <c r="G856" s="1">
        <v>894</v>
      </c>
      <c r="H856" s="1">
        <v>457</v>
      </c>
      <c r="I856" s="1">
        <v>826</v>
      </c>
      <c r="J856" s="1">
        <v>812</v>
      </c>
      <c r="K856" s="1">
        <v>511</v>
      </c>
      <c r="L856" s="1">
        <v>115</v>
      </c>
      <c r="M856" s="1">
        <v>386</v>
      </c>
      <c r="N856" s="1">
        <v>404</v>
      </c>
      <c r="O856" s="1">
        <v>363</v>
      </c>
      <c r="P856" s="1">
        <v>528</v>
      </c>
      <c r="Q856" s="1">
        <v>603</v>
      </c>
      <c r="R856" s="1">
        <v>646</v>
      </c>
      <c r="S856" s="1">
        <f>SUM(ecommerce_sales_all_data[[#This Row],[sales_month_1]:[sales_month_12]])</f>
        <v>6545</v>
      </c>
      <c r="T856" s="3">
        <f t="shared" si="166"/>
        <v>95246.760000000009</v>
      </c>
      <c r="U856" s="3">
        <f t="shared" si="167"/>
        <v>48688.780000000006</v>
      </c>
      <c r="V856" s="3">
        <f t="shared" si="168"/>
        <v>88002.040000000008</v>
      </c>
      <c r="W856" s="3">
        <f t="shared" si="169"/>
        <v>86510.48000000001</v>
      </c>
      <c r="X856" s="3">
        <f t="shared" si="170"/>
        <v>54441.94</v>
      </c>
      <c r="Y856" s="3">
        <f t="shared" si="171"/>
        <v>12252.1</v>
      </c>
      <c r="Z856" s="3">
        <f t="shared" si="172"/>
        <v>41124.44</v>
      </c>
      <c r="AA856" s="3">
        <f t="shared" si="173"/>
        <v>43042.16</v>
      </c>
      <c r="AB856" s="3">
        <f t="shared" si="174"/>
        <v>38674.020000000004</v>
      </c>
      <c r="AC856" s="3">
        <f t="shared" si="175"/>
        <v>56253.120000000003</v>
      </c>
      <c r="AD856" s="3">
        <f t="shared" si="176"/>
        <v>64243.62</v>
      </c>
      <c r="AE856" s="3">
        <f t="shared" si="177"/>
        <v>68824.840000000011</v>
      </c>
      <c r="AF856" s="3">
        <f>SUM(ecommerce_sales_all_data[[#This Row],[revenue_month_1]:[revenue_month_12]])</f>
        <v>697304.3</v>
      </c>
    </row>
    <row r="857" spans="1:32" x14ac:dyDescent="0.3">
      <c r="A857">
        <v>856</v>
      </c>
      <c r="B857" t="s">
        <v>880</v>
      </c>
      <c r="C857" t="s">
        <v>19</v>
      </c>
      <c r="D857" s="2">
        <v>99.39</v>
      </c>
      <c r="E857">
        <v>2</v>
      </c>
      <c r="F857">
        <v>365</v>
      </c>
      <c r="G857" s="1">
        <v>87</v>
      </c>
      <c r="H857" s="1">
        <v>917</v>
      </c>
      <c r="I857" s="1">
        <v>922</v>
      </c>
      <c r="J857" s="1">
        <v>939</v>
      </c>
      <c r="K857" s="1">
        <v>611</v>
      </c>
      <c r="L857" s="1">
        <v>161</v>
      </c>
      <c r="M857" s="1">
        <v>891</v>
      </c>
      <c r="N857" s="1">
        <v>939</v>
      </c>
      <c r="O857" s="1">
        <v>970</v>
      </c>
      <c r="P857" s="1">
        <v>891</v>
      </c>
      <c r="Q857" s="1">
        <v>0</v>
      </c>
      <c r="R857" s="1">
        <v>884</v>
      </c>
      <c r="S857" s="1">
        <f>SUM(ecommerce_sales_all_data[[#This Row],[sales_month_1]:[sales_month_12]])</f>
        <v>8212</v>
      </c>
      <c r="T857" s="3">
        <f t="shared" si="166"/>
        <v>8646.93</v>
      </c>
      <c r="U857" s="3">
        <f t="shared" si="167"/>
        <v>91140.63</v>
      </c>
      <c r="V857" s="3">
        <f t="shared" si="168"/>
        <v>91637.58</v>
      </c>
      <c r="W857" s="3">
        <f t="shared" si="169"/>
        <v>93327.21</v>
      </c>
      <c r="X857" s="3">
        <f t="shared" si="170"/>
        <v>60727.29</v>
      </c>
      <c r="Y857" s="3">
        <f t="shared" si="171"/>
        <v>16001.79</v>
      </c>
      <c r="Z857" s="3">
        <f t="shared" si="172"/>
        <v>88556.49</v>
      </c>
      <c r="AA857" s="3">
        <f t="shared" si="173"/>
        <v>93327.21</v>
      </c>
      <c r="AB857" s="3">
        <f t="shared" si="174"/>
        <v>96408.3</v>
      </c>
      <c r="AC857" s="3">
        <f t="shared" si="175"/>
        <v>88556.49</v>
      </c>
      <c r="AD857" s="3">
        <f t="shared" si="176"/>
        <v>0</v>
      </c>
      <c r="AE857" s="3">
        <f t="shared" si="177"/>
        <v>87860.76</v>
      </c>
      <c r="AF857" s="3">
        <f>SUM(ecommerce_sales_all_data[[#This Row],[revenue_month_1]:[revenue_month_12]])</f>
        <v>816190.68</v>
      </c>
    </row>
    <row r="858" spans="1:32" x14ac:dyDescent="0.3">
      <c r="A858">
        <v>857</v>
      </c>
      <c r="B858" t="s">
        <v>881</v>
      </c>
      <c r="C858" t="s">
        <v>35</v>
      </c>
      <c r="D858" s="2">
        <v>23.09</v>
      </c>
      <c r="E858">
        <v>4</v>
      </c>
      <c r="F858">
        <v>854</v>
      </c>
      <c r="G858" s="1">
        <v>193</v>
      </c>
      <c r="H858" s="1">
        <v>850</v>
      </c>
      <c r="I858" s="1">
        <v>282</v>
      </c>
      <c r="J858" s="1">
        <v>465</v>
      </c>
      <c r="K858" s="1">
        <v>77</v>
      </c>
      <c r="L858" s="1">
        <v>578</v>
      </c>
      <c r="M858" s="1">
        <v>820</v>
      </c>
      <c r="N858" s="1">
        <v>635</v>
      </c>
      <c r="O858" s="1">
        <v>651</v>
      </c>
      <c r="P858" s="1">
        <v>88</v>
      </c>
      <c r="Q858" s="1">
        <v>434</v>
      </c>
      <c r="R858" s="1">
        <v>937</v>
      </c>
      <c r="S858" s="1">
        <f>SUM(ecommerce_sales_all_data[[#This Row],[sales_month_1]:[sales_month_12]])</f>
        <v>6010</v>
      </c>
      <c r="T858" s="3">
        <f t="shared" si="166"/>
        <v>4456.37</v>
      </c>
      <c r="U858" s="3">
        <f t="shared" si="167"/>
        <v>19626.5</v>
      </c>
      <c r="V858" s="3">
        <f t="shared" si="168"/>
        <v>6511.38</v>
      </c>
      <c r="W858" s="3">
        <f t="shared" si="169"/>
        <v>10736.85</v>
      </c>
      <c r="X858" s="3">
        <f t="shared" si="170"/>
        <v>1777.93</v>
      </c>
      <c r="Y858" s="3">
        <f t="shared" si="171"/>
        <v>13346.02</v>
      </c>
      <c r="Z858" s="3">
        <f t="shared" si="172"/>
        <v>18933.8</v>
      </c>
      <c r="AA858" s="3">
        <f t="shared" si="173"/>
        <v>14662.15</v>
      </c>
      <c r="AB858" s="3">
        <f t="shared" si="174"/>
        <v>15031.59</v>
      </c>
      <c r="AC858" s="3">
        <f t="shared" si="175"/>
        <v>2031.92</v>
      </c>
      <c r="AD858" s="3">
        <f t="shared" si="176"/>
        <v>10021.06</v>
      </c>
      <c r="AE858" s="3">
        <f t="shared" si="177"/>
        <v>21635.329999999998</v>
      </c>
      <c r="AF858" s="3">
        <f>SUM(ecommerce_sales_all_data[[#This Row],[revenue_month_1]:[revenue_month_12]])</f>
        <v>138770.9</v>
      </c>
    </row>
    <row r="859" spans="1:32" x14ac:dyDescent="0.3">
      <c r="A859">
        <v>858</v>
      </c>
      <c r="B859" t="s">
        <v>882</v>
      </c>
      <c r="C859" t="s">
        <v>19</v>
      </c>
      <c r="D859" s="2">
        <v>238.67</v>
      </c>
      <c r="E859">
        <v>2.8</v>
      </c>
      <c r="F859">
        <v>821</v>
      </c>
      <c r="G859" s="1">
        <v>103</v>
      </c>
      <c r="H859" s="1">
        <v>832</v>
      </c>
      <c r="I859" s="1">
        <v>590</v>
      </c>
      <c r="J859" s="1">
        <v>87</v>
      </c>
      <c r="K859" s="1">
        <v>783</v>
      </c>
      <c r="L859" s="1">
        <v>711</v>
      </c>
      <c r="M859" s="1">
        <v>467</v>
      </c>
      <c r="N859" s="1">
        <v>530</v>
      </c>
      <c r="O859" s="1">
        <v>701</v>
      </c>
      <c r="P859" s="1">
        <v>485</v>
      </c>
      <c r="Q859" s="1">
        <v>837</v>
      </c>
      <c r="R859" s="1">
        <v>259</v>
      </c>
      <c r="S859" s="1">
        <f>SUM(ecommerce_sales_all_data[[#This Row],[sales_month_1]:[sales_month_12]])</f>
        <v>6385</v>
      </c>
      <c r="T859" s="3">
        <f t="shared" si="166"/>
        <v>24583.01</v>
      </c>
      <c r="U859" s="3">
        <f t="shared" si="167"/>
        <v>198573.44</v>
      </c>
      <c r="V859" s="3">
        <f t="shared" si="168"/>
        <v>140815.29999999999</v>
      </c>
      <c r="W859" s="3">
        <f t="shared" si="169"/>
        <v>20764.289999999997</v>
      </c>
      <c r="X859" s="3">
        <f t="shared" si="170"/>
        <v>186878.61</v>
      </c>
      <c r="Y859" s="3">
        <f t="shared" si="171"/>
        <v>169694.37</v>
      </c>
      <c r="Z859" s="3">
        <f t="shared" si="172"/>
        <v>111458.89</v>
      </c>
      <c r="AA859" s="3">
        <f t="shared" si="173"/>
        <v>126495.09999999999</v>
      </c>
      <c r="AB859" s="3">
        <f t="shared" si="174"/>
        <v>167307.66999999998</v>
      </c>
      <c r="AC859" s="3">
        <f t="shared" si="175"/>
        <v>115754.95</v>
      </c>
      <c r="AD859" s="3">
        <f t="shared" si="176"/>
        <v>199766.78999999998</v>
      </c>
      <c r="AE859" s="3">
        <f t="shared" si="177"/>
        <v>61815.53</v>
      </c>
      <c r="AF859" s="3">
        <f>SUM(ecommerce_sales_all_data[[#This Row],[revenue_month_1]:[revenue_month_12]])</f>
        <v>1523907.95</v>
      </c>
    </row>
    <row r="860" spans="1:32" x14ac:dyDescent="0.3">
      <c r="A860">
        <v>859</v>
      </c>
      <c r="B860" t="s">
        <v>883</v>
      </c>
      <c r="C860" t="s">
        <v>23</v>
      </c>
      <c r="D860" s="2">
        <v>284.60000000000002</v>
      </c>
      <c r="E860">
        <v>4.4000000000000004</v>
      </c>
      <c r="F860">
        <v>379</v>
      </c>
      <c r="G860" s="1">
        <v>782</v>
      </c>
      <c r="H860" s="1">
        <v>63</v>
      </c>
      <c r="I860" s="1">
        <v>71</v>
      </c>
      <c r="J860" s="1">
        <v>882</v>
      </c>
      <c r="K860" s="1">
        <v>338</v>
      </c>
      <c r="L860" s="1">
        <v>542</v>
      </c>
      <c r="M860" s="1">
        <v>414</v>
      </c>
      <c r="N860" s="1">
        <v>966</v>
      </c>
      <c r="O860" s="1">
        <v>401</v>
      </c>
      <c r="P860" s="1">
        <v>707</v>
      </c>
      <c r="Q860" s="1">
        <v>135</v>
      </c>
      <c r="R860" s="1">
        <v>196</v>
      </c>
      <c r="S860" s="1">
        <f>SUM(ecommerce_sales_all_data[[#This Row],[sales_month_1]:[sales_month_12]])</f>
        <v>5497</v>
      </c>
      <c r="T860" s="3">
        <f t="shared" si="166"/>
        <v>222557.2</v>
      </c>
      <c r="U860" s="3">
        <f t="shared" si="167"/>
        <v>17929.800000000003</v>
      </c>
      <c r="V860" s="3">
        <f t="shared" si="168"/>
        <v>20206.600000000002</v>
      </c>
      <c r="W860" s="3">
        <f t="shared" si="169"/>
        <v>251017.2</v>
      </c>
      <c r="X860" s="3">
        <f t="shared" si="170"/>
        <v>96194.8</v>
      </c>
      <c r="Y860" s="3">
        <f t="shared" si="171"/>
        <v>154253.20000000001</v>
      </c>
      <c r="Z860" s="3">
        <f t="shared" si="172"/>
        <v>117824.40000000001</v>
      </c>
      <c r="AA860" s="3">
        <f t="shared" si="173"/>
        <v>274923.60000000003</v>
      </c>
      <c r="AB860" s="3">
        <f t="shared" si="174"/>
        <v>114124.6</v>
      </c>
      <c r="AC860" s="3">
        <f t="shared" si="175"/>
        <v>201212.2</v>
      </c>
      <c r="AD860" s="3">
        <f t="shared" si="176"/>
        <v>38421</v>
      </c>
      <c r="AE860" s="3">
        <f t="shared" si="177"/>
        <v>55781.600000000006</v>
      </c>
      <c r="AF860" s="3">
        <f>SUM(ecommerce_sales_all_data[[#This Row],[revenue_month_1]:[revenue_month_12]])</f>
        <v>1564446.2000000002</v>
      </c>
    </row>
    <row r="861" spans="1:32" x14ac:dyDescent="0.3">
      <c r="A861">
        <v>860</v>
      </c>
      <c r="B861" t="s">
        <v>884</v>
      </c>
      <c r="C861" t="s">
        <v>21</v>
      </c>
      <c r="D861" s="2">
        <v>37.53</v>
      </c>
      <c r="E861">
        <v>3.9</v>
      </c>
      <c r="F861">
        <v>343</v>
      </c>
      <c r="G861" s="1">
        <v>95</v>
      </c>
      <c r="H861" s="1">
        <v>838</v>
      </c>
      <c r="I861" s="1">
        <v>262</v>
      </c>
      <c r="J861" s="1">
        <v>302</v>
      </c>
      <c r="K861" s="1">
        <v>673</v>
      </c>
      <c r="L861" s="1">
        <v>586</v>
      </c>
      <c r="M861" s="1">
        <v>68</v>
      </c>
      <c r="N861" s="1">
        <v>613</v>
      </c>
      <c r="O861" s="1">
        <v>605</v>
      </c>
      <c r="P861" s="1">
        <v>349</v>
      </c>
      <c r="Q861" s="1">
        <v>195</v>
      </c>
      <c r="R861" s="1">
        <v>644</v>
      </c>
      <c r="S861" s="1">
        <f>SUM(ecommerce_sales_all_data[[#This Row],[sales_month_1]:[sales_month_12]])</f>
        <v>5230</v>
      </c>
      <c r="T861" s="3">
        <f t="shared" si="166"/>
        <v>3565.35</v>
      </c>
      <c r="U861" s="3">
        <f t="shared" si="167"/>
        <v>31450.14</v>
      </c>
      <c r="V861" s="3">
        <f t="shared" si="168"/>
        <v>9832.86</v>
      </c>
      <c r="W861" s="3">
        <f t="shared" si="169"/>
        <v>11334.06</v>
      </c>
      <c r="X861" s="3">
        <f t="shared" si="170"/>
        <v>25257.690000000002</v>
      </c>
      <c r="Y861" s="3">
        <f t="shared" si="171"/>
        <v>21992.58</v>
      </c>
      <c r="Z861" s="3">
        <f t="shared" si="172"/>
        <v>2552.04</v>
      </c>
      <c r="AA861" s="3">
        <f t="shared" si="173"/>
        <v>23005.89</v>
      </c>
      <c r="AB861" s="3">
        <f t="shared" si="174"/>
        <v>22705.65</v>
      </c>
      <c r="AC861" s="3">
        <f t="shared" si="175"/>
        <v>13097.970000000001</v>
      </c>
      <c r="AD861" s="3">
        <f t="shared" si="176"/>
        <v>7318.35</v>
      </c>
      <c r="AE861" s="3">
        <f t="shared" si="177"/>
        <v>24169.32</v>
      </c>
      <c r="AF861" s="3">
        <f>SUM(ecommerce_sales_all_data[[#This Row],[revenue_month_1]:[revenue_month_12]])</f>
        <v>196281.90000000002</v>
      </c>
    </row>
    <row r="862" spans="1:32" x14ac:dyDescent="0.3">
      <c r="A862">
        <v>861</v>
      </c>
      <c r="B862" t="s">
        <v>885</v>
      </c>
      <c r="C862" t="s">
        <v>19</v>
      </c>
      <c r="D862" s="2">
        <v>388.89</v>
      </c>
      <c r="E862">
        <v>4.0999999999999996</v>
      </c>
      <c r="F862">
        <v>947</v>
      </c>
      <c r="G862" s="1">
        <v>422</v>
      </c>
      <c r="H862" s="1">
        <v>259</v>
      </c>
      <c r="I862" s="1">
        <v>702</v>
      </c>
      <c r="J862" s="1">
        <v>679</v>
      </c>
      <c r="K862" s="1">
        <v>555</v>
      </c>
      <c r="L862" s="1">
        <v>236</v>
      </c>
      <c r="M862" s="1">
        <v>471</v>
      </c>
      <c r="N862" s="1">
        <v>903</v>
      </c>
      <c r="O862" s="1">
        <v>491</v>
      </c>
      <c r="P862" s="1">
        <v>83</v>
      </c>
      <c r="Q862" s="1">
        <v>132</v>
      </c>
      <c r="R862" s="1">
        <v>970</v>
      </c>
      <c r="S862" s="1">
        <f>SUM(ecommerce_sales_all_data[[#This Row],[sales_month_1]:[sales_month_12]])</f>
        <v>5903</v>
      </c>
      <c r="T862" s="3">
        <f t="shared" si="166"/>
        <v>164111.57999999999</v>
      </c>
      <c r="U862" s="3">
        <f t="shared" si="167"/>
        <v>100722.51</v>
      </c>
      <c r="V862" s="3">
        <f t="shared" si="168"/>
        <v>273000.77999999997</v>
      </c>
      <c r="W862" s="3">
        <f t="shared" si="169"/>
        <v>264056.31</v>
      </c>
      <c r="X862" s="3">
        <f t="shared" si="170"/>
        <v>215833.94999999998</v>
      </c>
      <c r="Y862" s="3">
        <f t="shared" si="171"/>
        <v>91778.04</v>
      </c>
      <c r="Z862" s="3">
        <f t="shared" si="172"/>
        <v>183167.19</v>
      </c>
      <c r="AA862" s="3">
        <f t="shared" si="173"/>
        <v>351167.67</v>
      </c>
      <c r="AB862" s="3">
        <f t="shared" si="174"/>
        <v>190944.99</v>
      </c>
      <c r="AC862" s="3">
        <f t="shared" si="175"/>
        <v>32277.87</v>
      </c>
      <c r="AD862" s="3">
        <f t="shared" si="176"/>
        <v>51333.479999999996</v>
      </c>
      <c r="AE862" s="3">
        <f t="shared" si="177"/>
        <v>377223.3</v>
      </c>
      <c r="AF862" s="3">
        <f>SUM(ecommerce_sales_all_data[[#This Row],[revenue_month_1]:[revenue_month_12]])</f>
        <v>2295617.67</v>
      </c>
    </row>
    <row r="863" spans="1:32" x14ac:dyDescent="0.3">
      <c r="A863">
        <v>862</v>
      </c>
      <c r="B863" t="s">
        <v>886</v>
      </c>
      <c r="C863" t="s">
        <v>26</v>
      </c>
      <c r="D863" s="2">
        <v>229.38</v>
      </c>
      <c r="E863">
        <v>3.6</v>
      </c>
      <c r="F863">
        <v>899</v>
      </c>
      <c r="G863" s="1">
        <v>890</v>
      </c>
      <c r="H863" s="1">
        <v>192</v>
      </c>
      <c r="I863" s="1">
        <v>878</v>
      </c>
      <c r="J863" s="1">
        <v>434</v>
      </c>
      <c r="K863" s="1">
        <v>508</v>
      </c>
      <c r="L863" s="1">
        <v>838</v>
      </c>
      <c r="M863" s="1">
        <v>103</v>
      </c>
      <c r="N863" s="1">
        <v>76</v>
      </c>
      <c r="O863" s="1">
        <v>228</v>
      </c>
      <c r="P863" s="1">
        <v>386</v>
      </c>
      <c r="Q863" s="1">
        <v>984</v>
      </c>
      <c r="R863" s="1">
        <v>254</v>
      </c>
      <c r="S863" s="1">
        <f>SUM(ecommerce_sales_all_data[[#This Row],[sales_month_1]:[sales_month_12]])</f>
        <v>5771</v>
      </c>
      <c r="T863" s="3">
        <f t="shared" si="166"/>
        <v>204148.19999999998</v>
      </c>
      <c r="U863" s="3">
        <f t="shared" si="167"/>
        <v>44040.959999999999</v>
      </c>
      <c r="V863" s="3">
        <f t="shared" si="168"/>
        <v>201395.63999999998</v>
      </c>
      <c r="W863" s="3">
        <f t="shared" si="169"/>
        <v>99550.92</v>
      </c>
      <c r="X863" s="3">
        <f t="shared" si="170"/>
        <v>116525.04</v>
      </c>
      <c r="Y863" s="3">
        <f t="shared" si="171"/>
        <v>192220.44</v>
      </c>
      <c r="Z863" s="3">
        <f t="shared" si="172"/>
        <v>23626.14</v>
      </c>
      <c r="AA863" s="3">
        <f t="shared" si="173"/>
        <v>17432.88</v>
      </c>
      <c r="AB863" s="3">
        <f t="shared" si="174"/>
        <v>52298.64</v>
      </c>
      <c r="AC863" s="3">
        <f t="shared" si="175"/>
        <v>88540.68</v>
      </c>
      <c r="AD863" s="3">
        <f t="shared" si="176"/>
        <v>225709.91999999998</v>
      </c>
      <c r="AE863" s="3">
        <f t="shared" si="177"/>
        <v>58262.52</v>
      </c>
      <c r="AF863" s="3">
        <f>SUM(ecommerce_sales_all_data[[#This Row],[revenue_month_1]:[revenue_month_12]])</f>
        <v>1323751.98</v>
      </c>
    </row>
    <row r="864" spans="1:32" x14ac:dyDescent="0.3">
      <c r="A864">
        <v>863</v>
      </c>
      <c r="B864" t="s">
        <v>887</v>
      </c>
      <c r="C864" t="s">
        <v>19</v>
      </c>
      <c r="D864" s="2">
        <v>264.57</v>
      </c>
      <c r="E864">
        <v>1.7</v>
      </c>
      <c r="F864">
        <v>554</v>
      </c>
      <c r="G864" s="1">
        <v>197</v>
      </c>
      <c r="H864" s="1">
        <v>654</v>
      </c>
      <c r="I864" s="1">
        <v>886</v>
      </c>
      <c r="J864" s="1">
        <v>681</v>
      </c>
      <c r="K864" s="1">
        <v>237</v>
      </c>
      <c r="L864" s="1">
        <v>65</v>
      </c>
      <c r="M864" s="1">
        <v>757</v>
      </c>
      <c r="N864" s="1">
        <v>228</v>
      </c>
      <c r="O864" s="1">
        <v>574</v>
      </c>
      <c r="P864" s="1">
        <v>86</v>
      </c>
      <c r="Q864" s="1">
        <v>85</v>
      </c>
      <c r="R864" s="1">
        <v>1000</v>
      </c>
      <c r="S864" s="1">
        <f>SUM(ecommerce_sales_all_data[[#This Row],[sales_month_1]:[sales_month_12]])</f>
        <v>5450</v>
      </c>
      <c r="T864" s="3">
        <f t="shared" si="166"/>
        <v>52120.29</v>
      </c>
      <c r="U864" s="3">
        <f t="shared" si="167"/>
        <v>173028.78</v>
      </c>
      <c r="V864" s="3">
        <f t="shared" si="168"/>
        <v>234409.02</v>
      </c>
      <c r="W864" s="3">
        <f t="shared" si="169"/>
        <v>180172.16999999998</v>
      </c>
      <c r="X864" s="3">
        <f t="shared" si="170"/>
        <v>62703.09</v>
      </c>
      <c r="Y864" s="3">
        <f t="shared" si="171"/>
        <v>17197.05</v>
      </c>
      <c r="Z864" s="3">
        <f t="shared" si="172"/>
        <v>200279.49</v>
      </c>
      <c r="AA864" s="3">
        <f t="shared" si="173"/>
        <v>60321.96</v>
      </c>
      <c r="AB864" s="3">
        <f t="shared" si="174"/>
        <v>151863.18</v>
      </c>
      <c r="AC864" s="3">
        <f t="shared" si="175"/>
        <v>22753.02</v>
      </c>
      <c r="AD864" s="3">
        <f t="shared" si="176"/>
        <v>22488.45</v>
      </c>
      <c r="AE864" s="3">
        <f t="shared" si="177"/>
        <v>264570</v>
      </c>
      <c r="AF864" s="3">
        <f>SUM(ecommerce_sales_all_data[[#This Row],[revenue_month_1]:[revenue_month_12]])</f>
        <v>1441906.5</v>
      </c>
    </row>
    <row r="865" spans="1:32" x14ac:dyDescent="0.3">
      <c r="A865">
        <v>864</v>
      </c>
      <c r="B865" t="s">
        <v>888</v>
      </c>
      <c r="C865" t="s">
        <v>19</v>
      </c>
      <c r="D865" s="2">
        <v>223.18</v>
      </c>
      <c r="E865">
        <v>3.2</v>
      </c>
      <c r="F865">
        <v>354</v>
      </c>
      <c r="G865" s="1">
        <v>0</v>
      </c>
      <c r="H865" s="1">
        <v>615</v>
      </c>
      <c r="I865" s="1">
        <v>941</v>
      </c>
      <c r="J865" s="1">
        <v>134</v>
      </c>
      <c r="K865" s="1">
        <v>133</v>
      </c>
      <c r="L865" s="1">
        <v>69</v>
      </c>
      <c r="M865" s="1">
        <v>160</v>
      </c>
      <c r="N865" s="1">
        <v>961</v>
      </c>
      <c r="O865" s="1">
        <v>851</v>
      </c>
      <c r="P865" s="1">
        <v>306</v>
      </c>
      <c r="Q865" s="1">
        <v>475</v>
      </c>
      <c r="R865" s="1">
        <v>731</v>
      </c>
      <c r="S865" s="1">
        <f>SUM(ecommerce_sales_all_data[[#This Row],[sales_month_1]:[sales_month_12]])</f>
        <v>5376</v>
      </c>
      <c r="T865" s="3">
        <f t="shared" si="166"/>
        <v>0</v>
      </c>
      <c r="U865" s="3">
        <f t="shared" si="167"/>
        <v>137255.70000000001</v>
      </c>
      <c r="V865" s="3">
        <f t="shared" si="168"/>
        <v>210012.38</v>
      </c>
      <c r="W865" s="3">
        <f t="shared" si="169"/>
        <v>29906.120000000003</v>
      </c>
      <c r="X865" s="3">
        <f t="shared" si="170"/>
        <v>29682.940000000002</v>
      </c>
      <c r="Y865" s="3">
        <f t="shared" si="171"/>
        <v>15399.42</v>
      </c>
      <c r="Z865" s="3">
        <f t="shared" si="172"/>
        <v>35708.800000000003</v>
      </c>
      <c r="AA865" s="3">
        <f t="shared" si="173"/>
        <v>214475.98</v>
      </c>
      <c r="AB865" s="3">
        <f t="shared" si="174"/>
        <v>189926.18</v>
      </c>
      <c r="AC865" s="3">
        <f t="shared" si="175"/>
        <v>68293.08</v>
      </c>
      <c r="AD865" s="3">
        <f t="shared" si="176"/>
        <v>106010.5</v>
      </c>
      <c r="AE865" s="3">
        <f t="shared" si="177"/>
        <v>163144.58000000002</v>
      </c>
      <c r="AF865" s="3">
        <f>SUM(ecommerce_sales_all_data[[#This Row],[revenue_month_1]:[revenue_month_12]])</f>
        <v>1199815.6799999999</v>
      </c>
    </row>
    <row r="866" spans="1:32" x14ac:dyDescent="0.3">
      <c r="A866">
        <v>865</v>
      </c>
      <c r="B866" t="s">
        <v>889</v>
      </c>
      <c r="C866" t="s">
        <v>19</v>
      </c>
      <c r="D866" s="2">
        <v>203.38</v>
      </c>
      <c r="E866">
        <v>4.9000000000000004</v>
      </c>
      <c r="F866">
        <v>416</v>
      </c>
      <c r="G866" s="1">
        <v>406</v>
      </c>
      <c r="H866" s="1">
        <v>971</v>
      </c>
      <c r="I866" s="1">
        <v>574</v>
      </c>
      <c r="J866" s="1">
        <v>49</v>
      </c>
      <c r="K866" s="1">
        <v>972</v>
      </c>
      <c r="L866" s="1">
        <v>808</v>
      </c>
      <c r="M866" s="1">
        <v>199</v>
      </c>
      <c r="N866" s="1">
        <v>296</v>
      </c>
      <c r="O866" s="1">
        <v>536</v>
      </c>
      <c r="P866" s="1">
        <v>849</v>
      </c>
      <c r="Q866" s="1">
        <v>806</v>
      </c>
      <c r="R866" s="1">
        <v>335</v>
      </c>
      <c r="S866" s="1">
        <f>SUM(ecommerce_sales_all_data[[#This Row],[sales_month_1]:[sales_month_12]])</f>
        <v>6801</v>
      </c>
      <c r="T866" s="3">
        <f t="shared" si="166"/>
        <v>82572.28</v>
      </c>
      <c r="U866" s="3">
        <f t="shared" si="167"/>
        <v>197481.97999999998</v>
      </c>
      <c r="V866" s="3">
        <f t="shared" si="168"/>
        <v>116740.12</v>
      </c>
      <c r="W866" s="3">
        <f t="shared" si="169"/>
        <v>9965.619999999999</v>
      </c>
      <c r="X866" s="3">
        <f t="shared" si="170"/>
        <v>197685.36</v>
      </c>
      <c r="Y866" s="3">
        <f t="shared" si="171"/>
        <v>164331.04</v>
      </c>
      <c r="Z866" s="3">
        <f t="shared" si="172"/>
        <v>40472.620000000003</v>
      </c>
      <c r="AA866" s="3">
        <f t="shared" si="173"/>
        <v>60200.479999999996</v>
      </c>
      <c r="AB866" s="3">
        <f t="shared" si="174"/>
        <v>109011.68</v>
      </c>
      <c r="AC866" s="3">
        <f t="shared" si="175"/>
        <v>172669.62</v>
      </c>
      <c r="AD866" s="3">
        <f t="shared" si="176"/>
        <v>163924.28</v>
      </c>
      <c r="AE866" s="3">
        <f t="shared" si="177"/>
        <v>68132.3</v>
      </c>
      <c r="AF866" s="3">
        <f>SUM(ecommerce_sales_all_data[[#This Row],[revenue_month_1]:[revenue_month_12]])</f>
        <v>1383187.38</v>
      </c>
    </row>
    <row r="867" spans="1:32" x14ac:dyDescent="0.3">
      <c r="A867">
        <v>866</v>
      </c>
      <c r="B867" t="s">
        <v>890</v>
      </c>
      <c r="C867" t="s">
        <v>23</v>
      </c>
      <c r="D867" s="2">
        <v>282.02</v>
      </c>
      <c r="E867">
        <v>4.7</v>
      </c>
      <c r="F867">
        <v>109</v>
      </c>
      <c r="G867" s="1">
        <v>377</v>
      </c>
      <c r="H867" s="1">
        <v>405</v>
      </c>
      <c r="I867" s="1">
        <v>999</v>
      </c>
      <c r="J867" s="1">
        <v>431</v>
      </c>
      <c r="K867" s="1">
        <v>191</v>
      </c>
      <c r="L867" s="1">
        <v>446</v>
      </c>
      <c r="M867" s="1">
        <v>215</v>
      </c>
      <c r="N867" s="1">
        <v>509</v>
      </c>
      <c r="O867" s="1">
        <v>267</v>
      </c>
      <c r="P867" s="1">
        <v>153</v>
      </c>
      <c r="Q867" s="1">
        <v>790</v>
      </c>
      <c r="R867" s="1">
        <v>552</v>
      </c>
      <c r="S867" s="1">
        <f>SUM(ecommerce_sales_all_data[[#This Row],[sales_month_1]:[sales_month_12]])</f>
        <v>5335</v>
      </c>
      <c r="T867" s="3">
        <f t="shared" si="166"/>
        <v>106321.54</v>
      </c>
      <c r="U867" s="3">
        <f t="shared" si="167"/>
        <v>114218.09999999999</v>
      </c>
      <c r="V867" s="3">
        <f t="shared" si="168"/>
        <v>281737.98</v>
      </c>
      <c r="W867" s="3">
        <f t="shared" si="169"/>
        <v>121550.62</v>
      </c>
      <c r="X867" s="3">
        <f t="shared" si="170"/>
        <v>53865.82</v>
      </c>
      <c r="Y867" s="3">
        <f t="shared" si="171"/>
        <v>125780.92</v>
      </c>
      <c r="Z867" s="3">
        <f t="shared" si="172"/>
        <v>60634.299999999996</v>
      </c>
      <c r="AA867" s="3">
        <f t="shared" si="173"/>
        <v>143548.18</v>
      </c>
      <c r="AB867" s="3">
        <f t="shared" si="174"/>
        <v>75299.34</v>
      </c>
      <c r="AC867" s="3">
        <f t="shared" si="175"/>
        <v>43149.06</v>
      </c>
      <c r="AD867" s="3">
        <f t="shared" si="176"/>
        <v>222795.8</v>
      </c>
      <c r="AE867" s="3">
        <f t="shared" si="177"/>
        <v>155675.03999999998</v>
      </c>
      <c r="AF867" s="3">
        <f>SUM(ecommerce_sales_all_data[[#This Row],[revenue_month_1]:[revenue_month_12]])</f>
        <v>1504576.7000000002</v>
      </c>
    </row>
    <row r="868" spans="1:32" x14ac:dyDescent="0.3">
      <c r="A868">
        <v>867</v>
      </c>
      <c r="B868" t="s">
        <v>891</v>
      </c>
      <c r="C868" t="s">
        <v>19</v>
      </c>
      <c r="D868" s="2">
        <v>81.84</v>
      </c>
      <c r="E868">
        <v>1.2</v>
      </c>
      <c r="F868">
        <v>563</v>
      </c>
      <c r="G868" s="1">
        <v>166</v>
      </c>
      <c r="H868" s="1">
        <v>725</v>
      </c>
      <c r="I868" s="1">
        <v>891</v>
      </c>
      <c r="J868" s="1">
        <v>339</v>
      </c>
      <c r="K868" s="1">
        <v>355</v>
      </c>
      <c r="L868" s="1">
        <v>415</v>
      </c>
      <c r="M868" s="1">
        <v>945</v>
      </c>
      <c r="N868" s="1">
        <v>714</v>
      </c>
      <c r="O868" s="1">
        <v>404</v>
      </c>
      <c r="P868" s="1">
        <v>439</v>
      </c>
      <c r="Q868" s="1">
        <v>323</v>
      </c>
      <c r="R868" s="1">
        <v>501</v>
      </c>
      <c r="S868" s="1">
        <f>SUM(ecommerce_sales_all_data[[#This Row],[sales_month_1]:[sales_month_12]])</f>
        <v>6217</v>
      </c>
      <c r="T868" s="3">
        <f t="shared" si="166"/>
        <v>13585.44</v>
      </c>
      <c r="U868" s="3">
        <f t="shared" si="167"/>
        <v>59334</v>
      </c>
      <c r="V868" s="3">
        <f t="shared" si="168"/>
        <v>72919.44</v>
      </c>
      <c r="W868" s="3">
        <f t="shared" si="169"/>
        <v>27743.760000000002</v>
      </c>
      <c r="X868" s="3">
        <f t="shared" si="170"/>
        <v>29053.200000000001</v>
      </c>
      <c r="Y868" s="3">
        <f t="shared" si="171"/>
        <v>33963.599999999999</v>
      </c>
      <c r="Z868" s="3">
        <f t="shared" si="172"/>
        <v>77338.8</v>
      </c>
      <c r="AA868" s="3">
        <f t="shared" si="173"/>
        <v>58433.760000000002</v>
      </c>
      <c r="AB868" s="3">
        <f t="shared" si="174"/>
        <v>33063.360000000001</v>
      </c>
      <c r="AC868" s="3">
        <f t="shared" si="175"/>
        <v>35927.760000000002</v>
      </c>
      <c r="AD868" s="3">
        <f t="shared" si="176"/>
        <v>26434.32</v>
      </c>
      <c r="AE868" s="3">
        <f t="shared" si="177"/>
        <v>41001.840000000004</v>
      </c>
      <c r="AF868" s="3">
        <f>SUM(ecommerce_sales_all_data[[#This Row],[revenue_month_1]:[revenue_month_12]])</f>
        <v>508799.28000000009</v>
      </c>
    </row>
    <row r="869" spans="1:32" x14ac:dyDescent="0.3">
      <c r="A869">
        <v>868</v>
      </c>
      <c r="B869" t="s">
        <v>892</v>
      </c>
      <c r="C869" t="s">
        <v>19</v>
      </c>
      <c r="D869" s="2">
        <v>95.05</v>
      </c>
      <c r="E869">
        <v>1.7</v>
      </c>
      <c r="F869">
        <v>762</v>
      </c>
      <c r="G869" s="1">
        <v>508</v>
      </c>
      <c r="H869" s="1">
        <v>753</v>
      </c>
      <c r="I869" s="1">
        <v>11</v>
      </c>
      <c r="J869" s="1">
        <v>346</v>
      </c>
      <c r="K869" s="1">
        <v>277</v>
      </c>
      <c r="L869" s="1">
        <v>531</v>
      </c>
      <c r="M869" s="1">
        <v>211</v>
      </c>
      <c r="N869" s="1">
        <v>983</v>
      </c>
      <c r="O869" s="1">
        <v>792</v>
      </c>
      <c r="P869" s="1">
        <v>739</v>
      </c>
      <c r="Q869" s="1">
        <v>179</v>
      </c>
      <c r="R869" s="1">
        <v>989</v>
      </c>
      <c r="S869" s="1">
        <f>SUM(ecommerce_sales_all_data[[#This Row],[sales_month_1]:[sales_month_12]])</f>
        <v>6319</v>
      </c>
      <c r="T869" s="3">
        <f t="shared" si="166"/>
        <v>48285.4</v>
      </c>
      <c r="U869" s="3">
        <f t="shared" si="167"/>
        <v>71572.649999999994</v>
      </c>
      <c r="V869" s="3">
        <f t="shared" si="168"/>
        <v>1045.55</v>
      </c>
      <c r="W869" s="3">
        <f t="shared" si="169"/>
        <v>32887.299999999996</v>
      </c>
      <c r="X869" s="3">
        <f t="shared" si="170"/>
        <v>26328.85</v>
      </c>
      <c r="Y869" s="3">
        <f t="shared" si="171"/>
        <v>50471.549999999996</v>
      </c>
      <c r="Z869" s="3">
        <f t="shared" si="172"/>
        <v>20055.55</v>
      </c>
      <c r="AA869" s="3">
        <f t="shared" si="173"/>
        <v>93434.15</v>
      </c>
      <c r="AB869" s="3">
        <f t="shared" si="174"/>
        <v>75279.599999999991</v>
      </c>
      <c r="AC869" s="3">
        <f t="shared" si="175"/>
        <v>70241.95</v>
      </c>
      <c r="AD869" s="3">
        <f t="shared" si="176"/>
        <v>17013.95</v>
      </c>
      <c r="AE869" s="3">
        <f t="shared" si="177"/>
        <v>94004.45</v>
      </c>
      <c r="AF869" s="3">
        <f>SUM(ecommerce_sales_all_data[[#This Row],[revenue_month_1]:[revenue_month_12]])</f>
        <v>600620.94999999995</v>
      </c>
    </row>
    <row r="870" spans="1:32" x14ac:dyDescent="0.3">
      <c r="A870">
        <v>869</v>
      </c>
      <c r="B870" t="s">
        <v>893</v>
      </c>
      <c r="C870" t="s">
        <v>23</v>
      </c>
      <c r="D870" s="2">
        <v>431.58</v>
      </c>
      <c r="E870">
        <v>1.5</v>
      </c>
      <c r="F870">
        <v>497</v>
      </c>
      <c r="G870" s="1">
        <v>637</v>
      </c>
      <c r="H870" s="1">
        <v>942</v>
      </c>
      <c r="I870" s="1">
        <v>140</v>
      </c>
      <c r="J870" s="1">
        <v>645</v>
      </c>
      <c r="K870" s="1">
        <v>17</v>
      </c>
      <c r="L870" s="1">
        <v>440</v>
      </c>
      <c r="M870" s="1">
        <v>507</v>
      </c>
      <c r="N870" s="1">
        <v>965</v>
      </c>
      <c r="O870" s="1">
        <v>10</v>
      </c>
      <c r="P870" s="1">
        <v>959</v>
      </c>
      <c r="Q870" s="1">
        <v>515</v>
      </c>
      <c r="R870" s="1">
        <v>899</v>
      </c>
      <c r="S870" s="1">
        <f>SUM(ecommerce_sales_all_data[[#This Row],[sales_month_1]:[sales_month_12]])</f>
        <v>6676</v>
      </c>
      <c r="T870" s="3">
        <f t="shared" si="166"/>
        <v>274916.45999999996</v>
      </c>
      <c r="U870" s="3">
        <f t="shared" si="167"/>
        <v>406548.36</v>
      </c>
      <c r="V870" s="3">
        <f t="shared" si="168"/>
        <v>60421.2</v>
      </c>
      <c r="W870" s="3">
        <f t="shared" si="169"/>
        <v>278369.09999999998</v>
      </c>
      <c r="X870" s="3">
        <f t="shared" si="170"/>
        <v>7336.86</v>
      </c>
      <c r="Y870" s="3">
        <f t="shared" si="171"/>
        <v>189895.19999999998</v>
      </c>
      <c r="Z870" s="3">
        <f t="shared" si="172"/>
        <v>218811.06</v>
      </c>
      <c r="AA870" s="3">
        <f t="shared" si="173"/>
        <v>416474.7</v>
      </c>
      <c r="AB870" s="3">
        <f t="shared" si="174"/>
        <v>4315.8</v>
      </c>
      <c r="AC870" s="3">
        <f t="shared" si="175"/>
        <v>413885.22</v>
      </c>
      <c r="AD870" s="3">
        <f t="shared" si="176"/>
        <v>222263.69999999998</v>
      </c>
      <c r="AE870" s="3">
        <f t="shared" si="177"/>
        <v>387990.42</v>
      </c>
      <c r="AF870" s="3">
        <f>SUM(ecommerce_sales_all_data[[#This Row],[revenue_month_1]:[revenue_month_12]])</f>
        <v>2881228.08</v>
      </c>
    </row>
    <row r="871" spans="1:32" x14ac:dyDescent="0.3">
      <c r="A871">
        <v>870</v>
      </c>
      <c r="B871" t="s">
        <v>894</v>
      </c>
      <c r="C871" t="s">
        <v>48</v>
      </c>
      <c r="D871" s="2">
        <v>473.33</v>
      </c>
      <c r="E871">
        <v>3.9</v>
      </c>
      <c r="F871">
        <v>341</v>
      </c>
      <c r="G871" s="1">
        <v>312</v>
      </c>
      <c r="H871" s="1">
        <v>720</v>
      </c>
      <c r="I871" s="1">
        <v>765</v>
      </c>
      <c r="J871" s="1">
        <v>346</v>
      </c>
      <c r="K871" s="1">
        <v>523</v>
      </c>
      <c r="L871" s="1">
        <v>737</v>
      </c>
      <c r="M871" s="1">
        <v>15</v>
      </c>
      <c r="N871" s="1">
        <v>572</v>
      </c>
      <c r="O871" s="1">
        <v>319</v>
      </c>
      <c r="P871" s="1">
        <v>263</v>
      </c>
      <c r="Q871" s="1">
        <v>637</v>
      </c>
      <c r="R871" s="1">
        <v>254</v>
      </c>
      <c r="S871" s="1">
        <f>SUM(ecommerce_sales_all_data[[#This Row],[sales_month_1]:[sales_month_12]])</f>
        <v>5463</v>
      </c>
      <c r="T871" s="3">
        <f t="shared" si="166"/>
        <v>147678.96</v>
      </c>
      <c r="U871" s="3">
        <f t="shared" si="167"/>
        <v>340797.6</v>
      </c>
      <c r="V871" s="3">
        <f t="shared" si="168"/>
        <v>362097.45</v>
      </c>
      <c r="W871" s="3">
        <f t="shared" si="169"/>
        <v>163772.18</v>
      </c>
      <c r="X871" s="3">
        <f t="shared" si="170"/>
        <v>247551.59</v>
      </c>
      <c r="Y871" s="3">
        <f t="shared" si="171"/>
        <v>348844.20999999996</v>
      </c>
      <c r="Z871" s="3">
        <f t="shared" si="172"/>
        <v>7099.95</v>
      </c>
      <c r="AA871" s="3">
        <f t="shared" si="173"/>
        <v>270744.76</v>
      </c>
      <c r="AB871" s="3">
        <f t="shared" si="174"/>
        <v>150992.26999999999</v>
      </c>
      <c r="AC871" s="3">
        <f t="shared" si="175"/>
        <v>124485.79</v>
      </c>
      <c r="AD871" s="3">
        <f t="shared" si="176"/>
        <v>301511.20999999996</v>
      </c>
      <c r="AE871" s="3">
        <f t="shared" si="177"/>
        <v>120225.81999999999</v>
      </c>
      <c r="AF871" s="3">
        <f>SUM(ecommerce_sales_all_data[[#This Row],[revenue_month_1]:[revenue_month_12]])</f>
        <v>2585801.7899999996</v>
      </c>
    </row>
    <row r="872" spans="1:32" x14ac:dyDescent="0.3">
      <c r="A872">
        <v>871</v>
      </c>
      <c r="B872" t="s">
        <v>895</v>
      </c>
      <c r="C872" t="s">
        <v>21</v>
      </c>
      <c r="D872" s="2">
        <v>189.79</v>
      </c>
      <c r="E872">
        <v>4.3</v>
      </c>
      <c r="F872">
        <v>942</v>
      </c>
      <c r="G872" s="1">
        <v>592</v>
      </c>
      <c r="H872" s="1">
        <v>92</v>
      </c>
      <c r="I872" s="1">
        <v>554</v>
      </c>
      <c r="J872" s="1">
        <v>648</v>
      </c>
      <c r="K872" s="1">
        <v>179</v>
      </c>
      <c r="L872" s="1">
        <v>945</v>
      </c>
      <c r="M872" s="1">
        <v>497</v>
      </c>
      <c r="N872" s="1">
        <v>537</v>
      </c>
      <c r="O872" s="1">
        <v>712</v>
      </c>
      <c r="P872" s="1">
        <v>976</v>
      </c>
      <c r="Q872" s="1">
        <v>174</v>
      </c>
      <c r="R872" s="1">
        <v>513</v>
      </c>
      <c r="S872" s="1">
        <f>SUM(ecommerce_sales_all_data[[#This Row],[sales_month_1]:[sales_month_12]])</f>
        <v>6419</v>
      </c>
      <c r="T872" s="3">
        <f t="shared" si="166"/>
        <v>112355.68</v>
      </c>
      <c r="U872" s="3">
        <f t="shared" si="167"/>
        <v>17460.68</v>
      </c>
      <c r="V872" s="3">
        <f t="shared" si="168"/>
        <v>105143.65999999999</v>
      </c>
      <c r="W872" s="3">
        <f t="shared" si="169"/>
        <v>122983.92</v>
      </c>
      <c r="X872" s="3">
        <f t="shared" si="170"/>
        <v>33972.409999999996</v>
      </c>
      <c r="Y872" s="3">
        <f t="shared" si="171"/>
        <v>179351.55</v>
      </c>
      <c r="Z872" s="3">
        <f t="shared" si="172"/>
        <v>94325.62999999999</v>
      </c>
      <c r="AA872" s="3">
        <f t="shared" si="173"/>
        <v>101917.23</v>
      </c>
      <c r="AB872" s="3">
        <f t="shared" si="174"/>
        <v>135130.47999999998</v>
      </c>
      <c r="AC872" s="3">
        <f t="shared" si="175"/>
        <v>185235.03999999998</v>
      </c>
      <c r="AD872" s="3">
        <f t="shared" si="176"/>
        <v>33023.46</v>
      </c>
      <c r="AE872" s="3">
        <f t="shared" si="177"/>
        <v>97362.26999999999</v>
      </c>
      <c r="AF872" s="3">
        <f>SUM(ecommerce_sales_all_data[[#This Row],[revenue_month_1]:[revenue_month_12]])</f>
        <v>1218262.0099999998</v>
      </c>
    </row>
    <row r="873" spans="1:32" x14ac:dyDescent="0.3">
      <c r="A873">
        <v>872</v>
      </c>
      <c r="B873" t="s">
        <v>896</v>
      </c>
      <c r="C873" t="s">
        <v>35</v>
      </c>
      <c r="D873" s="2">
        <v>139.02000000000001</v>
      </c>
      <c r="E873">
        <v>1.9</v>
      </c>
      <c r="F873">
        <v>383</v>
      </c>
      <c r="G873" s="1">
        <v>417</v>
      </c>
      <c r="H873" s="1">
        <v>429</v>
      </c>
      <c r="I873" s="1">
        <v>16</v>
      </c>
      <c r="J873" s="1">
        <v>244</v>
      </c>
      <c r="K873" s="1">
        <v>122</v>
      </c>
      <c r="L873" s="1">
        <v>463</v>
      </c>
      <c r="M873" s="1">
        <v>883</v>
      </c>
      <c r="N873" s="1">
        <v>582</v>
      </c>
      <c r="O873" s="1">
        <v>125</v>
      </c>
      <c r="P873" s="1">
        <v>734</v>
      </c>
      <c r="Q873" s="1">
        <v>762</v>
      </c>
      <c r="R873" s="1">
        <v>706</v>
      </c>
      <c r="S873" s="1">
        <f>SUM(ecommerce_sales_all_data[[#This Row],[sales_month_1]:[sales_month_12]])</f>
        <v>5483</v>
      </c>
      <c r="T873" s="3">
        <f t="shared" si="166"/>
        <v>57971.340000000004</v>
      </c>
      <c r="U873" s="3">
        <f t="shared" si="167"/>
        <v>59639.58</v>
      </c>
      <c r="V873" s="3">
        <f t="shared" si="168"/>
        <v>2224.3200000000002</v>
      </c>
      <c r="W873" s="3">
        <f t="shared" si="169"/>
        <v>33920.880000000005</v>
      </c>
      <c r="X873" s="3">
        <f t="shared" si="170"/>
        <v>16960.440000000002</v>
      </c>
      <c r="Y873" s="3">
        <f t="shared" si="171"/>
        <v>64366.26</v>
      </c>
      <c r="Z873" s="3">
        <f t="shared" si="172"/>
        <v>122754.66</v>
      </c>
      <c r="AA873" s="3">
        <f t="shared" si="173"/>
        <v>80909.64</v>
      </c>
      <c r="AB873" s="3">
        <f t="shared" si="174"/>
        <v>17377.5</v>
      </c>
      <c r="AC873" s="3">
        <f t="shared" si="175"/>
        <v>102040.68000000001</v>
      </c>
      <c r="AD873" s="3">
        <f t="shared" si="176"/>
        <v>105933.24</v>
      </c>
      <c r="AE873" s="3">
        <f t="shared" si="177"/>
        <v>98148.12000000001</v>
      </c>
      <c r="AF873" s="3">
        <f>SUM(ecommerce_sales_all_data[[#This Row],[revenue_month_1]:[revenue_month_12]])</f>
        <v>762246.66</v>
      </c>
    </row>
    <row r="874" spans="1:32" x14ac:dyDescent="0.3">
      <c r="A874">
        <v>873</v>
      </c>
      <c r="B874" t="s">
        <v>897</v>
      </c>
      <c r="C874" t="s">
        <v>48</v>
      </c>
      <c r="D874" s="2">
        <v>323.77999999999997</v>
      </c>
      <c r="E874">
        <v>3</v>
      </c>
      <c r="F874">
        <v>533</v>
      </c>
      <c r="G874" s="1">
        <v>762</v>
      </c>
      <c r="H874" s="1">
        <v>653</v>
      </c>
      <c r="I874" s="1">
        <v>62</v>
      </c>
      <c r="J874" s="1">
        <v>108</v>
      </c>
      <c r="K874" s="1">
        <v>245</v>
      </c>
      <c r="L874" s="1">
        <v>920</v>
      </c>
      <c r="M874" s="1">
        <v>331</v>
      </c>
      <c r="N874" s="1">
        <v>614</v>
      </c>
      <c r="O874" s="1">
        <v>305</v>
      </c>
      <c r="P874" s="1">
        <v>420</v>
      </c>
      <c r="Q874" s="1">
        <v>20</v>
      </c>
      <c r="R874" s="1">
        <v>241</v>
      </c>
      <c r="S874" s="1">
        <f>SUM(ecommerce_sales_all_data[[#This Row],[sales_month_1]:[sales_month_12]])</f>
        <v>4681</v>
      </c>
      <c r="T874" s="3">
        <f t="shared" si="166"/>
        <v>246720.36</v>
      </c>
      <c r="U874" s="3">
        <f t="shared" si="167"/>
        <v>211428.34</v>
      </c>
      <c r="V874" s="3">
        <f t="shared" si="168"/>
        <v>20074.359999999997</v>
      </c>
      <c r="W874" s="3">
        <f t="shared" si="169"/>
        <v>34968.239999999998</v>
      </c>
      <c r="X874" s="3">
        <f t="shared" si="170"/>
        <v>79326.099999999991</v>
      </c>
      <c r="Y874" s="3">
        <f t="shared" si="171"/>
        <v>297877.59999999998</v>
      </c>
      <c r="Z874" s="3">
        <f t="shared" si="172"/>
        <v>107171.18</v>
      </c>
      <c r="AA874" s="3">
        <f t="shared" si="173"/>
        <v>198800.91999999998</v>
      </c>
      <c r="AB874" s="3">
        <f t="shared" si="174"/>
        <v>98752.9</v>
      </c>
      <c r="AC874" s="3">
        <f t="shared" si="175"/>
        <v>135987.59999999998</v>
      </c>
      <c r="AD874" s="3">
        <f t="shared" si="176"/>
        <v>6475.5999999999995</v>
      </c>
      <c r="AE874" s="3">
        <f t="shared" si="177"/>
        <v>78030.98</v>
      </c>
      <c r="AF874" s="3">
        <f>SUM(ecommerce_sales_all_data[[#This Row],[revenue_month_1]:[revenue_month_12]])</f>
        <v>1515614.1799999997</v>
      </c>
    </row>
    <row r="875" spans="1:32" x14ac:dyDescent="0.3">
      <c r="A875">
        <v>874</v>
      </c>
      <c r="B875" t="s">
        <v>898</v>
      </c>
      <c r="C875" t="s">
        <v>29</v>
      </c>
      <c r="D875" s="2">
        <v>207.32</v>
      </c>
      <c r="E875">
        <v>4.4000000000000004</v>
      </c>
      <c r="F875">
        <v>300</v>
      </c>
      <c r="G875" s="1">
        <v>680</v>
      </c>
      <c r="H875" s="1">
        <v>433</v>
      </c>
      <c r="I875" s="1">
        <v>252</v>
      </c>
      <c r="J875" s="1">
        <v>824</v>
      </c>
      <c r="K875" s="1">
        <v>733</v>
      </c>
      <c r="L875" s="1">
        <v>395</v>
      </c>
      <c r="M875" s="1">
        <v>716</v>
      </c>
      <c r="N875" s="1">
        <v>978</v>
      </c>
      <c r="O875" s="1">
        <v>701</v>
      </c>
      <c r="P875" s="1">
        <v>492</v>
      </c>
      <c r="Q875" s="1">
        <v>996</v>
      </c>
      <c r="R875" s="1">
        <v>148</v>
      </c>
      <c r="S875" s="1">
        <f>SUM(ecommerce_sales_all_data[[#This Row],[sales_month_1]:[sales_month_12]])</f>
        <v>7348</v>
      </c>
      <c r="T875" s="3">
        <f t="shared" si="166"/>
        <v>140977.60000000001</v>
      </c>
      <c r="U875" s="3">
        <f t="shared" si="167"/>
        <v>89769.56</v>
      </c>
      <c r="V875" s="3">
        <f t="shared" si="168"/>
        <v>52244.639999999999</v>
      </c>
      <c r="W875" s="3">
        <f t="shared" si="169"/>
        <v>170831.68</v>
      </c>
      <c r="X875" s="3">
        <f t="shared" si="170"/>
        <v>151965.56</v>
      </c>
      <c r="Y875" s="3">
        <f t="shared" si="171"/>
        <v>81891.399999999994</v>
      </c>
      <c r="Z875" s="3">
        <f t="shared" si="172"/>
        <v>148441.12</v>
      </c>
      <c r="AA875" s="3">
        <f t="shared" si="173"/>
        <v>202758.96</v>
      </c>
      <c r="AB875" s="3">
        <f t="shared" si="174"/>
        <v>145331.32</v>
      </c>
      <c r="AC875" s="3">
        <f t="shared" si="175"/>
        <v>102001.44</v>
      </c>
      <c r="AD875" s="3">
        <f t="shared" si="176"/>
        <v>206490.72</v>
      </c>
      <c r="AE875" s="3">
        <f t="shared" si="177"/>
        <v>30683.360000000001</v>
      </c>
      <c r="AF875" s="3">
        <f>SUM(ecommerce_sales_all_data[[#This Row],[revenue_month_1]:[revenue_month_12]])</f>
        <v>1523387.36</v>
      </c>
    </row>
    <row r="876" spans="1:32" x14ac:dyDescent="0.3">
      <c r="A876">
        <v>875</v>
      </c>
      <c r="B876" t="s">
        <v>899</v>
      </c>
      <c r="C876" t="s">
        <v>23</v>
      </c>
      <c r="D876" s="2">
        <v>17.57</v>
      </c>
      <c r="E876">
        <v>3.9</v>
      </c>
      <c r="F876">
        <v>139</v>
      </c>
      <c r="G876" s="1">
        <v>476</v>
      </c>
      <c r="H876" s="1">
        <v>403</v>
      </c>
      <c r="I876" s="1">
        <v>464</v>
      </c>
      <c r="J876" s="1">
        <v>798</v>
      </c>
      <c r="K876" s="1">
        <v>372</v>
      </c>
      <c r="L876" s="1">
        <v>710</v>
      </c>
      <c r="M876" s="1">
        <v>876</v>
      </c>
      <c r="N876" s="1">
        <v>325</v>
      </c>
      <c r="O876" s="1">
        <v>510</v>
      </c>
      <c r="P876" s="1">
        <v>632</v>
      </c>
      <c r="Q876" s="1">
        <v>951</v>
      </c>
      <c r="R876" s="1">
        <v>709</v>
      </c>
      <c r="S876" s="1">
        <f>SUM(ecommerce_sales_all_data[[#This Row],[sales_month_1]:[sales_month_12]])</f>
        <v>7226</v>
      </c>
      <c r="T876" s="3">
        <f t="shared" si="166"/>
        <v>8363.32</v>
      </c>
      <c r="U876" s="3">
        <f t="shared" si="167"/>
        <v>7080.71</v>
      </c>
      <c r="V876" s="3">
        <f t="shared" si="168"/>
        <v>8152.4800000000005</v>
      </c>
      <c r="W876" s="3">
        <f t="shared" si="169"/>
        <v>14020.86</v>
      </c>
      <c r="X876" s="3">
        <f t="shared" si="170"/>
        <v>6536.04</v>
      </c>
      <c r="Y876" s="3">
        <f t="shared" si="171"/>
        <v>12474.7</v>
      </c>
      <c r="Z876" s="3">
        <f t="shared" si="172"/>
        <v>15391.32</v>
      </c>
      <c r="AA876" s="3">
        <f t="shared" si="173"/>
        <v>5710.25</v>
      </c>
      <c r="AB876" s="3">
        <f t="shared" si="174"/>
        <v>8960.7000000000007</v>
      </c>
      <c r="AC876" s="3">
        <f t="shared" si="175"/>
        <v>11104.24</v>
      </c>
      <c r="AD876" s="3">
        <f t="shared" si="176"/>
        <v>16709.07</v>
      </c>
      <c r="AE876" s="3">
        <f t="shared" si="177"/>
        <v>12457.130000000001</v>
      </c>
      <c r="AF876" s="3">
        <f>SUM(ecommerce_sales_all_data[[#This Row],[revenue_month_1]:[revenue_month_12]])</f>
        <v>126960.82</v>
      </c>
    </row>
    <row r="877" spans="1:32" x14ac:dyDescent="0.3">
      <c r="A877">
        <v>876</v>
      </c>
      <c r="B877" t="s">
        <v>900</v>
      </c>
      <c r="C877" t="s">
        <v>23</v>
      </c>
      <c r="D877" s="2">
        <v>82.3</v>
      </c>
      <c r="E877">
        <v>3.2</v>
      </c>
      <c r="F877">
        <v>359</v>
      </c>
      <c r="G877" s="1">
        <v>72</v>
      </c>
      <c r="H877" s="1">
        <v>433</v>
      </c>
      <c r="I877" s="1">
        <v>375</v>
      </c>
      <c r="J877" s="1">
        <v>532</v>
      </c>
      <c r="K877" s="1">
        <v>50</v>
      </c>
      <c r="L877" s="1">
        <v>550</v>
      </c>
      <c r="M877" s="1">
        <v>550</v>
      </c>
      <c r="N877" s="1">
        <v>362</v>
      </c>
      <c r="O877" s="1">
        <v>88</v>
      </c>
      <c r="P877" s="1">
        <v>992</v>
      </c>
      <c r="Q877" s="1">
        <v>104</v>
      </c>
      <c r="R877" s="1">
        <v>298</v>
      </c>
      <c r="S877" s="1">
        <f>SUM(ecommerce_sales_all_data[[#This Row],[sales_month_1]:[sales_month_12]])</f>
        <v>4406</v>
      </c>
      <c r="T877" s="3">
        <f t="shared" si="166"/>
        <v>5925.5999999999995</v>
      </c>
      <c r="U877" s="3">
        <f t="shared" si="167"/>
        <v>35635.9</v>
      </c>
      <c r="V877" s="3">
        <f t="shared" si="168"/>
        <v>30862.5</v>
      </c>
      <c r="W877" s="3">
        <f t="shared" si="169"/>
        <v>43783.6</v>
      </c>
      <c r="X877" s="3">
        <f t="shared" si="170"/>
        <v>4115</v>
      </c>
      <c r="Y877" s="3">
        <f t="shared" si="171"/>
        <v>45265</v>
      </c>
      <c r="Z877" s="3">
        <f t="shared" si="172"/>
        <v>45265</v>
      </c>
      <c r="AA877" s="3">
        <f t="shared" si="173"/>
        <v>29792.6</v>
      </c>
      <c r="AB877" s="3">
        <f t="shared" si="174"/>
        <v>7242.4</v>
      </c>
      <c r="AC877" s="3">
        <f t="shared" si="175"/>
        <v>81641.599999999991</v>
      </c>
      <c r="AD877" s="3">
        <f t="shared" si="176"/>
        <v>8559.1999999999989</v>
      </c>
      <c r="AE877" s="3">
        <f t="shared" si="177"/>
        <v>24525.399999999998</v>
      </c>
      <c r="AF877" s="3">
        <f>SUM(ecommerce_sales_all_data[[#This Row],[revenue_month_1]:[revenue_month_12]])</f>
        <v>362613.80000000005</v>
      </c>
    </row>
    <row r="878" spans="1:32" x14ac:dyDescent="0.3">
      <c r="A878">
        <v>877</v>
      </c>
      <c r="B878" t="s">
        <v>901</v>
      </c>
      <c r="C878" t="s">
        <v>19</v>
      </c>
      <c r="D878" s="2">
        <v>359.41</v>
      </c>
      <c r="E878">
        <v>3.4</v>
      </c>
      <c r="F878">
        <v>836</v>
      </c>
      <c r="G878" s="1">
        <v>140</v>
      </c>
      <c r="H878" s="1">
        <v>111</v>
      </c>
      <c r="I878" s="1">
        <v>803</v>
      </c>
      <c r="J878" s="1">
        <v>89</v>
      </c>
      <c r="K878" s="1">
        <v>999</v>
      </c>
      <c r="L878" s="1">
        <v>656</v>
      </c>
      <c r="M878" s="1">
        <v>600</v>
      </c>
      <c r="N878" s="1">
        <v>668</v>
      </c>
      <c r="O878" s="1">
        <v>354</v>
      </c>
      <c r="P878" s="1">
        <v>410</v>
      </c>
      <c r="Q878" s="1">
        <v>577</v>
      </c>
      <c r="R878" s="1">
        <v>756</v>
      </c>
      <c r="S878" s="1">
        <f>SUM(ecommerce_sales_all_data[[#This Row],[sales_month_1]:[sales_month_12]])</f>
        <v>6163</v>
      </c>
      <c r="T878" s="3">
        <f t="shared" si="166"/>
        <v>50317.4</v>
      </c>
      <c r="U878" s="3">
        <f t="shared" si="167"/>
        <v>39894.51</v>
      </c>
      <c r="V878" s="3">
        <f t="shared" si="168"/>
        <v>288606.23000000004</v>
      </c>
      <c r="W878" s="3">
        <f t="shared" si="169"/>
        <v>31987.49</v>
      </c>
      <c r="X878" s="3">
        <f t="shared" si="170"/>
        <v>359050.59</v>
      </c>
      <c r="Y878" s="3">
        <f t="shared" si="171"/>
        <v>235772.96000000002</v>
      </c>
      <c r="Z878" s="3">
        <f t="shared" si="172"/>
        <v>215646.00000000003</v>
      </c>
      <c r="AA878" s="3">
        <f t="shared" si="173"/>
        <v>240085.88</v>
      </c>
      <c r="AB878" s="3">
        <f t="shared" si="174"/>
        <v>127231.14000000001</v>
      </c>
      <c r="AC878" s="3">
        <f t="shared" si="175"/>
        <v>147358.1</v>
      </c>
      <c r="AD878" s="3">
        <f t="shared" si="176"/>
        <v>207379.57</v>
      </c>
      <c r="AE878" s="3">
        <f t="shared" si="177"/>
        <v>271713.96000000002</v>
      </c>
      <c r="AF878" s="3">
        <f>SUM(ecommerce_sales_all_data[[#This Row],[revenue_month_1]:[revenue_month_12]])</f>
        <v>2215043.8300000005</v>
      </c>
    </row>
    <row r="879" spans="1:32" x14ac:dyDescent="0.3">
      <c r="A879">
        <v>878</v>
      </c>
      <c r="B879" t="s">
        <v>902</v>
      </c>
      <c r="C879" t="s">
        <v>19</v>
      </c>
      <c r="D879" s="2">
        <v>331.17</v>
      </c>
      <c r="E879">
        <v>3</v>
      </c>
      <c r="F879">
        <v>499</v>
      </c>
      <c r="G879" s="1">
        <v>581</v>
      </c>
      <c r="H879" s="1">
        <v>928</v>
      </c>
      <c r="I879" s="1">
        <v>980</v>
      </c>
      <c r="J879" s="1">
        <v>295</v>
      </c>
      <c r="K879" s="1">
        <v>70</v>
      </c>
      <c r="L879" s="1">
        <v>556</v>
      </c>
      <c r="M879" s="1">
        <v>941</v>
      </c>
      <c r="N879" s="1">
        <v>874</v>
      </c>
      <c r="O879" s="1">
        <v>627</v>
      </c>
      <c r="P879" s="1">
        <v>172</v>
      </c>
      <c r="Q879" s="1">
        <v>442</v>
      </c>
      <c r="R879" s="1">
        <v>849</v>
      </c>
      <c r="S879" s="1">
        <f>SUM(ecommerce_sales_all_data[[#This Row],[sales_month_1]:[sales_month_12]])</f>
        <v>7315</v>
      </c>
      <c r="T879" s="3">
        <f t="shared" si="166"/>
        <v>192409.77000000002</v>
      </c>
      <c r="U879" s="3">
        <f t="shared" si="167"/>
        <v>307325.76</v>
      </c>
      <c r="V879" s="3">
        <f t="shared" si="168"/>
        <v>324546.60000000003</v>
      </c>
      <c r="W879" s="3">
        <f t="shared" si="169"/>
        <v>97695.150000000009</v>
      </c>
      <c r="X879" s="3">
        <f t="shared" si="170"/>
        <v>23181.9</v>
      </c>
      <c r="Y879" s="3">
        <f t="shared" si="171"/>
        <v>184130.52000000002</v>
      </c>
      <c r="Z879" s="3">
        <f t="shared" si="172"/>
        <v>311630.97000000003</v>
      </c>
      <c r="AA879" s="3">
        <f t="shared" si="173"/>
        <v>289442.58</v>
      </c>
      <c r="AB879" s="3">
        <f t="shared" si="174"/>
        <v>207643.59</v>
      </c>
      <c r="AC879" s="3">
        <f t="shared" si="175"/>
        <v>56961.240000000005</v>
      </c>
      <c r="AD879" s="3">
        <f t="shared" si="176"/>
        <v>146377.14000000001</v>
      </c>
      <c r="AE879" s="3">
        <f t="shared" si="177"/>
        <v>281163.33</v>
      </c>
      <c r="AF879" s="3">
        <f>SUM(ecommerce_sales_all_data[[#This Row],[revenue_month_1]:[revenue_month_12]])</f>
        <v>2422508.5500000003</v>
      </c>
    </row>
    <row r="880" spans="1:32" x14ac:dyDescent="0.3">
      <c r="A880">
        <v>879</v>
      </c>
      <c r="B880" t="s">
        <v>903</v>
      </c>
      <c r="C880" t="s">
        <v>35</v>
      </c>
      <c r="D880" s="2">
        <v>18.41</v>
      </c>
      <c r="E880">
        <v>2.2000000000000002</v>
      </c>
      <c r="F880">
        <v>385</v>
      </c>
      <c r="G880" s="1">
        <v>261</v>
      </c>
      <c r="H880" s="1">
        <v>374</v>
      </c>
      <c r="I880" s="1">
        <v>519</v>
      </c>
      <c r="J880" s="1">
        <v>111</v>
      </c>
      <c r="K880" s="1">
        <v>479</v>
      </c>
      <c r="L880" s="1">
        <v>394</v>
      </c>
      <c r="M880" s="1">
        <v>255</v>
      </c>
      <c r="N880" s="1">
        <v>358</v>
      </c>
      <c r="O880" s="1">
        <v>351</v>
      </c>
      <c r="P880" s="1">
        <v>3</v>
      </c>
      <c r="Q880" s="1">
        <v>774</v>
      </c>
      <c r="R880" s="1">
        <v>619</v>
      </c>
      <c r="S880" s="1">
        <f>SUM(ecommerce_sales_all_data[[#This Row],[sales_month_1]:[sales_month_12]])</f>
        <v>4498</v>
      </c>
      <c r="T880" s="3">
        <f t="shared" si="166"/>
        <v>4805.01</v>
      </c>
      <c r="U880" s="3">
        <f t="shared" si="167"/>
        <v>6885.34</v>
      </c>
      <c r="V880" s="3">
        <f t="shared" si="168"/>
        <v>9554.7900000000009</v>
      </c>
      <c r="W880" s="3">
        <f t="shared" si="169"/>
        <v>2043.51</v>
      </c>
      <c r="X880" s="3">
        <f t="shared" si="170"/>
        <v>8818.39</v>
      </c>
      <c r="Y880" s="3">
        <f t="shared" si="171"/>
        <v>7253.54</v>
      </c>
      <c r="Z880" s="3">
        <f t="shared" si="172"/>
        <v>4694.55</v>
      </c>
      <c r="AA880" s="3">
        <f t="shared" si="173"/>
        <v>6590.78</v>
      </c>
      <c r="AB880" s="3">
        <f t="shared" si="174"/>
        <v>6461.91</v>
      </c>
      <c r="AC880" s="3">
        <f t="shared" si="175"/>
        <v>55.230000000000004</v>
      </c>
      <c r="AD880" s="3">
        <f t="shared" si="176"/>
        <v>14249.34</v>
      </c>
      <c r="AE880" s="3">
        <f t="shared" si="177"/>
        <v>11395.79</v>
      </c>
      <c r="AF880" s="3">
        <f>SUM(ecommerce_sales_all_data[[#This Row],[revenue_month_1]:[revenue_month_12]])</f>
        <v>82808.179999999993</v>
      </c>
    </row>
    <row r="881" spans="1:32" x14ac:dyDescent="0.3">
      <c r="A881">
        <v>880</v>
      </c>
      <c r="B881" t="s">
        <v>904</v>
      </c>
      <c r="C881" t="s">
        <v>29</v>
      </c>
      <c r="D881" s="2">
        <v>114.88</v>
      </c>
      <c r="E881">
        <v>3.3</v>
      </c>
      <c r="F881">
        <v>604</v>
      </c>
      <c r="G881" s="1">
        <v>339</v>
      </c>
      <c r="H881" s="1">
        <v>58</v>
      </c>
      <c r="I881" s="1">
        <v>836</v>
      </c>
      <c r="J881" s="1">
        <v>812</v>
      </c>
      <c r="K881" s="1">
        <v>559</v>
      </c>
      <c r="L881" s="1">
        <v>325</v>
      </c>
      <c r="M881" s="1">
        <v>991</v>
      </c>
      <c r="N881" s="1">
        <v>705</v>
      </c>
      <c r="O881" s="1">
        <v>688</v>
      </c>
      <c r="P881" s="1">
        <v>853</v>
      </c>
      <c r="Q881" s="1">
        <v>48</v>
      </c>
      <c r="R881" s="1">
        <v>452</v>
      </c>
      <c r="S881" s="1">
        <f>SUM(ecommerce_sales_all_data[[#This Row],[sales_month_1]:[sales_month_12]])</f>
        <v>6666</v>
      </c>
      <c r="T881" s="3">
        <f t="shared" si="166"/>
        <v>38944.32</v>
      </c>
      <c r="U881" s="3">
        <f t="shared" si="167"/>
        <v>6663.04</v>
      </c>
      <c r="V881" s="3">
        <f t="shared" si="168"/>
        <v>96039.679999999993</v>
      </c>
      <c r="W881" s="3">
        <f t="shared" si="169"/>
        <v>93282.559999999998</v>
      </c>
      <c r="X881" s="3">
        <f t="shared" si="170"/>
        <v>64217.919999999998</v>
      </c>
      <c r="Y881" s="3">
        <f t="shared" si="171"/>
        <v>37336</v>
      </c>
      <c r="Z881" s="3">
        <f t="shared" si="172"/>
        <v>113846.08</v>
      </c>
      <c r="AA881" s="3">
        <f t="shared" si="173"/>
        <v>80990.399999999994</v>
      </c>
      <c r="AB881" s="3">
        <f t="shared" si="174"/>
        <v>79037.440000000002</v>
      </c>
      <c r="AC881" s="3">
        <f t="shared" si="175"/>
        <v>97992.639999999999</v>
      </c>
      <c r="AD881" s="3">
        <f t="shared" si="176"/>
        <v>5514.24</v>
      </c>
      <c r="AE881" s="3">
        <f t="shared" si="177"/>
        <v>51925.759999999995</v>
      </c>
      <c r="AF881" s="3">
        <f>SUM(ecommerce_sales_all_data[[#This Row],[revenue_month_1]:[revenue_month_12]])</f>
        <v>765790.08</v>
      </c>
    </row>
    <row r="882" spans="1:32" x14ac:dyDescent="0.3">
      <c r="A882">
        <v>881</v>
      </c>
      <c r="B882" t="s">
        <v>905</v>
      </c>
      <c r="C882" t="s">
        <v>19</v>
      </c>
      <c r="D882" s="2">
        <v>119.38</v>
      </c>
      <c r="E882">
        <v>3.8</v>
      </c>
      <c r="F882">
        <v>959</v>
      </c>
      <c r="G882" s="1">
        <v>307</v>
      </c>
      <c r="H882" s="1">
        <v>42</v>
      </c>
      <c r="I882" s="1">
        <v>89</v>
      </c>
      <c r="J882" s="1">
        <v>588</v>
      </c>
      <c r="K882" s="1">
        <v>18</v>
      </c>
      <c r="L882" s="1">
        <v>892</v>
      </c>
      <c r="M882" s="1">
        <v>765</v>
      </c>
      <c r="N882" s="1">
        <v>786</v>
      </c>
      <c r="O882" s="1">
        <v>13</v>
      </c>
      <c r="P882" s="1">
        <v>639</v>
      </c>
      <c r="Q882" s="1">
        <v>527</v>
      </c>
      <c r="R882" s="1">
        <v>392</v>
      </c>
      <c r="S882" s="1">
        <f>SUM(ecommerce_sales_all_data[[#This Row],[sales_month_1]:[sales_month_12]])</f>
        <v>5058</v>
      </c>
      <c r="T882" s="3">
        <f t="shared" si="166"/>
        <v>36649.659999999996</v>
      </c>
      <c r="U882" s="3">
        <f t="shared" si="167"/>
        <v>5013.96</v>
      </c>
      <c r="V882" s="3">
        <f t="shared" si="168"/>
        <v>10624.82</v>
      </c>
      <c r="W882" s="3">
        <f t="shared" si="169"/>
        <v>70195.44</v>
      </c>
      <c r="X882" s="3">
        <f t="shared" si="170"/>
        <v>2148.84</v>
      </c>
      <c r="Y882" s="3">
        <f t="shared" si="171"/>
        <v>106486.95999999999</v>
      </c>
      <c r="Z882" s="3">
        <f t="shared" si="172"/>
        <v>91325.7</v>
      </c>
      <c r="AA882" s="3">
        <f t="shared" si="173"/>
        <v>93832.68</v>
      </c>
      <c r="AB882" s="3">
        <f t="shared" si="174"/>
        <v>1551.94</v>
      </c>
      <c r="AC882" s="3">
        <f t="shared" si="175"/>
        <v>76283.819999999992</v>
      </c>
      <c r="AD882" s="3">
        <f t="shared" si="176"/>
        <v>62913.259999999995</v>
      </c>
      <c r="AE882" s="3">
        <f t="shared" si="177"/>
        <v>46796.959999999999</v>
      </c>
      <c r="AF882" s="3">
        <f>SUM(ecommerce_sales_all_data[[#This Row],[revenue_month_1]:[revenue_month_12]])</f>
        <v>603824.03999999992</v>
      </c>
    </row>
    <row r="883" spans="1:32" x14ac:dyDescent="0.3">
      <c r="A883">
        <v>882</v>
      </c>
      <c r="B883" t="s">
        <v>906</v>
      </c>
      <c r="C883" t="s">
        <v>26</v>
      </c>
      <c r="D883" s="2">
        <v>337.59</v>
      </c>
      <c r="E883">
        <v>4.5</v>
      </c>
      <c r="F883">
        <v>280</v>
      </c>
      <c r="G883" s="1">
        <v>244</v>
      </c>
      <c r="H883" s="1">
        <v>206</v>
      </c>
      <c r="I883" s="1">
        <v>719</v>
      </c>
      <c r="J883" s="1">
        <v>176</v>
      </c>
      <c r="K883" s="1">
        <v>773</v>
      </c>
      <c r="L883" s="1">
        <v>918</v>
      </c>
      <c r="M883" s="1">
        <v>727</v>
      </c>
      <c r="N883" s="1">
        <v>323</v>
      </c>
      <c r="O883" s="1">
        <v>256</v>
      </c>
      <c r="P883" s="1">
        <v>985</v>
      </c>
      <c r="Q883" s="1">
        <v>144</v>
      </c>
      <c r="R883" s="1">
        <v>211</v>
      </c>
      <c r="S883" s="1">
        <f>SUM(ecommerce_sales_all_data[[#This Row],[sales_month_1]:[sales_month_12]])</f>
        <v>5682</v>
      </c>
      <c r="T883" s="3">
        <f t="shared" si="166"/>
        <v>82371.959999999992</v>
      </c>
      <c r="U883" s="3">
        <f t="shared" si="167"/>
        <v>69543.539999999994</v>
      </c>
      <c r="V883" s="3">
        <f t="shared" si="168"/>
        <v>242727.21</v>
      </c>
      <c r="W883" s="3">
        <f t="shared" si="169"/>
        <v>59415.839999999997</v>
      </c>
      <c r="X883" s="3">
        <f t="shared" si="170"/>
        <v>260957.06999999998</v>
      </c>
      <c r="Y883" s="3">
        <f t="shared" si="171"/>
        <v>309907.62</v>
      </c>
      <c r="Z883" s="3">
        <f t="shared" si="172"/>
        <v>245427.93</v>
      </c>
      <c r="AA883" s="3">
        <f t="shared" si="173"/>
        <v>109041.56999999999</v>
      </c>
      <c r="AB883" s="3">
        <f t="shared" si="174"/>
        <v>86423.039999999994</v>
      </c>
      <c r="AC883" s="3">
        <f t="shared" si="175"/>
        <v>332526.14999999997</v>
      </c>
      <c r="AD883" s="3">
        <f t="shared" si="176"/>
        <v>48612.959999999999</v>
      </c>
      <c r="AE883" s="3">
        <f t="shared" si="177"/>
        <v>71231.489999999991</v>
      </c>
      <c r="AF883" s="3">
        <f>SUM(ecommerce_sales_all_data[[#This Row],[revenue_month_1]:[revenue_month_12]])</f>
        <v>1918186.38</v>
      </c>
    </row>
    <row r="884" spans="1:32" x14ac:dyDescent="0.3">
      <c r="A884">
        <v>883</v>
      </c>
      <c r="B884" t="s">
        <v>907</v>
      </c>
      <c r="C884" t="s">
        <v>19</v>
      </c>
      <c r="D884" s="2">
        <v>14.76</v>
      </c>
      <c r="E884">
        <v>3.5</v>
      </c>
      <c r="F884">
        <v>637</v>
      </c>
      <c r="G884" s="1">
        <v>514</v>
      </c>
      <c r="H884" s="1">
        <v>779</v>
      </c>
      <c r="I884" s="1">
        <v>803</v>
      </c>
      <c r="J884" s="1">
        <v>342</v>
      </c>
      <c r="K884" s="1">
        <v>83</v>
      </c>
      <c r="L884" s="1">
        <v>90</v>
      </c>
      <c r="M884" s="1">
        <v>879</v>
      </c>
      <c r="N884" s="1">
        <v>697</v>
      </c>
      <c r="O884" s="1">
        <v>208</v>
      </c>
      <c r="P884" s="1">
        <v>991</v>
      </c>
      <c r="Q884" s="1">
        <v>339</v>
      </c>
      <c r="R884" s="1">
        <v>667</v>
      </c>
      <c r="S884" s="1">
        <f>SUM(ecommerce_sales_all_data[[#This Row],[sales_month_1]:[sales_month_12]])</f>
        <v>6392</v>
      </c>
      <c r="T884" s="3">
        <f t="shared" si="166"/>
        <v>7586.64</v>
      </c>
      <c r="U884" s="3">
        <f t="shared" si="167"/>
        <v>11498.039999999999</v>
      </c>
      <c r="V884" s="3">
        <f t="shared" si="168"/>
        <v>11852.28</v>
      </c>
      <c r="W884" s="3">
        <f t="shared" si="169"/>
        <v>5047.92</v>
      </c>
      <c r="X884" s="3">
        <f t="shared" si="170"/>
        <v>1225.08</v>
      </c>
      <c r="Y884" s="3">
        <f t="shared" si="171"/>
        <v>1328.4</v>
      </c>
      <c r="Z884" s="3">
        <f t="shared" si="172"/>
        <v>12974.039999999999</v>
      </c>
      <c r="AA884" s="3">
        <f t="shared" si="173"/>
        <v>10287.719999999999</v>
      </c>
      <c r="AB884" s="3">
        <f t="shared" si="174"/>
        <v>3070.08</v>
      </c>
      <c r="AC884" s="3">
        <f t="shared" si="175"/>
        <v>14627.16</v>
      </c>
      <c r="AD884" s="3">
        <f t="shared" si="176"/>
        <v>5003.6400000000003</v>
      </c>
      <c r="AE884" s="3">
        <f t="shared" si="177"/>
        <v>9844.92</v>
      </c>
      <c r="AF884" s="3">
        <f>SUM(ecommerce_sales_all_data[[#This Row],[revenue_month_1]:[revenue_month_12]])</f>
        <v>94345.919999999998</v>
      </c>
    </row>
    <row r="885" spans="1:32" x14ac:dyDescent="0.3">
      <c r="A885">
        <v>884</v>
      </c>
      <c r="B885" t="s">
        <v>908</v>
      </c>
      <c r="C885" t="s">
        <v>19</v>
      </c>
      <c r="D885" s="2">
        <v>56.53</v>
      </c>
      <c r="E885">
        <v>4</v>
      </c>
      <c r="F885">
        <v>483</v>
      </c>
      <c r="G885" s="1">
        <v>336</v>
      </c>
      <c r="H885" s="1">
        <v>295</v>
      </c>
      <c r="I885" s="1">
        <v>795</v>
      </c>
      <c r="J885" s="1">
        <v>659</v>
      </c>
      <c r="K885" s="1">
        <v>154</v>
      </c>
      <c r="L885" s="1">
        <v>749</v>
      </c>
      <c r="M885" s="1">
        <v>814</v>
      </c>
      <c r="N885" s="1">
        <v>325</v>
      </c>
      <c r="O885" s="1">
        <v>280</v>
      </c>
      <c r="P885" s="1">
        <v>471</v>
      </c>
      <c r="Q885" s="1">
        <v>761</v>
      </c>
      <c r="R885" s="1">
        <v>537</v>
      </c>
      <c r="S885" s="1">
        <f>SUM(ecommerce_sales_all_data[[#This Row],[sales_month_1]:[sales_month_12]])</f>
        <v>6176</v>
      </c>
      <c r="T885" s="3">
        <f t="shared" si="166"/>
        <v>18994.080000000002</v>
      </c>
      <c r="U885" s="3">
        <f t="shared" si="167"/>
        <v>16676.349999999999</v>
      </c>
      <c r="V885" s="3">
        <f t="shared" si="168"/>
        <v>44941.35</v>
      </c>
      <c r="W885" s="3">
        <f t="shared" si="169"/>
        <v>37253.270000000004</v>
      </c>
      <c r="X885" s="3">
        <f t="shared" si="170"/>
        <v>8705.6200000000008</v>
      </c>
      <c r="Y885" s="3">
        <f t="shared" si="171"/>
        <v>42340.97</v>
      </c>
      <c r="Z885" s="3">
        <f t="shared" si="172"/>
        <v>46015.42</v>
      </c>
      <c r="AA885" s="3">
        <f t="shared" si="173"/>
        <v>18372.25</v>
      </c>
      <c r="AB885" s="3">
        <f t="shared" si="174"/>
        <v>15828.4</v>
      </c>
      <c r="AC885" s="3">
        <f t="shared" si="175"/>
        <v>26625.63</v>
      </c>
      <c r="AD885" s="3">
        <f t="shared" si="176"/>
        <v>43019.33</v>
      </c>
      <c r="AE885" s="3">
        <f t="shared" si="177"/>
        <v>30356.61</v>
      </c>
      <c r="AF885" s="3">
        <f>SUM(ecommerce_sales_all_data[[#This Row],[revenue_month_1]:[revenue_month_12]])</f>
        <v>349129.27999999997</v>
      </c>
    </row>
    <row r="886" spans="1:32" x14ac:dyDescent="0.3">
      <c r="A886">
        <v>885</v>
      </c>
      <c r="B886" t="s">
        <v>909</v>
      </c>
      <c r="C886" t="s">
        <v>26</v>
      </c>
      <c r="D886" s="2">
        <v>400.96</v>
      </c>
      <c r="E886">
        <v>1.6</v>
      </c>
      <c r="F886">
        <v>909</v>
      </c>
      <c r="G886" s="1">
        <v>574</v>
      </c>
      <c r="H886" s="1">
        <v>117</v>
      </c>
      <c r="I886" s="1">
        <v>629</v>
      </c>
      <c r="J886" s="1">
        <v>100</v>
      </c>
      <c r="K886" s="1">
        <v>564</v>
      </c>
      <c r="L886" s="1">
        <v>69</v>
      </c>
      <c r="M886" s="1">
        <v>171</v>
      </c>
      <c r="N886" s="1">
        <v>624</v>
      </c>
      <c r="O886" s="1">
        <v>442</v>
      </c>
      <c r="P886" s="1">
        <v>109</v>
      </c>
      <c r="Q886" s="1">
        <v>854</v>
      </c>
      <c r="R886" s="1">
        <v>593</v>
      </c>
      <c r="S886" s="1">
        <f>SUM(ecommerce_sales_all_data[[#This Row],[sales_month_1]:[sales_month_12]])</f>
        <v>4846</v>
      </c>
      <c r="T886" s="3">
        <f t="shared" si="166"/>
        <v>230151.03999999998</v>
      </c>
      <c r="U886" s="3">
        <f t="shared" si="167"/>
        <v>46912.32</v>
      </c>
      <c r="V886" s="3">
        <f t="shared" si="168"/>
        <v>252203.84</v>
      </c>
      <c r="W886" s="3">
        <f t="shared" si="169"/>
        <v>40096</v>
      </c>
      <c r="X886" s="3">
        <f t="shared" si="170"/>
        <v>226141.44</v>
      </c>
      <c r="Y886" s="3">
        <f t="shared" si="171"/>
        <v>27666.239999999998</v>
      </c>
      <c r="Z886" s="3">
        <f t="shared" si="172"/>
        <v>68564.160000000003</v>
      </c>
      <c r="AA886" s="3">
        <f t="shared" si="173"/>
        <v>250199.03999999998</v>
      </c>
      <c r="AB886" s="3">
        <f t="shared" si="174"/>
        <v>177224.31999999998</v>
      </c>
      <c r="AC886" s="3">
        <f t="shared" si="175"/>
        <v>43704.639999999999</v>
      </c>
      <c r="AD886" s="3">
        <f t="shared" si="176"/>
        <v>342419.83999999997</v>
      </c>
      <c r="AE886" s="3">
        <f t="shared" si="177"/>
        <v>237769.28</v>
      </c>
      <c r="AF886" s="3">
        <f>SUM(ecommerce_sales_all_data[[#This Row],[revenue_month_1]:[revenue_month_12]])</f>
        <v>1943052.16</v>
      </c>
    </row>
    <row r="887" spans="1:32" x14ac:dyDescent="0.3">
      <c r="A887">
        <v>886</v>
      </c>
      <c r="B887" t="s">
        <v>910</v>
      </c>
      <c r="C887" t="s">
        <v>29</v>
      </c>
      <c r="D887" s="2">
        <v>93.38</v>
      </c>
      <c r="E887">
        <v>2.8</v>
      </c>
      <c r="F887">
        <v>111</v>
      </c>
      <c r="G887" s="1">
        <v>560</v>
      </c>
      <c r="H887" s="1">
        <v>531</v>
      </c>
      <c r="I887" s="1">
        <v>860</v>
      </c>
      <c r="J887" s="1">
        <v>757</v>
      </c>
      <c r="K887" s="1">
        <v>618</v>
      </c>
      <c r="L887" s="1">
        <v>165</v>
      </c>
      <c r="M887" s="1">
        <v>648</v>
      </c>
      <c r="N887" s="1">
        <v>824</v>
      </c>
      <c r="O887" s="1">
        <v>839</v>
      </c>
      <c r="P887" s="1">
        <v>866</v>
      </c>
      <c r="Q887" s="1">
        <v>353</v>
      </c>
      <c r="R887" s="1">
        <v>594</v>
      </c>
      <c r="S887" s="1">
        <f>SUM(ecommerce_sales_all_data[[#This Row],[sales_month_1]:[sales_month_12]])</f>
        <v>7615</v>
      </c>
      <c r="T887" s="3">
        <f t="shared" si="166"/>
        <v>52292.799999999996</v>
      </c>
      <c r="U887" s="3">
        <f t="shared" si="167"/>
        <v>49584.78</v>
      </c>
      <c r="V887" s="3">
        <f t="shared" si="168"/>
        <v>80306.8</v>
      </c>
      <c r="W887" s="3">
        <f t="shared" si="169"/>
        <v>70688.66</v>
      </c>
      <c r="X887" s="3">
        <f t="shared" si="170"/>
        <v>57708.84</v>
      </c>
      <c r="Y887" s="3">
        <f t="shared" si="171"/>
        <v>15407.699999999999</v>
      </c>
      <c r="Z887" s="3">
        <f t="shared" si="172"/>
        <v>60510.239999999998</v>
      </c>
      <c r="AA887" s="3">
        <f t="shared" si="173"/>
        <v>76945.119999999995</v>
      </c>
      <c r="AB887" s="3">
        <f t="shared" si="174"/>
        <v>78345.819999999992</v>
      </c>
      <c r="AC887" s="3">
        <f t="shared" si="175"/>
        <v>80867.08</v>
      </c>
      <c r="AD887" s="3">
        <f t="shared" si="176"/>
        <v>32963.14</v>
      </c>
      <c r="AE887" s="3">
        <f t="shared" si="177"/>
        <v>55467.719999999994</v>
      </c>
      <c r="AF887" s="3">
        <f>SUM(ecommerce_sales_all_data[[#This Row],[revenue_month_1]:[revenue_month_12]])</f>
        <v>711088.7</v>
      </c>
    </row>
    <row r="888" spans="1:32" x14ac:dyDescent="0.3">
      <c r="A888">
        <v>887</v>
      </c>
      <c r="B888" t="s">
        <v>911</v>
      </c>
      <c r="C888" t="s">
        <v>26</v>
      </c>
      <c r="D888" s="2">
        <v>328.11</v>
      </c>
      <c r="E888">
        <v>1</v>
      </c>
      <c r="F888">
        <v>866</v>
      </c>
      <c r="G888" s="1">
        <v>75</v>
      </c>
      <c r="H888" s="1">
        <v>221</v>
      </c>
      <c r="I888" s="1">
        <v>174</v>
      </c>
      <c r="J888" s="1">
        <v>628</v>
      </c>
      <c r="K888" s="1">
        <v>356</v>
      </c>
      <c r="L888" s="1">
        <v>641</v>
      </c>
      <c r="M888" s="1">
        <v>999</v>
      </c>
      <c r="N888" s="1">
        <v>164</v>
      </c>
      <c r="O888" s="1">
        <v>836</v>
      </c>
      <c r="P888" s="1">
        <v>36</v>
      </c>
      <c r="Q888" s="1">
        <v>74</v>
      </c>
      <c r="R888" s="1">
        <v>130</v>
      </c>
      <c r="S888" s="1">
        <f>SUM(ecommerce_sales_all_data[[#This Row],[sales_month_1]:[sales_month_12]])</f>
        <v>4334</v>
      </c>
      <c r="T888" s="3">
        <f t="shared" si="166"/>
        <v>24608.25</v>
      </c>
      <c r="U888" s="3">
        <f t="shared" si="167"/>
        <v>72512.31</v>
      </c>
      <c r="V888" s="3">
        <f t="shared" si="168"/>
        <v>57091.14</v>
      </c>
      <c r="W888" s="3">
        <f t="shared" si="169"/>
        <v>206053.08000000002</v>
      </c>
      <c r="X888" s="3">
        <f t="shared" si="170"/>
        <v>116807.16</v>
      </c>
      <c r="Y888" s="3">
        <f t="shared" si="171"/>
        <v>210318.51</v>
      </c>
      <c r="Z888" s="3">
        <f t="shared" si="172"/>
        <v>327781.89</v>
      </c>
      <c r="AA888" s="3">
        <f t="shared" si="173"/>
        <v>53810.04</v>
      </c>
      <c r="AB888" s="3">
        <f t="shared" si="174"/>
        <v>274299.96000000002</v>
      </c>
      <c r="AC888" s="3">
        <f t="shared" si="175"/>
        <v>11811.960000000001</v>
      </c>
      <c r="AD888" s="3">
        <f t="shared" si="176"/>
        <v>24280.14</v>
      </c>
      <c r="AE888" s="3">
        <f t="shared" si="177"/>
        <v>42654.3</v>
      </c>
      <c r="AF888" s="3">
        <f>SUM(ecommerce_sales_all_data[[#This Row],[revenue_month_1]:[revenue_month_12]])</f>
        <v>1422028.74</v>
      </c>
    </row>
    <row r="889" spans="1:32" x14ac:dyDescent="0.3">
      <c r="A889">
        <v>888</v>
      </c>
      <c r="B889" t="s">
        <v>912</v>
      </c>
      <c r="C889" t="s">
        <v>23</v>
      </c>
      <c r="D889" s="2">
        <v>122.9</v>
      </c>
      <c r="E889">
        <v>2</v>
      </c>
      <c r="F889">
        <v>139</v>
      </c>
      <c r="G889" s="1">
        <v>879</v>
      </c>
      <c r="H889" s="1">
        <v>165</v>
      </c>
      <c r="I889" s="1">
        <v>75</v>
      </c>
      <c r="J889" s="1">
        <v>603</v>
      </c>
      <c r="K889" s="1">
        <v>815</v>
      </c>
      <c r="L889" s="1">
        <v>213</v>
      </c>
      <c r="M889" s="1">
        <v>497</v>
      </c>
      <c r="N889" s="1">
        <v>572</v>
      </c>
      <c r="O889" s="1">
        <v>388</v>
      </c>
      <c r="P889" s="1">
        <v>991</v>
      </c>
      <c r="Q889" s="1">
        <v>801</v>
      </c>
      <c r="R889" s="1">
        <v>328</v>
      </c>
      <c r="S889" s="1">
        <f>SUM(ecommerce_sales_all_data[[#This Row],[sales_month_1]:[sales_month_12]])</f>
        <v>6327</v>
      </c>
      <c r="T889" s="3">
        <f t="shared" si="166"/>
        <v>108029.1</v>
      </c>
      <c r="U889" s="3">
        <f t="shared" si="167"/>
        <v>20278.5</v>
      </c>
      <c r="V889" s="3">
        <f t="shared" si="168"/>
        <v>9217.5</v>
      </c>
      <c r="W889" s="3">
        <f t="shared" si="169"/>
        <v>74108.7</v>
      </c>
      <c r="X889" s="3">
        <f t="shared" si="170"/>
        <v>100163.5</v>
      </c>
      <c r="Y889" s="3">
        <f t="shared" si="171"/>
        <v>26177.7</v>
      </c>
      <c r="Z889" s="3">
        <f t="shared" si="172"/>
        <v>61081.3</v>
      </c>
      <c r="AA889" s="3">
        <f t="shared" si="173"/>
        <v>70298.8</v>
      </c>
      <c r="AB889" s="3">
        <f t="shared" si="174"/>
        <v>47685.200000000004</v>
      </c>
      <c r="AC889" s="3">
        <f t="shared" si="175"/>
        <v>121793.90000000001</v>
      </c>
      <c r="AD889" s="3">
        <f t="shared" si="176"/>
        <v>98442.900000000009</v>
      </c>
      <c r="AE889" s="3">
        <f t="shared" si="177"/>
        <v>40311.200000000004</v>
      </c>
      <c r="AF889" s="3">
        <f>SUM(ecommerce_sales_all_data[[#This Row],[revenue_month_1]:[revenue_month_12]])</f>
        <v>777588.29999999993</v>
      </c>
    </row>
    <row r="890" spans="1:32" x14ac:dyDescent="0.3">
      <c r="A890">
        <v>889</v>
      </c>
      <c r="B890" t="s">
        <v>913</v>
      </c>
      <c r="C890" t="s">
        <v>26</v>
      </c>
      <c r="D890" s="2">
        <v>54.22</v>
      </c>
      <c r="E890">
        <v>3.9</v>
      </c>
      <c r="F890">
        <v>996</v>
      </c>
      <c r="G890" s="1">
        <v>174</v>
      </c>
      <c r="H890" s="1">
        <v>642</v>
      </c>
      <c r="I890" s="1">
        <v>612</v>
      </c>
      <c r="J890" s="1">
        <v>400</v>
      </c>
      <c r="K890" s="1">
        <v>646</v>
      </c>
      <c r="L890" s="1">
        <v>851</v>
      </c>
      <c r="M890" s="1">
        <v>470</v>
      </c>
      <c r="N890" s="1">
        <v>603</v>
      </c>
      <c r="O890" s="1">
        <v>616</v>
      </c>
      <c r="P890" s="1">
        <v>582</v>
      </c>
      <c r="Q890" s="1">
        <v>928</v>
      </c>
      <c r="R890" s="1">
        <v>611</v>
      </c>
      <c r="S890" s="1">
        <f>SUM(ecommerce_sales_all_data[[#This Row],[sales_month_1]:[sales_month_12]])</f>
        <v>7135</v>
      </c>
      <c r="T890" s="3">
        <f t="shared" si="166"/>
        <v>9434.2800000000007</v>
      </c>
      <c r="U890" s="3">
        <f t="shared" si="167"/>
        <v>34809.24</v>
      </c>
      <c r="V890" s="3">
        <f t="shared" si="168"/>
        <v>33182.639999999999</v>
      </c>
      <c r="W890" s="3">
        <f t="shared" si="169"/>
        <v>21688</v>
      </c>
      <c r="X890" s="3">
        <f t="shared" si="170"/>
        <v>35026.120000000003</v>
      </c>
      <c r="Y890" s="3">
        <f t="shared" si="171"/>
        <v>46141.22</v>
      </c>
      <c r="Z890" s="3">
        <f t="shared" si="172"/>
        <v>25483.399999999998</v>
      </c>
      <c r="AA890" s="3">
        <f t="shared" si="173"/>
        <v>32694.66</v>
      </c>
      <c r="AB890" s="3">
        <f t="shared" si="174"/>
        <v>33399.519999999997</v>
      </c>
      <c r="AC890" s="3">
        <f t="shared" si="175"/>
        <v>31556.04</v>
      </c>
      <c r="AD890" s="3">
        <f t="shared" si="176"/>
        <v>50316.159999999996</v>
      </c>
      <c r="AE890" s="3">
        <f t="shared" si="177"/>
        <v>33128.42</v>
      </c>
      <c r="AF890" s="3">
        <f>SUM(ecommerce_sales_all_data[[#This Row],[revenue_month_1]:[revenue_month_12]])</f>
        <v>386859.69999999995</v>
      </c>
    </row>
    <row r="891" spans="1:32" x14ac:dyDescent="0.3">
      <c r="A891">
        <v>890</v>
      </c>
      <c r="B891" t="s">
        <v>914</v>
      </c>
      <c r="C891" t="s">
        <v>21</v>
      </c>
      <c r="D891" s="2">
        <v>125.37</v>
      </c>
      <c r="E891">
        <v>5</v>
      </c>
      <c r="F891">
        <v>435</v>
      </c>
      <c r="G891" s="1">
        <v>108</v>
      </c>
      <c r="H891" s="1">
        <v>155</v>
      </c>
      <c r="I891" s="1">
        <v>925</v>
      </c>
      <c r="J891" s="1">
        <v>27</v>
      </c>
      <c r="K891" s="1">
        <v>442</v>
      </c>
      <c r="L891" s="1">
        <v>600</v>
      </c>
      <c r="M891" s="1">
        <v>383</v>
      </c>
      <c r="N891" s="1">
        <v>797</v>
      </c>
      <c r="O891" s="1">
        <v>482</v>
      </c>
      <c r="P891" s="1">
        <v>800</v>
      </c>
      <c r="Q891" s="1">
        <v>793</v>
      </c>
      <c r="R891" s="1">
        <v>255</v>
      </c>
      <c r="S891" s="1">
        <f>SUM(ecommerce_sales_all_data[[#This Row],[sales_month_1]:[sales_month_12]])</f>
        <v>5767</v>
      </c>
      <c r="T891" s="3">
        <f t="shared" si="166"/>
        <v>13539.960000000001</v>
      </c>
      <c r="U891" s="3">
        <f t="shared" si="167"/>
        <v>19432.350000000002</v>
      </c>
      <c r="V891" s="3">
        <f t="shared" si="168"/>
        <v>115967.25</v>
      </c>
      <c r="W891" s="3">
        <f t="shared" si="169"/>
        <v>3384.9900000000002</v>
      </c>
      <c r="X891" s="3">
        <f t="shared" si="170"/>
        <v>55413.54</v>
      </c>
      <c r="Y891" s="3">
        <f t="shared" si="171"/>
        <v>75222</v>
      </c>
      <c r="Z891" s="3">
        <f t="shared" si="172"/>
        <v>48016.71</v>
      </c>
      <c r="AA891" s="3">
        <f t="shared" si="173"/>
        <v>99919.89</v>
      </c>
      <c r="AB891" s="3">
        <f t="shared" si="174"/>
        <v>60428.340000000004</v>
      </c>
      <c r="AC891" s="3">
        <f t="shared" si="175"/>
        <v>100296</v>
      </c>
      <c r="AD891" s="3">
        <f t="shared" si="176"/>
        <v>99418.41</v>
      </c>
      <c r="AE891" s="3">
        <f t="shared" si="177"/>
        <v>31969.350000000002</v>
      </c>
      <c r="AF891" s="3">
        <f>SUM(ecommerce_sales_all_data[[#This Row],[revenue_month_1]:[revenue_month_12]])</f>
        <v>723008.79</v>
      </c>
    </row>
    <row r="892" spans="1:32" x14ac:dyDescent="0.3">
      <c r="A892">
        <v>891</v>
      </c>
      <c r="B892" t="s">
        <v>915</v>
      </c>
      <c r="C892" t="s">
        <v>23</v>
      </c>
      <c r="D892" s="2">
        <v>362.52</v>
      </c>
      <c r="E892">
        <v>1.4</v>
      </c>
      <c r="F892">
        <v>509</v>
      </c>
      <c r="G892" s="1">
        <v>182</v>
      </c>
      <c r="H892" s="1">
        <v>183</v>
      </c>
      <c r="I892" s="1">
        <v>662</v>
      </c>
      <c r="J892" s="1">
        <v>936</v>
      </c>
      <c r="K892" s="1">
        <v>68</v>
      </c>
      <c r="L892" s="1">
        <v>334</v>
      </c>
      <c r="M892" s="1">
        <v>689</v>
      </c>
      <c r="N892" s="1">
        <v>454</v>
      </c>
      <c r="O892" s="1">
        <v>146</v>
      </c>
      <c r="P892" s="1">
        <v>30</v>
      </c>
      <c r="Q892" s="1">
        <v>577</v>
      </c>
      <c r="R892" s="1">
        <v>478</v>
      </c>
      <c r="S892" s="1">
        <f>SUM(ecommerce_sales_all_data[[#This Row],[sales_month_1]:[sales_month_12]])</f>
        <v>4739</v>
      </c>
      <c r="T892" s="3">
        <f t="shared" si="166"/>
        <v>65978.64</v>
      </c>
      <c r="U892" s="3">
        <f t="shared" si="167"/>
        <v>66341.16</v>
      </c>
      <c r="V892" s="3">
        <f t="shared" si="168"/>
        <v>239988.24</v>
      </c>
      <c r="W892" s="3">
        <f t="shared" si="169"/>
        <v>339318.72</v>
      </c>
      <c r="X892" s="3">
        <f t="shared" si="170"/>
        <v>24651.360000000001</v>
      </c>
      <c r="Y892" s="3">
        <f t="shared" si="171"/>
        <v>121081.68</v>
      </c>
      <c r="Z892" s="3">
        <f t="shared" si="172"/>
        <v>249776.28</v>
      </c>
      <c r="AA892" s="3">
        <f t="shared" si="173"/>
        <v>164584.07999999999</v>
      </c>
      <c r="AB892" s="3">
        <f t="shared" si="174"/>
        <v>52927.92</v>
      </c>
      <c r="AC892" s="3">
        <f t="shared" si="175"/>
        <v>10875.599999999999</v>
      </c>
      <c r="AD892" s="3">
        <f t="shared" si="176"/>
        <v>209174.03999999998</v>
      </c>
      <c r="AE892" s="3">
        <f t="shared" si="177"/>
        <v>173284.56</v>
      </c>
      <c r="AF892" s="3">
        <f>SUM(ecommerce_sales_all_data[[#This Row],[revenue_month_1]:[revenue_month_12]])</f>
        <v>1717982.2800000003</v>
      </c>
    </row>
    <row r="893" spans="1:32" x14ac:dyDescent="0.3">
      <c r="A893">
        <v>892</v>
      </c>
      <c r="B893" t="s">
        <v>916</v>
      </c>
      <c r="C893" t="s">
        <v>19</v>
      </c>
      <c r="D893" s="2">
        <v>428.57</v>
      </c>
      <c r="E893">
        <v>2.6</v>
      </c>
      <c r="F893">
        <v>273</v>
      </c>
      <c r="G893" s="1">
        <v>191</v>
      </c>
      <c r="H893" s="1">
        <v>89</v>
      </c>
      <c r="I893" s="1">
        <v>399</v>
      </c>
      <c r="J893" s="1">
        <v>961</v>
      </c>
      <c r="K893" s="1">
        <v>522</v>
      </c>
      <c r="L893" s="1">
        <v>763</v>
      </c>
      <c r="M893" s="1">
        <v>588</v>
      </c>
      <c r="N893" s="1">
        <v>968</v>
      </c>
      <c r="O893" s="1">
        <v>278</v>
      </c>
      <c r="P893" s="1">
        <v>950</v>
      </c>
      <c r="Q893" s="1">
        <v>636</v>
      </c>
      <c r="R893" s="1">
        <v>560</v>
      </c>
      <c r="S893" s="1">
        <f>SUM(ecommerce_sales_all_data[[#This Row],[sales_month_1]:[sales_month_12]])</f>
        <v>6905</v>
      </c>
      <c r="T893" s="3">
        <f t="shared" si="166"/>
        <v>81856.87</v>
      </c>
      <c r="U893" s="3">
        <f t="shared" si="167"/>
        <v>38142.729999999996</v>
      </c>
      <c r="V893" s="3">
        <f t="shared" si="168"/>
        <v>170999.43</v>
      </c>
      <c r="W893" s="3">
        <f t="shared" si="169"/>
        <v>411855.77</v>
      </c>
      <c r="X893" s="3">
        <f t="shared" si="170"/>
        <v>223713.54</v>
      </c>
      <c r="Y893" s="3">
        <f t="shared" si="171"/>
        <v>326998.90999999997</v>
      </c>
      <c r="Z893" s="3">
        <f t="shared" si="172"/>
        <v>251999.16</v>
      </c>
      <c r="AA893" s="3">
        <f t="shared" si="173"/>
        <v>414855.76</v>
      </c>
      <c r="AB893" s="3">
        <f t="shared" si="174"/>
        <v>119142.45999999999</v>
      </c>
      <c r="AC893" s="3">
        <f t="shared" si="175"/>
        <v>407141.5</v>
      </c>
      <c r="AD893" s="3">
        <f t="shared" si="176"/>
        <v>272570.52</v>
      </c>
      <c r="AE893" s="3">
        <f t="shared" si="177"/>
        <v>239999.19999999998</v>
      </c>
      <c r="AF893" s="3">
        <f>SUM(ecommerce_sales_all_data[[#This Row],[revenue_month_1]:[revenue_month_12]])</f>
        <v>2959275.85</v>
      </c>
    </row>
    <row r="894" spans="1:32" x14ac:dyDescent="0.3">
      <c r="A894">
        <v>893</v>
      </c>
      <c r="B894" t="s">
        <v>917</v>
      </c>
      <c r="C894" t="s">
        <v>35</v>
      </c>
      <c r="D894" s="2">
        <v>415.96</v>
      </c>
      <c r="E894">
        <v>4.2</v>
      </c>
      <c r="F894">
        <v>99</v>
      </c>
      <c r="G894" s="1">
        <v>64</v>
      </c>
      <c r="H894" s="1">
        <v>93</v>
      </c>
      <c r="I894" s="1">
        <v>781</v>
      </c>
      <c r="J894" s="1">
        <v>536</v>
      </c>
      <c r="K894" s="1">
        <v>142</v>
      </c>
      <c r="L894" s="1">
        <v>368</v>
      </c>
      <c r="M894" s="1">
        <v>699</v>
      </c>
      <c r="N894" s="1">
        <v>152</v>
      </c>
      <c r="O894" s="1">
        <v>520</v>
      </c>
      <c r="P894" s="1">
        <v>380</v>
      </c>
      <c r="Q894" s="1">
        <v>318</v>
      </c>
      <c r="R894" s="1">
        <v>912</v>
      </c>
      <c r="S894" s="1">
        <f>SUM(ecommerce_sales_all_data[[#This Row],[sales_month_1]:[sales_month_12]])</f>
        <v>4965</v>
      </c>
      <c r="T894" s="3">
        <f t="shared" si="166"/>
        <v>26621.439999999999</v>
      </c>
      <c r="U894" s="3">
        <f t="shared" si="167"/>
        <v>38684.28</v>
      </c>
      <c r="V894" s="3">
        <f t="shared" si="168"/>
        <v>324864.76</v>
      </c>
      <c r="W894" s="3">
        <f t="shared" si="169"/>
        <v>222954.56</v>
      </c>
      <c r="X894" s="3">
        <f t="shared" si="170"/>
        <v>59066.32</v>
      </c>
      <c r="Y894" s="3">
        <f t="shared" si="171"/>
        <v>153073.28</v>
      </c>
      <c r="Z894" s="3">
        <f t="shared" si="172"/>
        <v>290756.03999999998</v>
      </c>
      <c r="AA894" s="3">
        <f t="shared" si="173"/>
        <v>63225.919999999998</v>
      </c>
      <c r="AB894" s="3">
        <f t="shared" si="174"/>
        <v>216299.19999999998</v>
      </c>
      <c r="AC894" s="3">
        <f t="shared" si="175"/>
        <v>158064.79999999999</v>
      </c>
      <c r="AD894" s="3">
        <f t="shared" si="176"/>
        <v>132275.28</v>
      </c>
      <c r="AE894" s="3">
        <f t="shared" si="177"/>
        <v>379355.51999999996</v>
      </c>
      <c r="AF894" s="3">
        <f>SUM(ecommerce_sales_all_data[[#This Row],[revenue_month_1]:[revenue_month_12]])</f>
        <v>2065241.4</v>
      </c>
    </row>
    <row r="895" spans="1:32" x14ac:dyDescent="0.3">
      <c r="A895">
        <v>894</v>
      </c>
      <c r="B895" t="s">
        <v>918</v>
      </c>
      <c r="C895" t="s">
        <v>23</v>
      </c>
      <c r="D895" s="2">
        <v>201.61</v>
      </c>
      <c r="E895">
        <v>1.8</v>
      </c>
      <c r="F895">
        <v>764</v>
      </c>
      <c r="G895" s="1">
        <v>848</v>
      </c>
      <c r="H895" s="1">
        <v>12</v>
      </c>
      <c r="I895" s="1">
        <v>969</v>
      </c>
      <c r="J895" s="1">
        <v>57</v>
      </c>
      <c r="K895" s="1">
        <v>191</v>
      </c>
      <c r="L895" s="1">
        <v>860</v>
      </c>
      <c r="M895" s="1">
        <v>506</v>
      </c>
      <c r="N895" s="1">
        <v>736</v>
      </c>
      <c r="O895" s="1">
        <v>629</v>
      </c>
      <c r="P895" s="1">
        <v>267</v>
      </c>
      <c r="Q895" s="1">
        <v>86</v>
      </c>
      <c r="R895" s="1">
        <v>62</v>
      </c>
      <c r="S895" s="1">
        <f>SUM(ecommerce_sales_all_data[[#This Row],[sales_month_1]:[sales_month_12]])</f>
        <v>5223</v>
      </c>
      <c r="T895" s="3">
        <f t="shared" si="166"/>
        <v>170965.28</v>
      </c>
      <c r="U895" s="3">
        <f t="shared" si="167"/>
        <v>2419.3200000000002</v>
      </c>
      <c r="V895" s="3">
        <f t="shared" si="168"/>
        <v>195360.09000000003</v>
      </c>
      <c r="W895" s="3">
        <f t="shared" si="169"/>
        <v>11491.77</v>
      </c>
      <c r="X895" s="3">
        <f t="shared" si="170"/>
        <v>38507.51</v>
      </c>
      <c r="Y895" s="3">
        <f t="shared" si="171"/>
        <v>173384.6</v>
      </c>
      <c r="Z895" s="3">
        <f t="shared" si="172"/>
        <v>102014.66</v>
      </c>
      <c r="AA895" s="3">
        <f t="shared" si="173"/>
        <v>148384.96000000002</v>
      </c>
      <c r="AB895" s="3">
        <f t="shared" si="174"/>
        <v>126812.69</v>
      </c>
      <c r="AC895" s="3">
        <f t="shared" si="175"/>
        <v>53829.87</v>
      </c>
      <c r="AD895" s="3">
        <f t="shared" si="176"/>
        <v>17338.460000000003</v>
      </c>
      <c r="AE895" s="3">
        <f t="shared" si="177"/>
        <v>12499.820000000002</v>
      </c>
      <c r="AF895" s="3">
        <f>SUM(ecommerce_sales_all_data[[#This Row],[revenue_month_1]:[revenue_month_12]])</f>
        <v>1053009.03</v>
      </c>
    </row>
    <row r="896" spans="1:32" x14ac:dyDescent="0.3">
      <c r="A896">
        <v>895</v>
      </c>
      <c r="B896" t="s">
        <v>919</v>
      </c>
      <c r="C896" t="s">
        <v>29</v>
      </c>
      <c r="D896" s="2">
        <v>335.7</v>
      </c>
      <c r="E896">
        <v>3.2</v>
      </c>
      <c r="F896">
        <v>850</v>
      </c>
      <c r="G896" s="1">
        <v>962</v>
      </c>
      <c r="H896" s="1">
        <v>972</v>
      </c>
      <c r="I896" s="1">
        <v>70</v>
      </c>
      <c r="J896" s="1">
        <v>497</v>
      </c>
      <c r="K896" s="1">
        <v>386</v>
      </c>
      <c r="L896" s="1">
        <v>583</v>
      </c>
      <c r="M896" s="1">
        <v>991</v>
      </c>
      <c r="N896" s="1">
        <v>126</v>
      </c>
      <c r="O896" s="1">
        <v>605</v>
      </c>
      <c r="P896" s="1">
        <v>10</v>
      </c>
      <c r="Q896" s="1">
        <v>552</v>
      </c>
      <c r="R896" s="1">
        <v>310</v>
      </c>
      <c r="S896" s="1">
        <f>SUM(ecommerce_sales_all_data[[#This Row],[sales_month_1]:[sales_month_12]])</f>
        <v>6064</v>
      </c>
      <c r="T896" s="3">
        <f t="shared" si="166"/>
        <v>322943.39999999997</v>
      </c>
      <c r="U896" s="3">
        <f t="shared" si="167"/>
        <v>326300.39999999997</v>
      </c>
      <c r="V896" s="3">
        <f t="shared" si="168"/>
        <v>23499</v>
      </c>
      <c r="W896" s="3">
        <f t="shared" si="169"/>
        <v>166842.9</v>
      </c>
      <c r="X896" s="3">
        <f t="shared" si="170"/>
        <v>129580.2</v>
      </c>
      <c r="Y896" s="3">
        <f t="shared" si="171"/>
        <v>195713.1</v>
      </c>
      <c r="Z896" s="3">
        <f t="shared" si="172"/>
        <v>332678.7</v>
      </c>
      <c r="AA896" s="3">
        <f t="shared" si="173"/>
        <v>42298.2</v>
      </c>
      <c r="AB896" s="3">
        <f t="shared" si="174"/>
        <v>203098.5</v>
      </c>
      <c r="AC896" s="3">
        <f t="shared" si="175"/>
        <v>3357</v>
      </c>
      <c r="AD896" s="3">
        <f t="shared" si="176"/>
        <v>185306.4</v>
      </c>
      <c r="AE896" s="3">
        <f t="shared" si="177"/>
        <v>104067</v>
      </c>
      <c r="AF896" s="3">
        <f>SUM(ecommerce_sales_all_data[[#This Row],[revenue_month_1]:[revenue_month_12]])</f>
        <v>2035684.7999999998</v>
      </c>
    </row>
    <row r="897" spans="1:32" x14ac:dyDescent="0.3">
      <c r="A897">
        <v>896</v>
      </c>
      <c r="B897" t="s">
        <v>920</v>
      </c>
      <c r="C897" t="s">
        <v>29</v>
      </c>
      <c r="D897" s="2">
        <v>106.47</v>
      </c>
      <c r="E897">
        <v>3.9</v>
      </c>
      <c r="F897">
        <v>104</v>
      </c>
      <c r="G897" s="1">
        <v>473</v>
      </c>
      <c r="H897" s="1">
        <v>833</v>
      </c>
      <c r="I897" s="1">
        <v>179</v>
      </c>
      <c r="J897" s="1">
        <v>296</v>
      </c>
      <c r="K897" s="1">
        <v>377</v>
      </c>
      <c r="L897" s="1">
        <v>676</v>
      </c>
      <c r="M897" s="1">
        <v>526</v>
      </c>
      <c r="N897" s="1">
        <v>192</v>
      </c>
      <c r="O897" s="1">
        <v>433</v>
      </c>
      <c r="P897" s="1">
        <v>343</v>
      </c>
      <c r="Q897" s="1">
        <v>981</v>
      </c>
      <c r="R897" s="1">
        <v>406</v>
      </c>
      <c r="S897" s="1">
        <f>SUM(ecommerce_sales_all_data[[#This Row],[sales_month_1]:[sales_month_12]])</f>
        <v>5715</v>
      </c>
      <c r="T897" s="3">
        <f t="shared" si="166"/>
        <v>50360.31</v>
      </c>
      <c r="U897" s="3">
        <f t="shared" si="167"/>
        <v>88689.51</v>
      </c>
      <c r="V897" s="3">
        <f t="shared" si="168"/>
        <v>19058.13</v>
      </c>
      <c r="W897" s="3">
        <f t="shared" si="169"/>
        <v>31515.119999999999</v>
      </c>
      <c r="X897" s="3">
        <f t="shared" si="170"/>
        <v>40139.19</v>
      </c>
      <c r="Y897" s="3">
        <f t="shared" si="171"/>
        <v>71973.72</v>
      </c>
      <c r="Z897" s="3">
        <f t="shared" si="172"/>
        <v>56003.22</v>
      </c>
      <c r="AA897" s="3">
        <f t="shared" si="173"/>
        <v>20442.239999999998</v>
      </c>
      <c r="AB897" s="3">
        <f t="shared" si="174"/>
        <v>46101.51</v>
      </c>
      <c r="AC897" s="3">
        <f t="shared" si="175"/>
        <v>36519.21</v>
      </c>
      <c r="AD897" s="3">
        <f t="shared" si="176"/>
        <v>104447.06999999999</v>
      </c>
      <c r="AE897" s="3">
        <f t="shared" si="177"/>
        <v>43226.82</v>
      </c>
      <c r="AF897" s="3">
        <f>SUM(ecommerce_sales_all_data[[#This Row],[revenue_month_1]:[revenue_month_12]])</f>
        <v>608476.04999999993</v>
      </c>
    </row>
    <row r="898" spans="1:32" x14ac:dyDescent="0.3">
      <c r="A898">
        <v>897</v>
      </c>
      <c r="B898" t="s">
        <v>921</v>
      </c>
      <c r="C898" t="s">
        <v>26</v>
      </c>
      <c r="D898" s="2">
        <v>150.11000000000001</v>
      </c>
      <c r="E898">
        <v>3.5</v>
      </c>
      <c r="F898">
        <v>214</v>
      </c>
      <c r="G898" s="1">
        <v>782</v>
      </c>
      <c r="H898" s="1">
        <v>804</v>
      </c>
      <c r="I898" s="1">
        <v>123</v>
      </c>
      <c r="J898" s="1">
        <v>133</v>
      </c>
      <c r="K898" s="1">
        <v>580</v>
      </c>
      <c r="L898" s="1">
        <v>48</v>
      </c>
      <c r="M898" s="1">
        <v>803</v>
      </c>
      <c r="N898" s="1">
        <v>626</v>
      </c>
      <c r="O898" s="1">
        <v>143</v>
      </c>
      <c r="P898" s="1">
        <v>839</v>
      </c>
      <c r="Q898" s="1">
        <v>697</v>
      </c>
      <c r="R898" s="1">
        <v>801</v>
      </c>
      <c r="S898" s="1">
        <f>SUM(ecommerce_sales_all_data[[#This Row],[sales_month_1]:[sales_month_12]])</f>
        <v>6379</v>
      </c>
      <c r="T898" s="3">
        <f t="shared" ref="T898:T961" si="178">G898*$D898</f>
        <v>117386.02</v>
      </c>
      <c r="U898" s="3">
        <f t="shared" ref="U898:U961" si="179">H898*$D898</f>
        <v>120688.44000000002</v>
      </c>
      <c r="V898" s="3">
        <f t="shared" si="168"/>
        <v>18463.530000000002</v>
      </c>
      <c r="W898" s="3">
        <f t="shared" si="169"/>
        <v>19964.63</v>
      </c>
      <c r="X898" s="3">
        <f t="shared" si="170"/>
        <v>87063.8</v>
      </c>
      <c r="Y898" s="3">
        <f t="shared" si="171"/>
        <v>7205.2800000000007</v>
      </c>
      <c r="Z898" s="3">
        <f t="shared" si="172"/>
        <v>120538.33000000002</v>
      </c>
      <c r="AA898" s="3">
        <f t="shared" si="173"/>
        <v>93968.860000000015</v>
      </c>
      <c r="AB898" s="3">
        <f t="shared" si="174"/>
        <v>21465.730000000003</v>
      </c>
      <c r="AC898" s="3">
        <f t="shared" si="175"/>
        <v>125942.29000000001</v>
      </c>
      <c r="AD898" s="3">
        <f t="shared" si="176"/>
        <v>104626.67000000001</v>
      </c>
      <c r="AE898" s="3">
        <f t="shared" si="177"/>
        <v>120238.11000000002</v>
      </c>
      <c r="AF898" s="3">
        <f>SUM(ecommerce_sales_all_data[[#This Row],[revenue_month_1]:[revenue_month_12]])</f>
        <v>957551.69000000006</v>
      </c>
    </row>
    <row r="899" spans="1:32" x14ac:dyDescent="0.3">
      <c r="A899">
        <v>898</v>
      </c>
      <c r="B899" t="s">
        <v>922</v>
      </c>
      <c r="C899" t="s">
        <v>23</v>
      </c>
      <c r="D899" s="2">
        <v>448.69</v>
      </c>
      <c r="E899">
        <v>1.8</v>
      </c>
      <c r="F899">
        <v>761</v>
      </c>
      <c r="G899" s="1">
        <v>99</v>
      </c>
      <c r="H899" s="1">
        <v>944</v>
      </c>
      <c r="I899" s="1">
        <v>380</v>
      </c>
      <c r="J899" s="1">
        <v>330</v>
      </c>
      <c r="K899" s="1">
        <v>534</v>
      </c>
      <c r="L899" s="1">
        <v>51</v>
      </c>
      <c r="M899" s="1">
        <v>830</v>
      </c>
      <c r="N899" s="1">
        <v>773</v>
      </c>
      <c r="O899" s="1">
        <v>288</v>
      </c>
      <c r="P899" s="1">
        <v>543</v>
      </c>
      <c r="Q899" s="1">
        <v>865</v>
      </c>
      <c r="R899" s="1">
        <v>104</v>
      </c>
      <c r="S899" s="1">
        <f>SUM(ecommerce_sales_all_data[[#This Row],[sales_month_1]:[sales_month_12]])</f>
        <v>5741</v>
      </c>
      <c r="T899" s="3">
        <f t="shared" si="178"/>
        <v>44420.31</v>
      </c>
      <c r="U899" s="3">
        <f t="shared" si="179"/>
        <v>423563.36</v>
      </c>
      <c r="V899" s="3">
        <f t="shared" ref="V899:V962" si="180">I899*$D899</f>
        <v>170502.2</v>
      </c>
      <c r="W899" s="3">
        <f t="shared" ref="W899:W962" si="181">J899*$D899</f>
        <v>148067.70000000001</v>
      </c>
      <c r="X899" s="3">
        <f t="shared" ref="X899:X962" si="182">K899*$D899</f>
        <v>239600.46</v>
      </c>
      <c r="Y899" s="3">
        <f t="shared" ref="Y899:Y962" si="183">L899*$D899</f>
        <v>22883.19</v>
      </c>
      <c r="Z899" s="3">
        <f t="shared" ref="Z899:Z962" si="184">M899*$D899</f>
        <v>372412.7</v>
      </c>
      <c r="AA899" s="3">
        <f t="shared" ref="AA899:AA962" si="185">N899*$D899</f>
        <v>346837.37</v>
      </c>
      <c r="AB899" s="3">
        <f t="shared" ref="AB899:AB962" si="186">O899*$D899</f>
        <v>129222.72</v>
      </c>
      <c r="AC899" s="3">
        <f t="shared" ref="AC899:AC962" si="187">P899*$D899</f>
        <v>243638.67</v>
      </c>
      <c r="AD899" s="3">
        <f t="shared" ref="AD899:AD962" si="188">Q899*$D899</f>
        <v>388116.85</v>
      </c>
      <c r="AE899" s="3">
        <f t="shared" ref="AE899:AE962" si="189">R899*$D899</f>
        <v>46663.76</v>
      </c>
      <c r="AF899" s="3">
        <f>SUM(ecommerce_sales_all_data[[#This Row],[revenue_month_1]:[revenue_month_12]])</f>
        <v>2575929.29</v>
      </c>
    </row>
    <row r="900" spans="1:32" x14ac:dyDescent="0.3">
      <c r="A900">
        <v>899</v>
      </c>
      <c r="B900" t="s">
        <v>923</v>
      </c>
      <c r="C900" t="s">
        <v>19</v>
      </c>
      <c r="D900" s="2">
        <v>11.44</v>
      </c>
      <c r="E900">
        <v>2.4</v>
      </c>
      <c r="F900">
        <v>664</v>
      </c>
      <c r="G900" s="1">
        <v>543</v>
      </c>
      <c r="H900" s="1">
        <v>741</v>
      </c>
      <c r="I900" s="1">
        <v>292</v>
      </c>
      <c r="J900" s="1">
        <v>248</v>
      </c>
      <c r="K900" s="1">
        <v>692</v>
      </c>
      <c r="L900" s="1">
        <v>288</v>
      </c>
      <c r="M900" s="1">
        <v>324</v>
      </c>
      <c r="N900" s="1">
        <v>529</v>
      </c>
      <c r="O900" s="1">
        <v>385</v>
      </c>
      <c r="P900" s="1">
        <v>568</v>
      </c>
      <c r="Q900" s="1">
        <v>891</v>
      </c>
      <c r="R900" s="1">
        <v>616</v>
      </c>
      <c r="S900" s="1">
        <f>SUM(ecommerce_sales_all_data[[#This Row],[sales_month_1]:[sales_month_12]])</f>
        <v>6117</v>
      </c>
      <c r="T900" s="3">
        <f t="shared" si="178"/>
        <v>6211.92</v>
      </c>
      <c r="U900" s="3">
        <f t="shared" si="179"/>
        <v>8477.0399999999991</v>
      </c>
      <c r="V900" s="3">
        <f t="shared" si="180"/>
        <v>3340.48</v>
      </c>
      <c r="W900" s="3">
        <f t="shared" si="181"/>
        <v>2837.12</v>
      </c>
      <c r="X900" s="3">
        <f t="shared" si="182"/>
        <v>7916.48</v>
      </c>
      <c r="Y900" s="3">
        <f t="shared" si="183"/>
        <v>3294.72</v>
      </c>
      <c r="Z900" s="3">
        <f t="shared" si="184"/>
        <v>3706.56</v>
      </c>
      <c r="AA900" s="3">
        <f t="shared" si="185"/>
        <v>6051.7599999999993</v>
      </c>
      <c r="AB900" s="3">
        <f t="shared" si="186"/>
        <v>4404.3999999999996</v>
      </c>
      <c r="AC900" s="3">
        <f t="shared" si="187"/>
        <v>6497.92</v>
      </c>
      <c r="AD900" s="3">
        <f t="shared" si="188"/>
        <v>10193.039999999999</v>
      </c>
      <c r="AE900" s="3">
        <f t="shared" si="189"/>
        <v>7047.04</v>
      </c>
      <c r="AF900" s="3">
        <f>SUM(ecommerce_sales_all_data[[#This Row],[revenue_month_1]:[revenue_month_12]])</f>
        <v>69978.48</v>
      </c>
    </row>
    <row r="901" spans="1:32" x14ac:dyDescent="0.3">
      <c r="A901">
        <v>900</v>
      </c>
      <c r="B901" t="s">
        <v>924</v>
      </c>
      <c r="C901" t="s">
        <v>29</v>
      </c>
      <c r="D901" s="2">
        <v>47.33</v>
      </c>
      <c r="E901">
        <v>4.0999999999999996</v>
      </c>
      <c r="F901">
        <v>762</v>
      </c>
      <c r="G901" s="1">
        <v>863</v>
      </c>
      <c r="H901" s="1">
        <v>833</v>
      </c>
      <c r="I901" s="1">
        <v>796</v>
      </c>
      <c r="J901" s="1">
        <v>549</v>
      </c>
      <c r="K901" s="1">
        <v>292</v>
      </c>
      <c r="L901" s="1">
        <v>789</v>
      </c>
      <c r="M901" s="1">
        <v>213</v>
      </c>
      <c r="N901" s="1">
        <v>9</v>
      </c>
      <c r="O901" s="1">
        <v>13</v>
      </c>
      <c r="P901" s="1">
        <v>165</v>
      </c>
      <c r="Q901" s="1">
        <v>846</v>
      </c>
      <c r="R901" s="1">
        <v>836</v>
      </c>
      <c r="S901" s="1">
        <f>SUM(ecommerce_sales_all_data[[#This Row],[sales_month_1]:[sales_month_12]])</f>
        <v>6204</v>
      </c>
      <c r="T901" s="3">
        <f t="shared" si="178"/>
        <v>40845.79</v>
      </c>
      <c r="U901" s="3">
        <f t="shared" si="179"/>
        <v>39425.89</v>
      </c>
      <c r="V901" s="3">
        <f t="shared" si="180"/>
        <v>37674.68</v>
      </c>
      <c r="W901" s="3">
        <f t="shared" si="181"/>
        <v>25984.17</v>
      </c>
      <c r="X901" s="3">
        <f t="shared" si="182"/>
        <v>13820.359999999999</v>
      </c>
      <c r="Y901" s="3">
        <f t="shared" si="183"/>
        <v>37343.369999999995</v>
      </c>
      <c r="Z901" s="3">
        <f t="shared" si="184"/>
        <v>10081.289999999999</v>
      </c>
      <c r="AA901" s="3">
        <f t="shared" si="185"/>
        <v>425.96999999999997</v>
      </c>
      <c r="AB901" s="3">
        <f t="shared" si="186"/>
        <v>615.29</v>
      </c>
      <c r="AC901" s="3">
        <f t="shared" si="187"/>
        <v>7809.45</v>
      </c>
      <c r="AD901" s="3">
        <f t="shared" si="188"/>
        <v>40041.18</v>
      </c>
      <c r="AE901" s="3">
        <f t="shared" si="189"/>
        <v>39567.879999999997</v>
      </c>
      <c r="AF901" s="3">
        <f>SUM(ecommerce_sales_all_data[[#This Row],[revenue_month_1]:[revenue_month_12]])</f>
        <v>293635.31999999995</v>
      </c>
    </row>
    <row r="902" spans="1:32" x14ac:dyDescent="0.3">
      <c r="A902">
        <v>901</v>
      </c>
      <c r="B902" t="s">
        <v>925</v>
      </c>
      <c r="C902" t="s">
        <v>48</v>
      </c>
      <c r="D902" s="2">
        <v>107.9</v>
      </c>
      <c r="E902">
        <v>3.2</v>
      </c>
      <c r="F902">
        <v>787</v>
      </c>
      <c r="G902" s="1">
        <v>127</v>
      </c>
      <c r="H902" s="1">
        <v>803</v>
      </c>
      <c r="I902" s="1">
        <v>194</v>
      </c>
      <c r="J902" s="1">
        <v>901</v>
      </c>
      <c r="K902" s="1">
        <v>8</v>
      </c>
      <c r="L902" s="1">
        <v>625</v>
      </c>
      <c r="M902" s="1">
        <v>207</v>
      </c>
      <c r="N902" s="1">
        <v>91</v>
      </c>
      <c r="O902" s="1">
        <v>256</v>
      </c>
      <c r="P902" s="1">
        <v>699</v>
      </c>
      <c r="Q902" s="1">
        <v>777</v>
      </c>
      <c r="R902" s="1">
        <v>14</v>
      </c>
      <c r="S902" s="1">
        <f>SUM(ecommerce_sales_all_data[[#This Row],[sales_month_1]:[sales_month_12]])</f>
        <v>4702</v>
      </c>
      <c r="T902" s="3">
        <f t="shared" si="178"/>
        <v>13703.300000000001</v>
      </c>
      <c r="U902" s="3">
        <f t="shared" si="179"/>
        <v>86643.700000000012</v>
      </c>
      <c r="V902" s="3">
        <f t="shared" si="180"/>
        <v>20932.600000000002</v>
      </c>
      <c r="W902" s="3">
        <f t="shared" si="181"/>
        <v>97217.900000000009</v>
      </c>
      <c r="X902" s="3">
        <f t="shared" si="182"/>
        <v>863.2</v>
      </c>
      <c r="Y902" s="3">
        <f t="shared" si="183"/>
        <v>67437.5</v>
      </c>
      <c r="Z902" s="3">
        <f t="shared" si="184"/>
        <v>22335.300000000003</v>
      </c>
      <c r="AA902" s="3">
        <f t="shared" si="185"/>
        <v>9818.9</v>
      </c>
      <c r="AB902" s="3">
        <f t="shared" si="186"/>
        <v>27622.400000000001</v>
      </c>
      <c r="AC902" s="3">
        <f t="shared" si="187"/>
        <v>75422.100000000006</v>
      </c>
      <c r="AD902" s="3">
        <f t="shared" si="188"/>
        <v>83838.3</v>
      </c>
      <c r="AE902" s="3">
        <f t="shared" si="189"/>
        <v>1510.6000000000001</v>
      </c>
      <c r="AF902" s="3">
        <f>SUM(ecommerce_sales_all_data[[#This Row],[revenue_month_1]:[revenue_month_12]])</f>
        <v>507345.8000000001</v>
      </c>
    </row>
    <row r="903" spans="1:32" x14ac:dyDescent="0.3">
      <c r="A903">
        <v>902</v>
      </c>
      <c r="B903" t="s">
        <v>926</v>
      </c>
      <c r="C903" t="s">
        <v>19</v>
      </c>
      <c r="D903" s="2">
        <v>18.13</v>
      </c>
      <c r="E903">
        <v>1</v>
      </c>
      <c r="F903">
        <v>165</v>
      </c>
      <c r="G903" s="1">
        <v>451</v>
      </c>
      <c r="H903" s="1">
        <v>437</v>
      </c>
      <c r="I903" s="1">
        <v>910</v>
      </c>
      <c r="J903" s="1">
        <v>940</v>
      </c>
      <c r="K903" s="1">
        <v>270</v>
      </c>
      <c r="L903" s="1">
        <v>238</v>
      </c>
      <c r="M903" s="1">
        <v>168</v>
      </c>
      <c r="N903" s="1">
        <v>138</v>
      </c>
      <c r="O903" s="1">
        <v>345</v>
      </c>
      <c r="P903" s="1">
        <v>341</v>
      </c>
      <c r="Q903" s="1">
        <v>782</v>
      </c>
      <c r="R903" s="1">
        <v>686</v>
      </c>
      <c r="S903" s="1">
        <f>SUM(ecommerce_sales_all_data[[#This Row],[sales_month_1]:[sales_month_12]])</f>
        <v>5706</v>
      </c>
      <c r="T903" s="3">
        <f t="shared" si="178"/>
        <v>8176.6299999999992</v>
      </c>
      <c r="U903" s="3">
        <f t="shared" si="179"/>
        <v>7922.8099999999995</v>
      </c>
      <c r="V903" s="3">
        <f t="shared" si="180"/>
        <v>16498.3</v>
      </c>
      <c r="W903" s="3">
        <f t="shared" si="181"/>
        <v>17042.2</v>
      </c>
      <c r="X903" s="3">
        <f t="shared" si="182"/>
        <v>4895.0999999999995</v>
      </c>
      <c r="Y903" s="3">
        <f t="shared" si="183"/>
        <v>4314.9399999999996</v>
      </c>
      <c r="Z903" s="3">
        <f t="shared" si="184"/>
        <v>3045.8399999999997</v>
      </c>
      <c r="AA903" s="3">
        <f t="shared" si="185"/>
        <v>2501.94</v>
      </c>
      <c r="AB903" s="3">
        <f t="shared" si="186"/>
        <v>6254.8499999999995</v>
      </c>
      <c r="AC903" s="3">
        <f t="shared" si="187"/>
        <v>6182.33</v>
      </c>
      <c r="AD903" s="3">
        <f t="shared" si="188"/>
        <v>14177.66</v>
      </c>
      <c r="AE903" s="3">
        <f t="shared" si="189"/>
        <v>12437.179999999998</v>
      </c>
      <c r="AF903" s="3">
        <f>SUM(ecommerce_sales_all_data[[#This Row],[revenue_month_1]:[revenue_month_12]])</f>
        <v>103449.78</v>
      </c>
    </row>
    <row r="904" spans="1:32" x14ac:dyDescent="0.3">
      <c r="A904">
        <v>903</v>
      </c>
      <c r="B904" t="s">
        <v>927</v>
      </c>
      <c r="C904" t="s">
        <v>48</v>
      </c>
      <c r="D904" s="2">
        <v>94.81</v>
      </c>
      <c r="E904">
        <v>4</v>
      </c>
      <c r="F904">
        <v>999</v>
      </c>
      <c r="G904" s="1">
        <v>913</v>
      </c>
      <c r="H904" s="1">
        <v>537</v>
      </c>
      <c r="I904" s="1">
        <v>227</v>
      </c>
      <c r="J904" s="1">
        <v>74</v>
      </c>
      <c r="K904" s="1">
        <v>386</v>
      </c>
      <c r="L904" s="1">
        <v>132</v>
      </c>
      <c r="M904" s="1">
        <v>329</v>
      </c>
      <c r="N904" s="1">
        <v>480</v>
      </c>
      <c r="O904" s="1">
        <v>697</v>
      </c>
      <c r="P904" s="1">
        <v>481</v>
      </c>
      <c r="Q904" s="1">
        <v>41</v>
      </c>
      <c r="R904" s="1">
        <v>258</v>
      </c>
      <c r="S904" s="1">
        <f>SUM(ecommerce_sales_all_data[[#This Row],[sales_month_1]:[sales_month_12]])</f>
        <v>4555</v>
      </c>
      <c r="T904" s="3">
        <f t="shared" si="178"/>
        <v>86561.53</v>
      </c>
      <c r="U904" s="3">
        <f t="shared" si="179"/>
        <v>50912.97</v>
      </c>
      <c r="V904" s="3">
        <f t="shared" si="180"/>
        <v>21521.87</v>
      </c>
      <c r="W904" s="3">
        <f t="shared" si="181"/>
        <v>7015.9400000000005</v>
      </c>
      <c r="X904" s="3">
        <f t="shared" si="182"/>
        <v>36596.660000000003</v>
      </c>
      <c r="Y904" s="3">
        <f t="shared" si="183"/>
        <v>12514.92</v>
      </c>
      <c r="Z904" s="3">
        <f t="shared" si="184"/>
        <v>31192.49</v>
      </c>
      <c r="AA904" s="3">
        <f t="shared" si="185"/>
        <v>45508.800000000003</v>
      </c>
      <c r="AB904" s="3">
        <f t="shared" si="186"/>
        <v>66082.570000000007</v>
      </c>
      <c r="AC904" s="3">
        <f t="shared" si="187"/>
        <v>45603.61</v>
      </c>
      <c r="AD904" s="3">
        <f t="shared" si="188"/>
        <v>3887.21</v>
      </c>
      <c r="AE904" s="3">
        <f t="shared" si="189"/>
        <v>24460.98</v>
      </c>
      <c r="AF904" s="3">
        <f>SUM(ecommerce_sales_all_data[[#This Row],[revenue_month_1]:[revenue_month_12]])</f>
        <v>431859.55</v>
      </c>
    </row>
    <row r="905" spans="1:32" x14ac:dyDescent="0.3">
      <c r="A905">
        <v>904</v>
      </c>
      <c r="B905" t="s">
        <v>928</v>
      </c>
      <c r="C905" t="s">
        <v>21</v>
      </c>
      <c r="D905" s="2">
        <v>293.61</v>
      </c>
      <c r="E905">
        <v>1.1000000000000001</v>
      </c>
      <c r="F905">
        <v>853</v>
      </c>
      <c r="G905" s="1">
        <v>368</v>
      </c>
      <c r="H905" s="1">
        <v>586</v>
      </c>
      <c r="I905" s="1">
        <v>430</v>
      </c>
      <c r="J905" s="1">
        <v>653</v>
      </c>
      <c r="K905" s="1">
        <v>92</v>
      </c>
      <c r="L905" s="1">
        <v>998</v>
      </c>
      <c r="M905" s="1">
        <v>279</v>
      </c>
      <c r="N905" s="1">
        <v>448</v>
      </c>
      <c r="O905" s="1">
        <v>344</v>
      </c>
      <c r="P905" s="1">
        <v>18</v>
      </c>
      <c r="Q905" s="1">
        <v>92</v>
      </c>
      <c r="R905" s="1">
        <v>722</v>
      </c>
      <c r="S905" s="1">
        <f>SUM(ecommerce_sales_all_data[[#This Row],[sales_month_1]:[sales_month_12]])</f>
        <v>5030</v>
      </c>
      <c r="T905" s="3">
        <f t="shared" si="178"/>
        <v>108048.48000000001</v>
      </c>
      <c r="U905" s="3">
        <f t="shared" si="179"/>
        <v>172055.46000000002</v>
      </c>
      <c r="V905" s="3">
        <f t="shared" si="180"/>
        <v>126252.3</v>
      </c>
      <c r="W905" s="3">
        <f t="shared" si="181"/>
        <v>191727.33000000002</v>
      </c>
      <c r="X905" s="3">
        <f t="shared" si="182"/>
        <v>27012.120000000003</v>
      </c>
      <c r="Y905" s="3">
        <f t="shared" si="183"/>
        <v>293022.78000000003</v>
      </c>
      <c r="Z905" s="3">
        <f t="shared" si="184"/>
        <v>81917.19</v>
      </c>
      <c r="AA905" s="3">
        <f t="shared" si="185"/>
        <v>131537.28</v>
      </c>
      <c r="AB905" s="3">
        <f t="shared" si="186"/>
        <v>101001.84000000001</v>
      </c>
      <c r="AC905" s="3">
        <f t="shared" si="187"/>
        <v>5284.9800000000005</v>
      </c>
      <c r="AD905" s="3">
        <f t="shared" si="188"/>
        <v>27012.120000000003</v>
      </c>
      <c r="AE905" s="3">
        <f t="shared" si="189"/>
        <v>211986.42</v>
      </c>
      <c r="AF905" s="3">
        <f>SUM(ecommerce_sales_all_data[[#This Row],[revenue_month_1]:[revenue_month_12]])</f>
        <v>1476858.3000000003</v>
      </c>
    </row>
    <row r="906" spans="1:32" x14ac:dyDescent="0.3">
      <c r="A906">
        <v>905</v>
      </c>
      <c r="B906" t="s">
        <v>929</v>
      </c>
      <c r="C906" t="s">
        <v>48</v>
      </c>
      <c r="D906" s="2">
        <v>213.61</v>
      </c>
      <c r="E906">
        <v>4</v>
      </c>
      <c r="F906">
        <v>520</v>
      </c>
      <c r="G906" s="1">
        <v>850</v>
      </c>
      <c r="H906" s="1">
        <v>967</v>
      </c>
      <c r="I906" s="1">
        <v>941</v>
      </c>
      <c r="J906" s="1">
        <v>833</v>
      </c>
      <c r="K906" s="1">
        <v>965</v>
      </c>
      <c r="L906" s="1">
        <v>785</v>
      </c>
      <c r="M906" s="1">
        <v>977</v>
      </c>
      <c r="N906" s="1">
        <v>332</v>
      </c>
      <c r="O906" s="1">
        <v>399</v>
      </c>
      <c r="P906" s="1">
        <v>627</v>
      </c>
      <c r="Q906" s="1">
        <v>696</v>
      </c>
      <c r="R906" s="1">
        <v>411</v>
      </c>
      <c r="S906" s="1">
        <f>SUM(ecommerce_sales_all_data[[#This Row],[sales_month_1]:[sales_month_12]])</f>
        <v>8783</v>
      </c>
      <c r="T906" s="3">
        <f t="shared" si="178"/>
        <v>181568.5</v>
      </c>
      <c r="U906" s="3">
        <f t="shared" si="179"/>
        <v>206560.87000000002</v>
      </c>
      <c r="V906" s="3">
        <f t="shared" si="180"/>
        <v>201007.01</v>
      </c>
      <c r="W906" s="3">
        <f t="shared" si="181"/>
        <v>177937.13</v>
      </c>
      <c r="X906" s="3">
        <f t="shared" si="182"/>
        <v>206133.65000000002</v>
      </c>
      <c r="Y906" s="3">
        <f t="shared" si="183"/>
        <v>167683.85</v>
      </c>
      <c r="Z906" s="3">
        <f t="shared" si="184"/>
        <v>208696.97</v>
      </c>
      <c r="AA906" s="3">
        <f t="shared" si="185"/>
        <v>70918.52</v>
      </c>
      <c r="AB906" s="3">
        <f t="shared" si="186"/>
        <v>85230.39</v>
      </c>
      <c r="AC906" s="3">
        <f t="shared" si="187"/>
        <v>133933.47</v>
      </c>
      <c r="AD906" s="3">
        <f t="shared" si="188"/>
        <v>148672.56</v>
      </c>
      <c r="AE906" s="3">
        <f t="shared" si="189"/>
        <v>87793.71</v>
      </c>
      <c r="AF906" s="3">
        <f>SUM(ecommerce_sales_all_data[[#This Row],[revenue_month_1]:[revenue_month_12]])</f>
        <v>1876136.63</v>
      </c>
    </row>
    <row r="907" spans="1:32" x14ac:dyDescent="0.3">
      <c r="A907">
        <v>906</v>
      </c>
      <c r="B907" t="s">
        <v>930</v>
      </c>
      <c r="C907" t="s">
        <v>29</v>
      </c>
      <c r="D907" s="2">
        <v>446.87</v>
      </c>
      <c r="E907">
        <v>1.8</v>
      </c>
      <c r="F907">
        <v>284</v>
      </c>
      <c r="G907" s="1">
        <v>42</v>
      </c>
      <c r="H907" s="1">
        <v>875</v>
      </c>
      <c r="I907" s="1">
        <v>435</v>
      </c>
      <c r="J907" s="1">
        <v>167</v>
      </c>
      <c r="K907" s="1">
        <v>528</v>
      </c>
      <c r="L907" s="1">
        <v>165</v>
      </c>
      <c r="M907" s="1">
        <v>304</v>
      </c>
      <c r="N907" s="1">
        <v>868</v>
      </c>
      <c r="O907" s="1">
        <v>206</v>
      </c>
      <c r="P907" s="1">
        <v>979</v>
      </c>
      <c r="Q907" s="1">
        <v>726</v>
      </c>
      <c r="R907" s="1">
        <v>258</v>
      </c>
      <c r="S907" s="1">
        <f>SUM(ecommerce_sales_all_data[[#This Row],[sales_month_1]:[sales_month_12]])</f>
        <v>5553</v>
      </c>
      <c r="T907" s="3">
        <f t="shared" si="178"/>
        <v>18768.54</v>
      </c>
      <c r="U907" s="3">
        <f t="shared" si="179"/>
        <v>391011.25</v>
      </c>
      <c r="V907" s="3">
        <f t="shared" si="180"/>
        <v>194388.45</v>
      </c>
      <c r="W907" s="3">
        <f t="shared" si="181"/>
        <v>74627.289999999994</v>
      </c>
      <c r="X907" s="3">
        <f t="shared" si="182"/>
        <v>235947.36000000002</v>
      </c>
      <c r="Y907" s="3">
        <f t="shared" si="183"/>
        <v>73733.55</v>
      </c>
      <c r="Z907" s="3">
        <f t="shared" si="184"/>
        <v>135848.48000000001</v>
      </c>
      <c r="AA907" s="3">
        <f t="shared" si="185"/>
        <v>387883.16000000003</v>
      </c>
      <c r="AB907" s="3">
        <f t="shared" si="186"/>
        <v>92055.22</v>
      </c>
      <c r="AC907" s="3">
        <f t="shared" si="187"/>
        <v>437485.73</v>
      </c>
      <c r="AD907" s="3">
        <f t="shared" si="188"/>
        <v>324427.62</v>
      </c>
      <c r="AE907" s="3">
        <f t="shared" si="189"/>
        <v>115292.46</v>
      </c>
      <c r="AF907" s="3">
        <f>SUM(ecommerce_sales_all_data[[#This Row],[revenue_month_1]:[revenue_month_12]])</f>
        <v>2481469.11</v>
      </c>
    </row>
    <row r="908" spans="1:32" x14ac:dyDescent="0.3">
      <c r="A908">
        <v>907</v>
      </c>
      <c r="B908" t="s">
        <v>931</v>
      </c>
      <c r="C908" t="s">
        <v>26</v>
      </c>
      <c r="D908" s="2">
        <v>409.63</v>
      </c>
      <c r="E908">
        <v>4.8</v>
      </c>
      <c r="F908">
        <v>517</v>
      </c>
      <c r="G908" s="1">
        <v>883</v>
      </c>
      <c r="H908" s="1">
        <v>935</v>
      </c>
      <c r="I908" s="1">
        <v>786</v>
      </c>
      <c r="J908" s="1">
        <v>770</v>
      </c>
      <c r="K908" s="1">
        <v>153</v>
      </c>
      <c r="L908" s="1">
        <v>373</v>
      </c>
      <c r="M908" s="1">
        <v>145</v>
      </c>
      <c r="N908" s="1">
        <v>339</v>
      </c>
      <c r="O908" s="1">
        <v>857</v>
      </c>
      <c r="P908" s="1">
        <v>183</v>
      </c>
      <c r="Q908" s="1">
        <v>506</v>
      </c>
      <c r="R908" s="1">
        <v>613</v>
      </c>
      <c r="S908" s="1">
        <f>SUM(ecommerce_sales_all_data[[#This Row],[sales_month_1]:[sales_month_12]])</f>
        <v>6543</v>
      </c>
      <c r="T908" s="3">
        <f t="shared" si="178"/>
        <v>361703.29</v>
      </c>
      <c r="U908" s="3">
        <f t="shared" si="179"/>
        <v>383004.05</v>
      </c>
      <c r="V908" s="3">
        <f t="shared" si="180"/>
        <v>321969.18</v>
      </c>
      <c r="W908" s="3">
        <f t="shared" si="181"/>
        <v>315415.09999999998</v>
      </c>
      <c r="X908" s="3">
        <f t="shared" si="182"/>
        <v>62673.39</v>
      </c>
      <c r="Y908" s="3">
        <f t="shared" si="183"/>
        <v>152791.99</v>
      </c>
      <c r="Z908" s="3">
        <f t="shared" si="184"/>
        <v>59396.35</v>
      </c>
      <c r="AA908" s="3">
        <f t="shared" si="185"/>
        <v>138864.57</v>
      </c>
      <c r="AB908" s="3">
        <f t="shared" si="186"/>
        <v>351052.91</v>
      </c>
      <c r="AC908" s="3">
        <f t="shared" si="187"/>
        <v>74962.289999999994</v>
      </c>
      <c r="AD908" s="3">
        <f t="shared" si="188"/>
        <v>207272.78</v>
      </c>
      <c r="AE908" s="3">
        <f t="shared" si="189"/>
        <v>251103.19</v>
      </c>
      <c r="AF908" s="3">
        <f>SUM(ecommerce_sales_all_data[[#This Row],[revenue_month_1]:[revenue_month_12]])</f>
        <v>2680209.09</v>
      </c>
    </row>
    <row r="909" spans="1:32" x14ac:dyDescent="0.3">
      <c r="A909">
        <v>908</v>
      </c>
      <c r="B909" t="s">
        <v>932</v>
      </c>
      <c r="C909" t="s">
        <v>21</v>
      </c>
      <c r="D909" s="2">
        <v>174.2</v>
      </c>
      <c r="E909">
        <v>2.5</v>
      </c>
      <c r="F909">
        <v>657</v>
      </c>
      <c r="G909" s="1">
        <v>418</v>
      </c>
      <c r="H909" s="1">
        <v>810</v>
      </c>
      <c r="I909" s="1">
        <v>460</v>
      </c>
      <c r="J909" s="1">
        <v>502</v>
      </c>
      <c r="K909" s="1">
        <v>404</v>
      </c>
      <c r="L909" s="1">
        <v>372</v>
      </c>
      <c r="M909" s="1">
        <v>774</v>
      </c>
      <c r="N909" s="1">
        <v>960</v>
      </c>
      <c r="O909" s="1">
        <v>942</v>
      </c>
      <c r="P909" s="1">
        <v>781</v>
      </c>
      <c r="Q909" s="1">
        <v>528</v>
      </c>
      <c r="R909" s="1">
        <v>259</v>
      </c>
      <c r="S909" s="1">
        <f>SUM(ecommerce_sales_all_data[[#This Row],[sales_month_1]:[sales_month_12]])</f>
        <v>7210</v>
      </c>
      <c r="T909" s="3">
        <f t="shared" si="178"/>
        <v>72815.599999999991</v>
      </c>
      <c r="U909" s="3">
        <f t="shared" si="179"/>
        <v>141102</v>
      </c>
      <c r="V909" s="3">
        <f t="shared" si="180"/>
        <v>80132</v>
      </c>
      <c r="W909" s="3">
        <f t="shared" si="181"/>
        <v>87448.4</v>
      </c>
      <c r="X909" s="3">
        <f t="shared" si="182"/>
        <v>70376.799999999988</v>
      </c>
      <c r="Y909" s="3">
        <f t="shared" si="183"/>
        <v>64802.399999999994</v>
      </c>
      <c r="Z909" s="3">
        <f t="shared" si="184"/>
        <v>134830.79999999999</v>
      </c>
      <c r="AA909" s="3">
        <f t="shared" si="185"/>
        <v>167232</v>
      </c>
      <c r="AB909" s="3">
        <f t="shared" si="186"/>
        <v>164096.4</v>
      </c>
      <c r="AC909" s="3">
        <f t="shared" si="187"/>
        <v>136050.19999999998</v>
      </c>
      <c r="AD909" s="3">
        <f t="shared" si="188"/>
        <v>91977.599999999991</v>
      </c>
      <c r="AE909" s="3">
        <f t="shared" si="189"/>
        <v>45117.799999999996</v>
      </c>
      <c r="AF909" s="3">
        <f>SUM(ecommerce_sales_all_data[[#This Row],[revenue_month_1]:[revenue_month_12]])</f>
        <v>1255982.0000000002</v>
      </c>
    </row>
    <row r="910" spans="1:32" x14ac:dyDescent="0.3">
      <c r="A910">
        <v>909</v>
      </c>
      <c r="B910" t="s">
        <v>933</v>
      </c>
      <c r="C910" t="s">
        <v>23</v>
      </c>
      <c r="D910" s="2">
        <v>133.41</v>
      </c>
      <c r="E910">
        <v>2.2999999999999998</v>
      </c>
      <c r="F910">
        <v>613</v>
      </c>
      <c r="G910" s="1">
        <v>487</v>
      </c>
      <c r="H910" s="1">
        <v>149</v>
      </c>
      <c r="I910" s="1">
        <v>617</v>
      </c>
      <c r="J910" s="1">
        <v>884</v>
      </c>
      <c r="K910" s="1">
        <v>839</v>
      </c>
      <c r="L910" s="1">
        <v>804</v>
      </c>
      <c r="M910" s="1">
        <v>515</v>
      </c>
      <c r="N910" s="1">
        <v>51</v>
      </c>
      <c r="O910" s="1">
        <v>171</v>
      </c>
      <c r="P910" s="1">
        <v>544</v>
      </c>
      <c r="Q910" s="1">
        <v>955</v>
      </c>
      <c r="R910" s="1">
        <v>855</v>
      </c>
      <c r="S910" s="1">
        <f>SUM(ecommerce_sales_all_data[[#This Row],[sales_month_1]:[sales_month_12]])</f>
        <v>6871</v>
      </c>
      <c r="T910" s="3">
        <f t="shared" si="178"/>
        <v>64970.67</v>
      </c>
      <c r="U910" s="3">
        <f t="shared" si="179"/>
        <v>19878.09</v>
      </c>
      <c r="V910" s="3">
        <f t="shared" si="180"/>
        <v>82313.97</v>
      </c>
      <c r="W910" s="3">
        <f t="shared" si="181"/>
        <v>117934.44</v>
      </c>
      <c r="X910" s="3">
        <f t="shared" si="182"/>
        <v>111930.98999999999</v>
      </c>
      <c r="Y910" s="3">
        <f t="shared" si="183"/>
        <v>107261.64</v>
      </c>
      <c r="Z910" s="3">
        <f t="shared" si="184"/>
        <v>68706.149999999994</v>
      </c>
      <c r="AA910" s="3">
        <f t="shared" si="185"/>
        <v>6803.91</v>
      </c>
      <c r="AB910" s="3">
        <f t="shared" si="186"/>
        <v>22813.11</v>
      </c>
      <c r="AC910" s="3">
        <f t="shared" si="187"/>
        <v>72575.039999999994</v>
      </c>
      <c r="AD910" s="3">
        <f t="shared" si="188"/>
        <v>127406.55</v>
      </c>
      <c r="AE910" s="3">
        <f t="shared" si="189"/>
        <v>114065.55</v>
      </c>
      <c r="AF910" s="3">
        <f>SUM(ecommerce_sales_all_data[[#This Row],[revenue_month_1]:[revenue_month_12]])</f>
        <v>916660.1100000001</v>
      </c>
    </row>
    <row r="911" spans="1:32" x14ac:dyDescent="0.3">
      <c r="A911">
        <v>910</v>
      </c>
      <c r="B911" t="s">
        <v>934</v>
      </c>
      <c r="C911" t="s">
        <v>19</v>
      </c>
      <c r="D911" s="2">
        <v>192.95</v>
      </c>
      <c r="E911">
        <v>1.6</v>
      </c>
      <c r="F911">
        <v>164</v>
      </c>
      <c r="G911" s="1">
        <v>77</v>
      </c>
      <c r="H911" s="1">
        <v>659</v>
      </c>
      <c r="I911" s="1">
        <v>20</v>
      </c>
      <c r="J911" s="1">
        <v>354</v>
      </c>
      <c r="K911" s="1">
        <v>148</v>
      </c>
      <c r="L911" s="1">
        <v>477</v>
      </c>
      <c r="M911" s="1">
        <v>89</v>
      </c>
      <c r="N911" s="1">
        <v>706</v>
      </c>
      <c r="O911" s="1">
        <v>463</v>
      </c>
      <c r="P911" s="1">
        <v>9</v>
      </c>
      <c r="Q911" s="1">
        <v>264</v>
      </c>
      <c r="R911" s="1">
        <v>670</v>
      </c>
      <c r="S911" s="1">
        <f>SUM(ecommerce_sales_all_data[[#This Row],[sales_month_1]:[sales_month_12]])</f>
        <v>3936</v>
      </c>
      <c r="T911" s="3">
        <f t="shared" si="178"/>
        <v>14857.15</v>
      </c>
      <c r="U911" s="3">
        <f t="shared" si="179"/>
        <v>127154.04999999999</v>
      </c>
      <c r="V911" s="3">
        <f t="shared" si="180"/>
        <v>3859</v>
      </c>
      <c r="W911" s="3">
        <f t="shared" si="181"/>
        <v>68304.3</v>
      </c>
      <c r="X911" s="3">
        <f t="shared" si="182"/>
        <v>28556.6</v>
      </c>
      <c r="Y911" s="3">
        <f t="shared" si="183"/>
        <v>92037.15</v>
      </c>
      <c r="Z911" s="3">
        <f t="shared" si="184"/>
        <v>17172.55</v>
      </c>
      <c r="AA911" s="3">
        <f t="shared" si="185"/>
        <v>136222.69999999998</v>
      </c>
      <c r="AB911" s="3">
        <f t="shared" si="186"/>
        <v>89335.849999999991</v>
      </c>
      <c r="AC911" s="3">
        <f t="shared" si="187"/>
        <v>1736.55</v>
      </c>
      <c r="AD911" s="3">
        <f t="shared" si="188"/>
        <v>50938.799999999996</v>
      </c>
      <c r="AE911" s="3">
        <f t="shared" si="189"/>
        <v>129276.49999999999</v>
      </c>
      <c r="AF911" s="3">
        <f>SUM(ecommerce_sales_all_data[[#This Row],[revenue_month_1]:[revenue_month_12]])</f>
        <v>759451.20000000007</v>
      </c>
    </row>
    <row r="912" spans="1:32" x14ac:dyDescent="0.3">
      <c r="A912">
        <v>911</v>
      </c>
      <c r="B912" t="s">
        <v>935</v>
      </c>
      <c r="C912" t="s">
        <v>29</v>
      </c>
      <c r="D912" s="2">
        <v>297.2</v>
      </c>
      <c r="E912">
        <v>2.2000000000000002</v>
      </c>
      <c r="F912">
        <v>886</v>
      </c>
      <c r="G912" s="1">
        <v>825</v>
      </c>
      <c r="H912" s="1">
        <v>7</v>
      </c>
      <c r="I912" s="1">
        <v>63</v>
      </c>
      <c r="J912" s="1">
        <v>224</v>
      </c>
      <c r="K912" s="1">
        <v>888</v>
      </c>
      <c r="L912" s="1">
        <v>754</v>
      </c>
      <c r="M912" s="1">
        <v>452</v>
      </c>
      <c r="N912" s="1">
        <v>465</v>
      </c>
      <c r="O912" s="1">
        <v>269</v>
      </c>
      <c r="P912" s="1">
        <v>591</v>
      </c>
      <c r="Q912" s="1">
        <v>625</v>
      </c>
      <c r="R912" s="1">
        <v>44</v>
      </c>
      <c r="S912" s="1">
        <f>SUM(ecommerce_sales_all_data[[#This Row],[sales_month_1]:[sales_month_12]])</f>
        <v>5207</v>
      </c>
      <c r="T912" s="3">
        <f t="shared" si="178"/>
        <v>245190</v>
      </c>
      <c r="U912" s="3">
        <f t="shared" si="179"/>
        <v>2080.4</v>
      </c>
      <c r="V912" s="3">
        <f t="shared" si="180"/>
        <v>18723.599999999999</v>
      </c>
      <c r="W912" s="3">
        <f t="shared" si="181"/>
        <v>66572.800000000003</v>
      </c>
      <c r="X912" s="3">
        <f t="shared" si="182"/>
        <v>263913.59999999998</v>
      </c>
      <c r="Y912" s="3">
        <f t="shared" si="183"/>
        <v>224088.8</v>
      </c>
      <c r="Z912" s="3">
        <f t="shared" si="184"/>
        <v>134334.39999999999</v>
      </c>
      <c r="AA912" s="3">
        <f t="shared" si="185"/>
        <v>138198</v>
      </c>
      <c r="AB912" s="3">
        <f t="shared" si="186"/>
        <v>79946.8</v>
      </c>
      <c r="AC912" s="3">
        <f t="shared" si="187"/>
        <v>175645.19999999998</v>
      </c>
      <c r="AD912" s="3">
        <f t="shared" si="188"/>
        <v>185750</v>
      </c>
      <c r="AE912" s="3">
        <f t="shared" si="189"/>
        <v>13076.8</v>
      </c>
      <c r="AF912" s="3">
        <f>SUM(ecommerce_sales_all_data[[#This Row],[revenue_month_1]:[revenue_month_12]])</f>
        <v>1547520.4000000001</v>
      </c>
    </row>
    <row r="913" spans="1:32" x14ac:dyDescent="0.3">
      <c r="A913">
        <v>912</v>
      </c>
      <c r="B913" t="s">
        <v>936</v>
      </c>
      <c r="C913" t="s">
        <v>21</v>
      </c>
      <c r="D913" s="2">
        <v>137.69</v>
      </c>
      <c r="E913">
        <v>4.5</v>
      </c>
      <c r="F913">
        <v>659</v>
      </c>
      <c r="G913" s="1">
        <v>800</v>
      </c>
      <c r="H913" s="1">
        <v>28</v>
      </c>
      <c r="I913" s="1">
        <v>164</v>
      </c>
      <c r="J913" s="1">
        <v>663</v>
      </c>
      <c r="K913" s="1">
        <v>266</v>
      </c>
      <c r="L913" s="1">
        <v>478</v>
      </c>
      <c r="M913" s="1">
        <v>59</v>
      </c>
      <c r="N913" s="1">
        <v>1000</v>
      </c>
      <c r="O913" s="1">
        <v>220</v>
      </c>
      <c r="P913" s="1">
        <v>191</v>
      </c>
      <c r="Q913" s="1">
        <v>291</v>
      </c>
      <c r="R913" s="1">
        <v>954</v>
      </c>
      <c r="S913" s="1">
        <f>SUM(ecommerce_sales_all_data[[#This Row],[sales_month_1]:[sales_month_12]])</f>
        <v>5114</v>
      </c>
      <c r="T913" s="3">
        <f t="shared" si="178"/>
        <v>110152</v>
      </c>
      <c r="U913" s="3">
        <f t="shared" si="179"/>
        <v>3855.3199999999997</v>
      </c>
      <c r="V913" s="3">
        <f t="shared" si="180"/>
        <v>22581.16</v>
      </c>
      <c r="W913" s="3">
        <f t="shared" si="181"/>
        <v>91288.47</v>
      </c>
      <c r="X913" s="3">
        <f t="shared" si="182"/>
        <v>36625.54</v>
      </c>
      <c r="Y913" s="3">
        <f t="shared" si="183"/>
        <v>65815.819999999992</v>
      </c>
      <c r="Z913" s="3">
        <f t="shared" si="184"/>
        <v>8123.71</v>
      </c>
      <c r="AA913" s="3">
        <f t="shared" si="185"/>
        <v>137690</v>
      </c>
      <c r="AB913" s="3">
        <f t="shared" si="186"/>
        <v>30291.8</v>
      </c>
      <c r="AC913" s="3">
        <f t="shared" si="187"/>
        <v>26298.79</v>
      </c>
      <c r="AD913" s="3">
        <f t="shared" si="188"/>
        <v>40067.79</v>
      </c>
      <c r="AE913" s="3">
        <f t="shared" si="189"/>
        <v>131356.26</v>
      </c>
      <c r="AF913" s="3">
        <f>SUM(ecommerce_sales_all_data[[#This Row],[revenue_month_1]:[revenue_month_12]])</f>
        <v>704146.66</v>
      </c>
    </row>
    <row r="914" spans="1:32" x14ac:dyDescent="0.3">
      <c r="A914">
        <v>913</v>
      </c>
      <c r="B914" t="s">
        <v>937</v>
      </c>
      <c r="C914" t="s">
        <v>21</v>
      </c>
      <c r="D914" s="2">
        <v>313.95</v>
      </c>
      <c r="E914">
        <v>5</v>
      </c>
      <c r="F914">
        <v>64</v>
      </c>
      <c r="G914" s="1">
        <v>269</v>
      </c>
      <c r="H914" s="1">
        <v>295</v>
      </c>
      <c r="I914" s="1">
        <v>26</v>
      </c>
      <c r="J914" s="1">
        <v>530</v>
      </c>
      <c r="K914" s="1">
        <v>421</v>
      </c>
      <c r="L914" s="1">
        <v>831</v>
      </c>
      <c r="M914" s="1">
        <v>310</v>
      </c>
      <c r="N914" s="1">
        <v>717</v>
      </c>
      <c r="O914" s="1">
        <v>151</v>
      </c>
      <c r="P914" s="1">
        <v>319</v>
      </c>
      <c r="Q914" s="1">
        <v>968</v>
      </c>
      <c r="R914" s="1">
        <v>812</v>
      </c>
      <c r="S914" s="1">
        <f>SUM(ecommerce_sales_all_data[[#This Row],[sales_month_1]:[sales_month_12]])</f>
        <v>5649</v>
      </c>
      <c r="T914" s="3">
        <f t="shared" si="178"/>
        <v>84452.55</v>
      </c>
      <c r="U914" s="3">
        <f t="shared" si="179"/>
        <v>92615.25</v>
      </c>
      <c r="V914" s="3">
        <f t="shared" si="180"/>
        <v>8162.7</v>
      </c>
      <c r="W914" s="3">
        <f t="shared" si="181"/>
        <v>166393.5</v>
      </c>
      <c r="X914" s="3">
        <f t="shared" si="182"/>
        <v>132172.94999999998</v>
      </c>
      <c r="Y914" s="3">
        <f t="shared" si="183"/>
        <v>260892.44999999998</v>
      </c>
      <c r="Z914" s="3">
        <f t="shared" si="184"/>
        <v>97324.5</v>
      </c>
      <c r="AA914" s="3">
        <f t="shared" si="185"/>
        <v>225102.15</v>
      </c>
      <c r="AB914" s="3">
        <f t="shared" si="186"/>
        <v>47406.45</v>
      </c>
      <c r="AC914" s="3">
        <f t="shared" si="187"/>
        <v>100150.05</v>
      </c>
      <c r="AD914" s="3">
        <f t="shared" si="188"/>
        <v>303903.59999999998</v>
      </c>
      <c r="AE914" s="3">
        <f t="shared" si="189"/>
        <v>254927.4</v>
      </c>
      <c r="AF914" s="3">
        <f>SUM(ecommerce_sales_all_data[[#This Row],[revenue_month_1]:[revenue_month_12]])</f>
        <v>1773503.5499999998</v>
      </c>
    </row>
    <row r="915" spans="1:32" x14ac:dyDescent="0.3">
      <c r="A915">
        <v>914</v>
      </c>
      <c r="B915" t="s">
        <v>938</v>
      </c>
      <c r="C915" t="s">
        <v>29</v>
      </c>
      <c r="D915" s="2">
        <v>207.66</v>
      </c>
      <c r="E915">
        <v>2.5</v>
      </c>
      <c r="F915">
        <v>91</v>
      </c>
      <c r="G915" s="1">
        <v>673</v>
      </c>
      <c r="H915" s="1">
        <v>985</v>
      </c>
      <c r="I915" s="1">
        <v>310</v>
      </c>
      <c r="J915" s="1">
        <v>145</v>
      </c>
      <c r="K915" s="1">
        <v>839</v>
      </c>
      <c r="L915" s="1">
        <v>649</v>
      </c>
      <c r="M915" s="1">
        <v>527</v>
      </c>
      <c r="N915" s="1">
        <v>798</v>
      </c>
      <c r="O915" s="1">
        <v>622</v>
      </c>
      <c r="P915" s="1">
        <v>701</v>
      </c>
      <c r="Q915" s="1">
        <v>463</v>
      </c>
      <c r="R915" s="1">
        <v>762</v>
      </c>
      <c r="S915" s="1">
        <f>SUM(ecommerce_sales_all_data[[#This Row],[sales_month_1]:[sales_month_12]])</f>
        <v>7474</v>
      </c>
      <c r="T915" s="3">
        <f t="shared" si="178"/>
        <v>139755.18</v>
      </c>
      <c r="U915" s="3">
        <f t="shared" si="179"/>
        <v>204545.1</v>
      </c>
      <c r="V915" s="3">
        <f t="shared" si="180"/>
        <v>64374.6</v>
      </c>
      <c r="W915" s="3">
        <f t="shared" si="181"/>
        <v>30110.7</v>
      </c>
      <c r="X915" s="3">
        <f t="shared" si="182"/>
        <v>174226.74</v>
      </c>
      <c r="Y915" s="3">
        <f t="shared" si="183"/>
        <v>134771.34</v>
      </c>
      <c r="Z915" s="3">
        <f t="shared" si="184"/>
        <v>109436.81999999999</v>
      </c>
      <c r="AA915" s="3">
        <f t="shared" si="185"/>
        <v>165712.68</v>
      </c>
      <c r="AB915" s="3">
        <f t="shared" si="186"/>
        <v>129164.52</v>
      </c>
      <c r="AC915" s="3">
        <f t="shared" si="187"/>
        <v>145569.66</v>
      </c>
      <c r="AD915" s="3">
        <f t="shared" si="188"/>
        <v>96146.58</v>
      </c>
      <c r="AE915" s="3">
        <f t="shared" si="189"/>
        <v>158236.91999999998</v>
      </c>
      <c r="AF915" s="3">
        <f>SUM(ecommerce_sales_all_data[[#This Row],[revenue_month_1]:[revenue_month_12]])</f>
        <v>1552050.8399999999</v>
      </c>
    </row>
    <row r="916" spans="1:32" x14ac:dyDescent="0.3">
      <c r="A916">
        <v>915</v>
      </c>
      <c r="B916" t="s">
        <v>939</v>
      </c>
      <c r="C916" t="s">
        <v>23</v>
      </c>
      <c r="D916" s="2">
        <v>278.26</v>
      </c>
      <c r="E916">
        <v>2.8</v>
      </c>
      <c r="F916">
        <v>117</v>
      </c>
      <c r="G916" s="1">
        <v>700</v>
      </c>
      <c r="H916" s="1">
        <v>925</v>
      </c>
      <c r="I916" s="1">
        <v>284</v>
      </c>
      <c r="J916" s="1">
        <v>959</v>
      </c>
      <c r="K916" s="1">
        <v>617</v>
      </c>
      <c r="L916" s="1">
        <v>590</v>
      </c>
      <c r="M916" s="1">
        <v>226</v>
      </c>
      <c r="N916" s="1">
        <v>474</v>
      </c>
      <c r="O916" s="1">
        <v>182</v>
      </c>
      <c r="P916" s="1">
        <v>579</v>
      </c>
      <c r="Q916" s="1">
        <v>803</v>
      </c>
      <c r="R916" s="1">
        <v>330</v>
      </c>
      <c r="S916" s="1">
        <f>SUM(ecommerce_sales_all_data[[#This Row],[sales_month_1]:[sales_month_12]])</f>
        <v>6669</v>
      </c>
      <c r="T916" s="3">
        <f t="shared" si="178"/>
        <v>194782</v>
      </c>
      <c r="U916" s="3">
        <f t="shared" si="179"/>
        <v>257390.5</v>
      </c>
      <c r="V916" s="3">
        <f t="shared" si="180"/>
        <v>79025.84</v>
      </c>
      <c r="W916" s="3">
        <f t="shared" si="181"/>
        <v>266851.33999999997</v>
      </c>
      <c r="X916" s="3">
        <f t="shared" si="182"/>
        <v>171686.41999999998</v>
      </c>
      <c r="Y916" s="3">
        <f t="shared" si="183"/>
        <v>164173.4</v>
      </c>
      <c r="Z916" s="3">
        <f t="shared" si="184"/>
        <v>62886.759999999995</v>
      </c>
      <c r="AA916" s="3">
        <f t="shared" si="185"/>
        <v>131895.24</v>
      </c>
      <c r="AB916" s="3">
        <f t="shared" si="186"/>
        <v>50643.32</v>
      </c>
      <c r="AC916" s="3">
        <f t="shared" si="187"/>
        <v>161112.54</v>
      </c>
      <c r="AD916" s="3">
        <f t="shared" si="188"/>
        <v>223442.78</v>
      </c>
      <c r="AE916" s="3">
        <f t="shared" si="189"/>
        <v>91825.8</v>
      </c>
      <c r="AF916" s="3">
        <f>SUM(ecommerce_sales_all_data[[#This Row],[revenue_month_1]:[revenue_month_12]])</f>
        <v>1855715.94</v>
      </c>
    </row>
    <row r="917" spans="1:32" x14ac:dyDescent="0.3">
      <c r="A917">
        <v>916</v>
      </c>
      <c r="B917" t="s">
        <v>940</v>
      </c>
      <c r="C917" t="s">
        <v>23</v>
      </c>
      <c r="D917" s="2">
        <v>220.88</v>
      </c>
      <c r="E917">
        <v>3.9</v>
      </c>
      <c r="F917">
        <v>866</v>
      </c>
      <c r="G917" s="1">
        <v>758</v>
      </c>
      <c r="H917" s="1">
        <v>720</v>
      </c>
      <c r="I917" s="1">
        <v>659</v>
      </c>
      <c r="J917" s="1">
        <v>240</v>
      </c>
      <c r="K917" s="1">
        <v>471</v>
      </c>
      <c r="L917" s="1">
        <v>681</v>
      </c>
      <c r="M917" s="1">
        <v>473</v>
      </c>
      <c r="N917" s="1">
        <v>400</v>
      </c>
      <c r="O917" s="1">
        <v>398</v>
      </c>
      <c r="P917" s="1">
        <v>474</v>
      </c>
      <c r="Q917" s="1">
        <v>559</v>
      </c>
      <c r="R917" s="1">
        <v>164</v>
      </c>
      <c r="S917" s="1">
        <f>SUM(ecommerce_sales_all_data[[#This Row],[sales_month_1]:[sales_month_12]])</f>
        <v>5997</v>
      </c>
      <c r="T917" s="3">
        <f t="shared" si="178"/>
        <v>167427.04</v>
      </c>
      <c r="U917" s="3">
        <f t="shared" si="179"/>
        <v>159033.60000000001</v>
      </c>
      <c r="V917" s="3">
        <f t="shared" si="180"/>
        <v>145559.91999999998</v>
      </c>
      <c r="W917" s="3">
        <f t="shared" si="181"/>
        <v>53011.199999999997</v>
      </c>
      <c r="X917" s="3">
        <f t="shared" si="182"/>
        <v>104034.48</v>
      </c>
      <c r="Y917" s="3">
        <f t="shared" si="183"/>
        <v>150419.28</v>
      </c>
      <c r="Z917" s="3">
        <f t="shared" si="184"/>
        <v>104476.23999999999</v>
      </c>
      <c r="AA917" s="3">
        <f t="shared" si="185"/>
        <v>88352</v>
      </c>
      <c r="AB917" s="3">
        <f t="shared" si="186"/>
        <v>87910.24</v>
      </c>
      <c r="AC917" s="3">
        <f t="shared" si="187"/>
        <v>104697.12</v>
      </c>
      <c r="AD917" s="3">
        <f t="shared" si="188"/>
        <v>123471.92</v>
      </c>
      <c r="AE917" s="3">
        <f t="shared" si="189"/>
        <v>36224.32</v>
      </c>
      <c r="AF917" s="3">
        <f>SUM(ecommerce_sales_all_data[[#This Row],[revenue_month_1]:[revenue_month_12]])</f>
        <v>1324617.3600000001</v>
      </c>
    </row>
    <row r="918" spans="1:32" x14ac:dyDescent="0.3">
      <c r="A918">
        <v>917</v>
      </c>
      <c r="B918" t="s">
        <v>941</v>
      </c>
      <c r="C918" t="s">
        <v>26</v>
      </c>
      <c r="D918" s="2">
        <v>150.76</v>
      </c>
      <c r="E918">
        <v>4.5</v>
      </c>
      <c r="F918">
        <v>267</v>
      </c>
      <c r="G918" s="1">
        <v>899</v>
      </c>
      <c r="H918" s="1">
        <v>639</v>
      </c>
      <c r="I918" s="1">
        <v>280</v>
      </c>
      <c r="J918" s="1">
        <v>883</v>
      </c>
      <c r="K918" s="1">
        <v>892</v>
      </c>
      <c r="L918" s="1">
        <v>634</v>
      </c>
      <c r="M918" s="1">
        <v>977</v>
      </c>
      <c r="N918" s="1">
        <v>438</v>
      </c>
      <c r="O918" s="1">
        <v>850</v>
      </c>
      <c r="P918" s="1">
        <v>859</v>
      </c>
      <c r="Q918" s="1">
        <v>818</v>
      </c>
      <c r="R918" s="1">
        <v>192</v>
      </c>
      <c r="S918" s="1">
        <f>SUM(ecommerce_sales_all_data[[#This Row],[sales_month_1]:[sales_month_12]])</f>
        <v>8361</v>
      </c>
      <c r="T918" s="3">
        <f t="shared" si="178"/>
        <v>135533.24</v>
      </c>
      <c r="U918" s="3">
        <f t="shared" si="179"/>
        <v>96335.64</v>
      </c>
      <c r="V918" s="3">
        <f t="shared" si="180"/>
        <v>42212.799999999996</v>
      </c>
      <c r="W918" s="3">
        <f t="shared" si="181"/>
        <v>133121.07999999999</v>
      </c>
      <c r="X918" s="3">
        <f t="shared" si="182"/>
        <v>134477.91999999998</v>
      </c>
      <c r="Y918" s="3">
        <f t="shared" si="183"/>
        <v>95581.84</v>
      </c>
      <c r="Z918" s="3">
        <f t="shared" si="184"/>
        <v>147292.51999999999</v>
      </c>
      <c r="AA918" s="3">
        <f t="shared" si="185"/>
        <v>66032.87999999999</v>
      </c>
      <c r="AB918" s="3">
        <f t="shared" si="186"/>
        <v>128145.99999999999</v>
      </c>
      <c r="AC918" s="3">
        <f t="shared" si="187"/>
        <v>129502.84</v>
      </c>
      <c r="AD918" s="3">
        <f t="shared" si="188"/>
        <v>123321.68</v>
      </c>
      <c r="AE918" s="3">
        <f t="shared" si="189"/>
        <v>28945.919999999998</v>
      </c>
      <c r="AF918" s="3">
        <f>SUM(ecommerce_sales_all_data[[#This Row],[revenue_month_1]:[revenue_month_12]])</f>
        <v>1260504.3599999999</v>
      </c>
    </row>
    <row r="919" spans="1:32" x14ac:dyDescent="0.3">
      <c r="A919">
        <v>918</v>
      </c>
      <c r="B919" t="s">
        <v>942</v>
      </c>
      <c r="C919" t="s">
        <v>35</v>
      </c>
      <c r="D919" s="2">
        <v>474.48</v>
      </c>
      <c r="E919">
        <v>3.4</v>
      </c>
      <c r="F919">
        <v>822</v>
      </c>
      <c r="G919" s="1">
        <v>727</v>
      </c>
      <c r="H919" s="1">
        <v>339</v>
      </c>
      <c r="I919" s="1">
        <v>837</v>
      </c>
      <c r="J919" s="1">
        <v>892</v>
      </c>
      <c r="K919" s="1">
        <v>546</v>
      </c>
      <c r="L919" s="1">
        <v>687</v>
      </c>
      <c r="M919" s="1">
        <v>540</v>
      </c>
      <c r="N919" s="1">
        <v>877</v>
      </c>
      <c r="O919" s="1">
        <v>71</v>
      </c>
      <c r="P919" s="1">
        <v>636</v>
      </c>
      <c r="Q919" s="1">
        <v>96</v>
      </c>
      <c r="R919" s="1">
        <v>520</v>
      </c>
      <c r="S919" s="1">
        <f>SUM(ecommerce_sales_all_data[[#This Row],[sales_month_1]:[sales_month_12]])</f>
        <v>6768</v>
      </c>
      <c r="T919" s="3">
        <f t="shared" si="178"/>
        <v>344946.96</v>
      </c>
      <c r="U919" s="3">
        <f t="shared" si="179"/>
        <v>160848.72</v>
      </c>
      <c r="V919" s="3">
        <f t="shared" si="180"/>
        <v>397139.76</v>
      </c>
      <c r="W919" s="3">
        <f t="shared" si="181"/>
        <v>423236.16000000003</v>
      </c>
      <c r="X919" s="3">
        <f t="shared" si="182"/>
        <v>259066.08000000002</v>
      </c>
      <c r="Y919" s="3">
        <f t="shared" si="183"/>
        <v>325967.76</v>
      </c>
      <c r="Z919" s="3">
        <f t="shared" si="184"/>
        <v>256219.2</v>
      </c>
      <c r="AA919" s="3">
        <f t="shared" si="185"/>
        <v>416118.96</v>
      </c>
      <c r="AB919" s="3">
        <f t="shared" si="186"/>
        <v>33688.080000000002</v>
      </c>
      <c r="AC919" s="3">
        <f t="shared" si="187"/>
        <v>301769.28000000003</v>
      </c>
      <c r="AD919" s="3">
        <f t="shared" si="188"/>
        <v>45550.080000000002</v>
      </c>
      <c r="AE919" s="3">
        <f t="shared" si="189"/>
        <v>246729.60000000001</v>
      </c>
      <c r="AF919" s="3">
        <f>SUM(ecommerce_sales_all_data[[#This Row],[revenue_month_1]:[revenue_month_12]])</f>
        <v>3211280.64</v>
      </c>
    </row>
    <row r="920" spans="1:32" x14ac:dyDescent="0.3">
      <c r="A920">
        <v>919</v>
      </c>
      <c r="B920" t="s">
        <v>943</v>
      </c>
      <c r="C920" t="s">
        <v>48</v>
      </c>
      <c r="D920" s="2">
        <v>382.98</v>
      </c>
      <c r="E920">
        <v>2.6</v>
      </c>
      <c r="F920">
        <v>685</v>
      </c>
      <c r="G920" s="1">
        <v>314</v>
      </c>
      <c r="H920" s="1">
        <v>627</v>
      </c>
      <c r="I920" s="1">
        <v>830</v>
      </c>
      <c r="J920" s="1">
        <v>343</v>
      </c>
      <c r="K920" s="1">
        <v>630</v>
      </c>
      <c r="L920" s="1">
        <v>299</v>
      </c>
      <c r="M920" s="1">
        <v>662</v>
      </c>
      <c r="N920" s="1">
        <v>604</v>
      </c>
      <c r="O920" s="1">
        <v>417</v>
      </c>
      <c r="P920" s="1">
        <v>426</v>
      </c>
      <c r="Q920" s="1">
        <v>886</v>
      </c>
      <c r="R920" s="1">
        <v>400</v>
      </c>
      <c r="S920" s="1">
        <f>SUM(ecommerce_sales_all_data[[#This Row],[sales_month_1]:[sales_month_12]])</f>
        <v>6438</v>
      </c>
      <c r="T920" s="3">
        <f t="shared" si="178"/>
        <v>120255.72</v>
      </c>
      <c r="U920" s="3">
        <f t="shared" si="179"/>
        <v>240128.46000000002</v>
      </c>
      <c r="V920" s="3">
        <f t="shared" si="180"/>
        <v>317873.40000000002</v>
      </c>
      <c r="W920" s="3">
        <f t="shared" si="181"/>
        <v>131362.14000000001</v>
      </c>
      <c r="X920" s="3">
        <f t="shared" si="182"/>
        <v>241277.40000000002</v>
      </c>
      <c r="Y920" s="3">
        <f t="shared" si="183"/>
        <v>114511.02</v>
      </c>
      <c r="Z920" s="3">
        <f t="shared" si="184"/>
        <v>253532.76</v>
      </c>
      <c r="AA920" s="3">
        <f t="shared" si="185"/>
        <v>231319.92</v>
      </c>
      <c r="AB920" s="3">
        <f t="shared" si="186"/>
        <v>159702.66</v>
      </c>
      <c r="AC920" s="3">
        <f t="shared" si="187"/>
        <v>163149.48000000001</v>
      </c>
      <c r="AD920" s="3">
        <f t="shared" si="188"/>
        <v>339320.28</v>
      </c>
      <c r="AE920" s="3">
        <f t="shared" si="189"/>
        <v>153192</v>
      </c>
      <c r="AF920" s="3">
        <f>SUM(ecommerce_sales_all_data[[#This Row],[revenue_month_1]:[revenue_month_12]])</f>
        <v>2465625.2400000002</v>
      </c>
    </row>
    <row r="921" spans="1:32" x14ac:dyDescent="0.3">
      <c r="A921">
        <v>920</v>
      </c>
      <c r="B921" t="s">
        <v>944</v>
      </c>
      <c r="C921" t="s">
        <v>23</v>
      </c>
      <c r="D921" s="2">
        <v>74.36</v>
      </c>
      <c r="E921">
        <v>2.7</v>
      </c>
      <c r="F921">
        <v>559</v>
      </c>
      <c r="G921" s="1">
        <v>924</v>
      </c>
      <c r="H921" s="1">
        <v>438</v>
      </c>
      <c r="I921" s="1">
        <v>163</v>
      </c>
      <c r="J921" s="1">
        <v>748</v>
      </c>
      <c r="K921" s="1">
        <v>525</v>
      </c>
      <c r="L921" s="1">
        <v>81</v>
      </c>
      <c r="M921" s="1">
        <v>756</v>
      </c>
      <c r="N921" s="1">
        <v>931</v>
      </c>
      <c r="O921" s="1">
        <v>897</v>
      </c>
      <c r="P921" s="1">
        <v>847</v>
      </c>
      <c r="Q921" s="1">
        <v>94</v>
      </c>
      <c r="R921" s="1">
        <v>373</v>
      </c>
      <c r="S921" s="1">
        <f>SUM(ecommerce_sales_all_data[[#This Row],[sales_month_1]:[sales_month_12]])</f>
        <v>6777</v>
      </c>
      <c r="T921" s="3">
        <f t="shared" si="178"/>
        <v>68708.639999999999</v>
      </c>
      <c r="U921" s="3">
        <f t="shared" si="179"/>
        <v>32569.68</v>
      </c>
      <c r="V921" s="3">
        <f t="shared" si="180"/>
        <v>12120.68</v>
      </c>
      <c r="W921" s="3">
        <f t="shared" si="181"/>
        <v>55621.279999999999</v>
      </c>
      <c r="X921" s="3">
        <f t="shared" si="182"/>
        <v>39039</v>
      </c>
      <c r="Y921" s="3">
        <f t="shared" si="183"/>
        <v>6023.16</v>
      </c>
      <c r="Z921" s="3">
        <f t="shared" si="184"/>
        <v>56216.159999999996</v>
      </c>
      <c r="AA921" s="3">
        <f t="shared" si="185"/>
        <v>69229.16</v>
      </c>
      <c r="AB921" s="3">
        <f t="shared" si="186"/>
        <v>66700.92</v>
      </c>
      <c r="AC921" s="3">
        <f t="shared" si="187"/>
        <v>62982.92</v>
      </c>
      <c r="AD921" s="3">
        <f t="shared" si="188"/>
        <v>6989.84</v>
      </c>
      <c r="AE921" s="3">
        <f t="shared" si="189"/>
        <v>27736.28</v>
      </c>
      <c r="AF921" s="3">
        <f>SUM(ecommerce_sales_all_data[[#This Row],[revenue_month_1]:[revenue_month_12]])</f>
        <v>503937.72</v>
      </c>
    </row>
    <row r="922" spans="1:32" x14ac:dyDescent="0.3">
      <c r="A922">
        <v>921</v>
      </c>
      <c r="B922" t="s">
        <v>945</v>
      </c>
      <c r="C922" t="s">
        <v>26</v>
      </c>
      <c r="D922" s="2">
        <v>434.89</v>
      </c>
      <c r="E922">
        <v>3.8</v>
      </c>
      <c r="F922">
        <v>140</v>
      </c>
      <c r="G922" s="1">
        <v>850</v>
      </c>
      <c r="H922" s="1">
        <v>143</v>
      </c>
      <c r="I922" s="1">
        <v>897</v>
      </c>
      <c r="J922" s="1">
        <v>34</v>
      </c>
      <c r="K922" s="1">
        <v>502</v>
      </c>
      <c r="L922" s="1">
        <v>86</v>
      </c>
      <c r="M922" s="1">
        <v>781</v>
      </c>
      <c r="N922" s="1">
        <v>996</v>
      </c>
      <c r="O922" s="1">
        <v>282</v>
      </c>
      <c r="P922" s="1">
        <v>58</v>
      </c>
      <c r="Q922" s="1">
        <v>325</v>
      </c>
      <c r="R922" s="1">
        <v>64</v>
      </c>
      <c r="S922" s="1">
        <f>SUM(ecommerce_sales_all_data[[#This Row],[sales_month_1]:[sales_month_12]])</f>
        <v>5018</v>
      </c>
      <c r="T922" s="3">
        <f t="shared" si="178"/>
        <v>369656.5</v>
      </c>
      <c r="U922" s="3">
        <f t="shared" si="179"/>
        <v>62189.27</v>
      </c>
      <c r="V922" s="3">
        <f t="shared" si="180"/>
        <v>390096.33</v>
      </c>
      <c r="W922" s="3">
        <f t="shared" si="181"/>
        <v>14786.26</v>
      </c>
      <c r="X922" s="3">
        <f t="shared" si="182"/>
        <v>218314.78</v>
      </c>
      <c r="Y922" s="3">
        <f t="shared" si="183"/>
        <v>37400.54</v>
      </c>
      <c r="Z922" s="3">
        <f t="shared" si="184"/>
        <v>339649.08999999997</v>
      </c>
      <c r="AA922" s="3">
        <f t="shared" si="185"/>
        <v>433150.44</v>
      </c>
      <c r="AB922" s="3">
        <f t="shared" si="186"/>
        <v>122638.98</v>
      </c>
      <c r="AC922" s="3">
        <f t="shared" si="187"/>
        <v>25223.62</v>
      </c>
      <c r="AD922" s="3">
        <f t="shared" si="188"/>
        <v>141339.25</v>
      </c>
      <c r="AE922" s="3">
        <f t="shared" si="189"/>
        <v>27832.959999999999</v>
      </c>
      <c r="AF922" s="3">
        <f>SUM(ecommerce_sales_all_data[[#This Row],[revenue_month_1]:[revenue_month_12]])</f>
        <v>2182278.02</v>
      </c>
    </row>
    <row r="923" spans="1:32" x14ac:dyDescent="0.3">
      <c r="A923">
        <v>922</v>
      </c>
      <c r="B923" t="s">
        <v>946</v>
      </c>
      <c r="C923" t="s">
        <v>48</v>
      </c>
      <c r="D923" s="2">
        <v>246.28</v>
      </c>
      <c r="E923">
        <v>1</v>
      </c>
      <c r="F923">
        <v>246</v>
      </c>
      <c r="G923" s="1">
        <v>901</v>
      </c>
      <c r="H923" s="1">
        <v>941</v>
      </c>
      <c r="I923" s="1">
        <v>917</v>
      </c>
      <c r="J923" s="1">
        <v>701</v>
      </c>
      <c r="K923" s="1">
        <v>13</v>
      </c>
      <c r="L923" s="1">
        <v>224</v>
      </c>
      <c r="M923" s="1">
        <v>78</v>
      </c>
      <c r="N923" s="1">
        <v>921</v>
      </c>
      <c r="O923" s="1">
        <v>73</v>
      </c>
      <c r="P923" s="1">
        <v>435</v>
      </c>
      <c r="Q923" s="1">
        <v>73</v>
      </c>
      <c r="R923" s="1">
        <v>386</v>
      </c>
      <c r="S923" s="1">
        <f>SUM(ecommerce_sales_all_data[[#This Row],[sales_month_1]:[sales_month_12]])</f>
        <v>5663</v>
      </c>
      <c r="T923" s="3">
        <f t="shared" si="178"/>
        <v>221898.28</v>
      </c>
      <c r="U923" s="3">
        <f t="shared" si="179"/>
        <v>231749.48</v>
      </c>
      <c r="V923" s="3">
        <f t="shared" si="180"/>
        <v>225838.76</v>
      </c>
      <c r="W923" s="3">
        <f t="shared" si="181"/>
        <v>172642.28</v>
      </c>
      <c r="X923" s="3">
        <f t="shared" si="182"/>
        <v>3201.64</v>
      </c>
      <c r="Y923" s="3">
        <f t="shared" si="183"/>
        <v>55166.720000000001</v>
      </c>
      <c r="Z923" s="3">
        <f t="shared" si="184"/>
        <v>19209.84</v>
      </c>
      <c r="AA923" s="3">
        <f t="shared" si="185"/>
        <v>226823.88</v>
      </c>
      <c r="AB923" s="3">
        <f t="shared" si="186"/>
        <v>17978.439999999999</v>
      </c>
      <c r="AC923" s="3">
        <f t="shared" si="187"/>
        <v>107131.8</v>
      </c>
      <c r="AD923" s="3">
        <f t="shared" si="188"/>
        <v>17978.439999999999</v>
      </c>
      <c r="AE923" s="3">
        <f t="shared" si="189"/>
        <v>95064.08</v>
      </c>
      <c r="AF923" s="3">
        <f>SUM(ecommerce_sales_all_data[[#This Row],[revenue_month_1]:[revenue_month_12]])</f>
        <v>1394683.64</v>
      </c>
    </row>
    <row r="924" spans="1:32" x14ac:dyDescent="0.3">
      <c r="A924">
        <v>923</v>
      </c>
      <c r="B924" t="s">
        <v>947</v>
      </c>
      <c r="C924" t="s">
        <v>21</v>
      </c>
      <c r="D924" s="2">
        <v>447.8</v>
      </c>
      <c r="E924">
        <v>3.5</v>
      </c>
      <c r="F924">
        <v>661</v>
      </c>
      <c r="G924" s="1">
        <v>888</v>
      </c>
      <c r="H924" s="1">
        <v>829</v>
      </c>
      <c r="I924" s="1">
        <v>223</v>
      </c>
      <c r="J924" s="1">
        <v>0</v>
      </c>
      <c r="K924" s="1">
        <v>777</v>
      </c>
      <c r="L924" s="1">
        <v>15</v>
      </c>
      <c r="M924" s="1">
        <v>432</v>
      </c>
      <c r="N924" s="1">
        <v>820</v>
      </c>
      <c r="O924" s="1">
        <v>354</v>
      </c>
      <c r="P924" s="1">
        <v>96</v>
      </c>
      <c r="Q924" s="1">
        <v>335</v>
      </c>
      <c r="R924" s="1">
        <v>494</v>
      </c>
      <c r="S924" s="1">
        <f>SUM(ecommerce_sales_all_data[[#This Row],[sales_month_1]:[sales_month_12]])</f>
        <v>5263</v>
      </c>
      <c r="T924" s="3">
        <f t="shared" si="178"/>
        <v>397646.4</v>
      </c>
      <c r="U924" s="3">
        <f t="shared" si="179"/>
        <v>371226.2</v>
      </c>
      <c r="V924" s="3">
        <f t="shared" si="180"/>
        <v>99859.400000000009</v>
      </c>
      <c r="W924" s="3">
        <f t="shared" si="181"/>
        <v>0</v>
      </c>
      <c r="X924" s="3">
        <f t="shared" si="182"/>
        <v>347940.60000000003</v>
      </c>
      <c r="Y924" s="3">
        <f t="shared" si="183"/>
        <v>6717</v>
      </c>
      <c r="Z924" s="3">
        <f t="shared" si="184"/>
        <v>193449.60000000001</v>
      </c>
      <c r="AA924" s="3">
        <f t="shared" si="185"/>
        <v>367196</v>
      </c>
      <c r="AB924" s="3">
        <f t="shared" si="186"/>
        <v>158521.20000000001</v>
      </c>
      <c r="AC924" s="3">
        <f t="shared" si="187"/>
        <v>42988.800000000003</v>
      </c>
      <c r="AD924" s="3">
        <f t="shared" si="188"/>
        <v>150013</v>
      </c>
      <c r="AE924" s="3">
        <f t="shared" si="189"/>
        <v>221213.2</v>
      </c>
      <c r="AF924" s="3">
        <f>SUM(ecommerce_sales_all_data[[#This Row],[revenue_month_1]:[revenue_month_12]])</f>
        <v>2356771.4000000004</v>
      </c>
    </row>
    <row r="925" spans="1:32" x14ac:dyDescent="0.3">
      <c r="A925">
        <v>924</v>
      </c>
      <c r="B925" t="s">
        <v>948</v>
      </c>
      <c r="C925" t="s">
        <v>29</v>
      </c>
      <c r="D925" s="2">
        <v>400.93</v>
      </c>
      <c r="E925">
        <v>2.4</v>
      </c>
      <c r="F925">
        <v>758</v>
      </c>
      <c r="G925" s="1">
        <v>992</v>
      </c>
      <c r="H925" s="1">
        <v>746</v>
      </c>
      <c r="I925" s="1">
        <v>783</v>
      </c>
      <c r="J925" s="1">
        <v>995</v>
      </c>
      <c r="K925" s="1">
        <v>651</v>
      </c>
      <c r="L925" s="1">
        <v>821</v>
      </c>
      <c r="M925" s="1">
        <v>800</v>
      </c>
      <c r="N925" s="1">
        <v>656</v>
      </c>
      <c r="O925" s="1">
        <v>726</v>
      </c>
      <c r="P925" s="1">
        <v>495</v>
      </c>
      <c r="Q925" s="1">
        <v>67</v>
      </c>
      <c r="R925" s="1">
        <v>793</v>
      </c>
      <c r="S925" s="1">
        <f>SUM(ecommerce_sales_all_data[[#This Row],[sales_month_1]:[sales_month_12]])</f>
        <v>8525</v>
      </c>
      <c r="T925" s="3">
        <f t="shared" si="178"/>
        <v>397722.56</v>
      </c>
      <c r="U925" s="3">
        <f t="shared" si="179"/>
        <v>299093.78000000003</v>
      </c>
      <c r="V925" s="3">
        <f t="shared" si="180"/>
        <v>313928.19</v>
      </c>
      <c r="W925" s="3">
        <f t="shared" si="181"/>
        <v>398925.35000000003</v>
      </c>
      <c r="X925" s="3">
        <f t="shared" si="182"/>
        <v>261005.43</v>
      </c>
      <c r="Y925" s="3">
        <f t="shared" si="183"/>
        <v>329163.53000000003</v>
      </c>
      <c r="Z925" s="3">
        <f t="shared" si="184"/>
        <v>320744</v>
      </c>
      <c r="AA925" s="3">
        <f t="shared" si="185"/>
        <v>263010.08</v>
      </c>
      <c r="AB925" s="3">
        <f t="shared" si="186"/>
        <v>291075.18</v>
      </c>
      <c r="AC925" s="3">
        <f t="shared" si="187"/>
        <v>198460.35</v>
      </c>
      <c r="AD925" s="3">
        <f t="shared" si="188"/>
        <v>26862.31</v>
      </c>
      <c r="AE925" s="3">
        <f t="shared" si="189"/>
        <v>317937.49</v>
      </c>
      <c r="AF925" s="3">
        <f>SUM(ecommerce_sales_all_data[[#This Row],[revenue_month_1]:[revenue_month_12]])</f>
        <v>3417928.25</v>
      </c>
    </row>
    <row r="926" spans="1:32" x14ac:dyDescent="0.3">
      <c r="A926">
        <v>925</v>
      </c>
      <c r="B926" t="s">
        <v>949</v>
      </c>
      <c r="C926" t="s">
        <v>23</v>
      </c>
      <c r="D926" s="2">
        <v>215.48</v>
      </c>
      <c r="E926">
        <v>4.2</v>
      </c>
      <c r="F926">
        <v>395</v>
      </c>
      <c r="G926" s="1">
        <v>944</v>
      </c>
      <c r="H926" s="1">
        <v>518</v>
      </c>
      <c r="I926" s="1">
        <v>145</v>
      </c>
      <c r="J926" s="1">
        <v>152</v>
      </c>
      <c r="K926" s="1">
        <v>805</v>
      </c>
      <c r="L926" s="1">
        <v>357</v>
      </c>
      <c r="M926" s="1">
        <v>152</v>
      </c>
      <c r="N926" s="1">
        <v>597</v>
      </c>
      <c r="O926" s="1">
        <v>496</v>
      </c>
      <c r="P926" s="1">
        <v>786</v>
      </c>
      <c r="Q926" s="1">
        <v>757</v>
      </c>
      <c r="R926" s="1">
        <v>692</v>
      </c>
      <c r="S926" s="1">
        <f>SUM(ecommerce_sales_all_data[[#This Row],[sales_month_1]:[sales_month_12]])</f>
        <v>6401</v>
      </c>
      <c r="T926" s="3">
        <f t="shared" si="178"/>
        <v>203413.12</v>
      </c>
      <c r="U926" s="3">
        <f t="shared" si="179"/>
        <v>111618.64</v>
      </c>
      <c r="V926" s="3">
        <f t="shared" si="180"/>
        <v>31244.6</v>
      </c>
      <c r="W926" s="3">
        <f t="shared" si="181"/>
        <v>32752.959999999999</v>
      </c>
      <c r="X926" s="3">
        <f t="shared" si="182"/>
        <v>173461.4</v>
      </c>
      <c r="Y926" s="3">
        <f t="shared" si="183"/>
        <v>76926.36</v>
      </c>
      <c r="Z926" s="3">
        <f t="shared" si="184"/>
        <v>32752.959999999999</v>
      </c>
      <c r="AA926" s="3">
        <f t="shared" si="185"/>
        <v>128641.56</v>
      </c>
      <c r="AB926" s="3">
        <f t="shared" si="186"/>
        <v>106878.08</v>
      </c>
      <c r="AC926" s="3">
        <f t="shared" si="187"/>
        <v>169367.28</v>
      </c>
      <c r="AD926" s="3">
        <f t="shared" si="188"/>
        <v>163118.35999999999</v>
      </c>
      <c r="AE926" s="3">
        <f t="shared" si="189"/>
        <v>149112.16</v>
      </c>
      <c r="AF926" s="3">
        <f>SUM(ecommerce_sales_all_data[[#This Row],[revenue_month_1]:[revenue_month_12]])</f>
        <v>1379287.4799999997</v>
      </c>
    </row>
    <row r="927" spans="1:32" x14ac:dyDescent="0.3">
      <c r="A927">
        <v>926</v>
      </c>
      <c r="B927" t="s">
        <v>950</v>
      </c>
      <c r="C927" t="s">
        <v>26</v>
      </c>
      <c r="D927" s="2">
        <v>16.12</v>
      </c>
      <c r="E927">
        <v>1.4</v>
      </c>
      <c r="F927">
        <v>487</v>
      </c>
      <c r="G927" s="1">
        <v>167</v>
      </c>
      <c r="H927" s="1">
        <v>975</v>
      </c>
      <c r="I927" s="1">
        <v>964</v>
      </c>
      <c r="J927" s="1">
        <v>428</v>
      </c>
      <c r="K927" s="1">
        <v>363</v>
      </c>
      <c r="L927" s="1">
        <v>162</v>
      </c>
      <c r="M927" s="1">
        <v>788</v>
      </c>
      <c r="N927" s="1">
        <v>508</v>
      </c>
      <c r="O927" s="1">
        <v>327</v>
      </c>
      <c r="P927" s="1">
        <v>660</v>
      </c>
      <c r="Q927" s="1">
        <v>917</v>
      </c>
      <c r="R927" s="1">
        <v>414</v>
      </c>
      <c r="S927" s="1">
        <f>SUM(ecommerce_sales_all_data[[#This Row],[sales_month_1]:[sales_month_12]])</f>
        <v>6673</v>
      </c>
      <c r="T927" s="3">
        <f t="shared" si="178"/>
        <v>2692.04</v>
      </c>
      <c r="U927" s="3">
        <f t="shared" si="179"/>
        <v>15717.000000000002</v>
      </c>
      <c r="V927" s="3">
        <f t="shared" si="180"/>
        <v>15539.68</v>
      </c>
      <c r="W927" s="3">
        <f t="shared" si="181"/>
        <v>6899.3600000000006</v>
      </c>
      <c r="X927" s="3">
        <f t="shared" si="182"/>
        <v>5851.56</v>
      </c>
      <c r="Y927" s="3">
        <f t="shared" si="183"/>
        <v>2611.44</v>
      </c>
      <c r="Z927" s="3">
        <f t="shared" si="184"/>
        <v>12702.560000000001</v>
      </c>
      <c r="AA927" s="3">
        <f t="shared" si="185"/>
        <v>8188.9600000000009</v>
      </c>
      <c r="AB927" s="3">
        <f t="shared" si="186"/>
        <v>5271.2400000000007</v>
      </c>
      <c r="AC927" s="3">
        <f t="shared" si="187"/>
        <v>10639.2</v>
      </c>
      <c r="AD927" s="3">
        <f t="shared" si="188"/>
        <v>14782.04</v>
      </c>
      <c r="AE927" s="3">
        <f t="shared" si="189"/>
        <v>6673.68</v>
      </c>
      <c r="AF927" s="3">
        <f>SUM(ecommerce_sales_all_data[[#This Row],[revenue_month_1]:[revenue_month_12]])</f>
        <v>107568.76000000001</v>
      </c>
    </row>
    <row r="928" spans="1:32" x14ac:dyDescent="0.3">
      <c r="A928">
        <v>927</v>
      </c>
      <c r="B928" t="s">
        <v>951</v>
      </c>
      <c r="C928" t="s">
        <v>21</v>
      </c>
      <c r="D928" s="2">
        <v>138</v>
      </c>
      <c r="E928">
        <v>3.4</v>
      </c>
      <c r="F928">
        <v>476</v>
      </c>
      <c r="G928" s="1">
        <v>338</v>
      </c>
      <c r="H928" s="1">
        <v>44</v>
      </c>
      <c r="I928" s="1">
        <v>949</v>
      </c>
      <c r="J928" s="1">
        <v>944</v>
      </c>
      <c r="K928" s="1">
        <v>118</v>
      </c>
      <c r="L928" s="1">
        <v>609</v>
      </c>
      <c r="M928" s="1">
        <v>400</v>
      </c>
      <c r="N928" s="1">
        <v>152</v>
      </c>
      <c r="O928" s="1">
        <v>987</v>
      </c>
      <c r="P928" s="1">
        <v>277</v>
      </c>
      <c r="Q928" s="1">
        <v>76</v>
      </c>
      <c r="R928" s="1">
        <v>793</v>
      </c>
      <c r="S928" s="1">
        <f>SUM(ecommerce_sales_all_data[[#This Row],[sales_month_1]:[sales_month_12]])</f>
        <v>5687</v>
      </c>
      <c r="T928" s="3">
        <f t="shared" si="178"/>
        <v>46644</v>
      </c>
      <c r="U928" s="3">
        <f t="shared" si="179"/>
        <v>6072</v>
      </c>
      <c r="V928" s="3">
        <f t="shared" si="180"/>
        <v>130962</v>
      </c>
      <c r="W928" s="3">
        <f t="shared" si="181"/>
        <v>130272</v>
      </c>
      <c r="X928" s="3">
        <f t="shared" si="182"/>
        <v>16284</v>
      </c>
      <c r="Y928" s="3">
        <f t="shared" si="183"/>
        <v>84042</v>
      </c>
      <c r="Z928" s="3">
        <f t="shared" si="184"/>
        <v>55200</v>
      </c>
      <c r="AA928" s="3">
        <f t="shared" si="185"/>
        <v>20976</v>
      </c>
      <c r="AB928" s="3">
        <f t="shared" si="186"/>
        <v>136206</v>
      </c>
      <c r="AC928" s="3">
        <f t="shared" si="187"/>
        <v>38226</v>
      </c>
      <c r="AD928" s="3">
        <f t="shared" si="188"/>
        <v>10488</v>
      </c>
      <c r="AE928" s="3">
        <f t="shared" si="189"/>
        <v>109434</v>
      </c>
      <c r="AF928" s="3">
        <f>SUM(ecommerce_sales_all_data[[#This Row],[revenue_month_1]:[revenue_month_12]])</f>
        <v>784806</v>
      </c>
    </row>
    <row r="929" spans="1:32" x14ac:dyDescent="0.3">
      <c r="A929">
        <v>928</v>
      </c>
      <c r="B929" t="s">
        <v>952</v>
      </c>
      <c r="C929" t="s">
        <v>23</v>
      </c>
      <c r="D929" s="2">
        <v>273.11</v>
      </c>
      <c r="E929">
        <v>2.9</v>
      </c>
      <c r="F929">
        <v>517</v>
      </c>
      <c r="G929" s="1">
        <v>192</v>
      </c>
      <c r="H929" s="1">
        <v>954</v>
      </c>
      <c r="I929" s="1">
        <v>867</v>
      </c>
      <c r="J929" s="1">
        <v>507</v>
      </c>
      <c r="K929" s="1">
        <v>237</v>
      </c>
      <c r="L929" s="1">
        <v>667</v>
      </c>
      <c r="M929" s="1">
        <v>278</v>
      </c>
      <c r="N929" s="1">
        <v>513</v>
      </c>
      <c r="O929" s="1">
        <v>534</v>
      </c>
      <c r="P929" s="1">
        <v>264</v>
      </c>
      <c r="Q929" s="1">
        <v>207</v>
      </c>
      <c r="R929" s="1">
        <v>790</v>
      </c>
      <c r="S929" s="1">
        <f>SUM(ecommerce_sales_all_data[[#This Row],[sales_month_1]:[sales_month_12]])</f>
        <v>6010</v>
      </c>
      <c r="T929" s="3">
        <f t="shared" si="178"/>
        <v>52437.120000000003</v>
      </c>
      <c r="U929" s="3">
        <f t="shared" si="179"/>
        <v>260546.94</v>
      </c>
      <c r="V929" s="3">
        <f t="shared" si="180"/>
        <v>236786.37000000002</v>
      </c>
      <c r="W929" s="3">
        <f t="shared" si="181"/>
        <v>138466.77000000002</v>
      </c>
      <c r="X929" s="3">
        <f t="shared" si="182"/>
        <v>64727.07</v>
      </c>
      <c r="Y929" s="3">
        <f t="shared" si="183"/>
        <v>182164.37</v>
      </c>
      <c r="Z929" s="3">
        <f t="shared" si="184"/>
        <v>75924.58</v>
      </c>
      <c r="AA929" s="3">
        <f t="shared" si="185"/>
        <v>140105.43</v>
      </c>
      <c r="AB929" s="3">
        <f t="shared" si="186"/>
        <v>145840.74000000002</v>
      </c>
      <c r="AC929" s="3">
        <f t="shared" si="187"/>
        <v>72101.040000000008</v>
      </c>
      <c r="AD929" s="3">
        <f t="shared" si="188"/>
        <v>56533.770000000004</v>
      </c>
      <c r="AE929" s="3">
        <f t="shared" si="189"/>
        <v>215756.90000000002</v>
      </c>
      <c r="AF929" s="3">
        <f>SUM(ecommerce_sales_all_data[[#This Row],[revenue_month_1]:[revenue_month_12]])</f>
        <v>1641391.1</v>
      </c>
    </row>
    <row r="930" spans="1:32" x14ac:dyDescent="0.3">
      <c r="A930">
        <v>929</v>
      </c>
      <c r="B930" t="s">
        <v>953</v>
      </c>
      <c r="C930" t="s">
        <v>19</v>
      </c>
      <c r="D930" s="2">
        <v>318.57</v>
      </c>
      <c r="E930">
        <v>3.6</v>
      </c>
      <c r="F930">
        <v>977</v>
      </c>
      <c r="G930" s="1">
        <v>452</v>
      </c>
      <c r="H930" s="1">
        <v>238</v>
      </c>
      <c r="I930" s="1">
        <v>29</v>
      </c>
      <c r="J930" s="1">
        <v>125</v>
      </c>
      <c r="K930" s="1">
        <v>545</v>
      </c>
      <c r="L930" s="1">
        <v>513</v>
      </c>
      <c r="M930" s="1">
        <v>56</v>
      </c>
      <c r="N930" s="1">
        <v>502</v>
      </c>
      <c r="O930" s="1">
        <v>579</v>
      </c>
      <c r="P930" s="1">
        <v>8</v>
      </c>
      <c r="Q930" s="1">
        <v>883</v>
      </c>
      <c r="R930" s="1">
        <v>29</v>
      </c>
      <c r="S930" s="1">
        <f>SUM(ecommerce_sales_all_data[[#This Row],[sales_month_1]:[sales_month_12]])</f>
        <v>3959</v>
      </c>
      <c r="T930" s="3">
        <f t="shared" si="178"/>
        <v>143993.63999999998</v>
      </c>
      <c r="U930" s="3">
        <f t="shared" si="179"/>
        <v>75819.66</v>
      </c>
      <c r="V930" s="3">
        <f t="shared" si="180"/>
        <v>9238.5300000000007</v>
      </c>
      <c r="W930" s="3">
        <f t="shared" si="181"/>
        <v>39821.25</v>
      </c>
      <c r="X930" s="3">
        <f t="shared" si="182"/>
        <v>173620.65</v>
      </c>
      <c r="Y930" s="3">
        <f t="shared" si="183"/>
        <v>163426.41</v>
      </c>
      <c r="Z930" s="3">
        <f t="shared" si="184"/>
        <v>17839.919999999998</v>
      </c>
      <c r="AA930" s="3">
        <f t="shared" si="185"/>
        <v>159922.13999999998</v>
      </c>
      <c r="AB930" s="3">
        <f t="shared" si="186"/>
        <v>184452.03</v>
      </c>
      <c r="AC930" s="3">
        <f t="shared" si="187"/>
        <v>2548.56</v>
      </c>
      <c r="AD930" s="3">
        <f t="shared" si="188"/>
        <v>281297.31</v>
      </c>
      <c r="AE930" s="3">
        <f t="shared" si="189"/>
        <v>9238.5300000000007</v>
      </c>
      <c r="AF930" s="3">
        <f>SUM(ecommerce_sales_all_data[[#This Row],[revenue_month_1]:[revenue_month_12]])</f>
        <v>1261218.6300000001</v>
      </c>
    </row>
    <row r="931" spans="1:32" x14ac:dyDescent="0.3">
      <c r="A931">
        <v>930</v>
      </c>
      <c r="B931" t="s">
        <v>954</v>
      </c>
      <c r="C931" t="s">
        <v>35</v>
      </c>
      <c r="D931" s="2">
        <v>132.65</v>
      </c>
      <c r="E931">
        <v>1.3</v>
      </c>
      <c r="F931">
        <v>184</v>
      </c>
      <c r="G931" s="1">
        <v>282</v>
      </c>
      <c r="H931" s="1">
        <v>951</v>
      </c>
      <c r="I931" s="1">
        <v>44</v>
      </c>
      <c r="J931" s="1">
        <v>490</v>
      </c>
      <c r="K931" s="1">
        <v>168</v>
      </c>
      <c r="L931" s="1">
        <v>349</v>
      </c>
      <c r="M931" s="1">
        <v>976</v>
      </c>
      <c r="N931" s="1">
        <v>853</v>
      </c>
      <c r="O931" s="1">
        <v>909</v>
      </c>
      <c r="P931" s="1">
        <v>456</v>
      </c>
      <c r="Q931" s="1">
        <v>765</v>
      </c>
      <c r="R931" s="1">
        <v>265</v>
      </c>
      <c r="S931" s="1">
        <f>SUM(ecommerce_sales_all_data[[#This Row],[sales_month_1]:[sales_month_12]])</f>
        <v>6508</v>
      </c>
      <c r="T931" s="3">
        <f t="shared" si="178"/>
        <v>37407.300000000003</v>
      </c>
      <c r="U931" s="3">
        <f t="shared" si="179"/>
        <v>126150.15000000001</v>
      </c>
      <c r="V931" s="3">
        <f t="shared" si="180"/>
        <v>5836.6</v>
      </c>
      <c r="W931" s="3">
        <f t="shared" si="181"/>
        <v>64998.5</v>
      </c>
      <c r="X931" s="3">
        <f t="shared" si="182"/>
        <v>22285.200000000001</v>
      </c>
      <c r="Y931" s="3">
        <f t="shared" si="183"/>
        <v>46294.85</v>
      </c>
      <c r="Z931" s="3">
        <f t="shared" si="184"/>
        <v>129466.40000000001</v>
      </c>
      <c r="AA931" s="3">
        <f t="shared" si="185"/>
        <v>113150.45000000001</v>
      </c>
      <c r="AB931" s="3">
        <f t="shared" si="186"/>
        <v>120578.85</v>
      </c>
      <c r="AC931" s="3">
        <f t="shared" si="187"/>
        <v>60488.4</v>
      </c>
      <c r="AD931" s="3">
        <f t="shared" si="188"/>
        <v>101477.25</v>
      </c>
      <c r="AE931" s="3">
        <f t="shared" si="189"/>
        <v>35152.25</v>
      </c>
      <c r="AF931" s="3">
        <f>SUM(ecommerce_sales_all_data[[#This Row],[revenue_month_1]:[revenue_month_12]])</f>
        <v>863286.20000000007</v>
      </c>
    </row>
    <row r="932" spans="1:32" x14ac:dyDescent="0.3">
      <c r="A932">
        <v>931</v>
      </c>
      <c r="B932" t="s">
        <v>955</v>
      </c>
      <c r="C932" t="s">
        <v>21</v>
      </c>
      <c r="D932" s="2">
        <v>73.98</v>
      </c>
      <c r="E932">
        <v>3.3</v>
      </c>
      <c r="F932">
        <v>20</v>
      </c>
      <c r="G932" s="1">
        <v>335</v>
      </c>
      <c r="H932" s="1">
        <v>943</v>
      </c>
      <c r="I932" s="1">
        <v>786</v>
      </c>
      <c r="J932" s="1">
        <v>481</v>
      </c>
      <c r="K932" s="1">
        <v>521</v>
      </c>
      <c r="L932" s="1">
        <v>908</v>
      </c>
      <c r="M932" s="1">
        <v>185</v>
      </c>
      <c r="N932" s="1">
        <v>900</v>
      </c>
      <c r="O932" s="1">
        <v>446</v>
      </c>
      <c r="P932" s="1">
        <v>794</v>
      </c>
      <c r="Q932" s="1">
        <v>220</v>
      </c>
      <c r="R932" s="1">
        <v>327</v>
      </c>
      <c r="S932" s="1">
        <f>SUM(ecommerce_sales_all_data[[#This Row],[sales_month_1]:[sales_month_12]])</f>
        <v>6846</v>
      </c>
      <c r="T932" s="3">
        <f t="shared" si="178"/>
        <v>24783.300000000003</v>
      </c>
      <c r="U932" s="3">
        <f t="shared" si="179"/>
        <v>69763.14</v>
      </c>
      <c r="V932" s="3">
        <f t="shared" si="180"/>
        <v>58148.280000000006</v>
      </c>
      <c r="W932" s="3">
        <f t="shared" si="181"/>
        <v>35584.380000000005</v>
      </c>
      <c r="X932" s="3">
        <f t="shared" si="182"/>
        <v>38543.58</v>
      </c>
      <c r="Y932" s="3">
        <f t="shared" si="183"/>
        <v>67173.84</v>
      </c>
      <c r="Z932" s="3">
        <f t="shared" si="184"/>
        <v>13686.300000000001</v>
      </c>
      <c r="AA932" s="3">
        <f t="shared" si="185"/>
        <v>66582</v>
      </c>
      <c r="AB932" s="3">
        <f t="shared" si="186"/>
        <v>32995.08</v>
      </c>
      <c r="AC932" s="3">
        <f t="shared" si="187"/>
        <v>58740.12</v>
      </c>
      <c r="AD932" s="3">
        <f t="shared" si="188"/>
        <v>16275.6</v>
      </c>
      <c r="AE932" s="3">
        <f t="shared" si="189"/>
        <v>24191.460000000003</v>
      </c>
      <c r="AF932" s="3">
        <f>SUM(ecommerce_sales_all_data[[#This Row],[revenue_month_1]:[revenue_month_12]])</f>
        <v>506467.08</v>
      </c>
    </row>
    <row r="933" spans="1:32" x14ac:dyDescent="0.3">
      <c r="A933">
        <v>932</v>
      </c>
      <c r="B933" t="s">
        <v>956</v>
      </c>
      <c r="C933" t="s">
        <v>23</v>
      </c>
      <c r="D933" s="2">
        <v>418.29</v>
      </c>
      <c r="E933">
        <v>3.2</v>
      </c>
      <c r="F933">
        <v>937</v>
      </c>
      <c r="G933" s="1">
        <v>389</v>
      </c>
      <c r="H933" s="1">
        <v>154</v>
      </c>
      <c r="I933" s="1">
        <v>470</v>
      </c>
      <c r="J933" s="1">
        <v>344</v>
      </c>
      <c r="K933" s="1">
        <v>633</v>
      </c>
      <c r="L933" s="1">
        <v>680</v>
      </c>
      <c r="M933" s="1">
        <v>397</v>
      </c>
      <c r="N933" s="1">
        <v>771</v>
      </c>
      <c r="O933" s="1">
        <v>372</v>
      </c>
      <c r="P933" s="1">
        <v>272</v>
      </c>
      <c r="Q933" s="1">
        <v>261</v>
      </c>
      <c r="R933" s="1">
        <v>491</v>
      </c>
      <c r="S933" s="1">
        <f>SUM(ecommerce_sales_all_data[[#This Row],[sales_month_1]:[sales_month_12]])</f>
        <v>5234</v>
      </c>
      <c r="T933" s="3">
        <f t="shared" si="178"/>
        <v>162714.81</v>
      </c>
      <c r="U933" s="3">
        <f t="shared" si="179"/>
        <v>64416.66</v>
      </c>
      <c r="V933" s="3">
        <f t="shared" si="180"/>
        <v>196596.30000000002</v>
      </c>
      <c r="W933" s="3">
        <f t="shared" si="181"/>
        <v>143891.76</v>
      </c>
      <c r="X933" s="3">
        <f t="shared" si="182"/>
        <v>264777.57</v>
      </c>
      <c r="Y933" s="3">
        <f t="shared" si="183"/>
        <v>284437.2</v>
      </c>
      <c r="Z933" s="3">
        <f t="shared" si="184"/>
        <v>166061.13</v>
      </c>
      <c r="AA933" s="3">
        <f t="shared" si="185"/>
        <v>322501.59000000003</v>
      </c>
      <c r="AB933" s="3">
        <f t="shared" si="186"/>
        <v>155603.88</v>
      </c>
      <c r="AC933" s="3">
        <f t="shared" si="187"/>
        <v>113774.88</v>
      </c>
      <c r="AD933" s="3">
        <f t="shared" si="188"/>
        <v>109173.69</v>
      </c>
      <c r="AE933" s="3">
        <f t="shared" si="189"/>
        <v>205380.39</v>
      </c>
      <c r="AF933" s="3">
        <f>SUM(ecommerce_sales_all_data[[#This Row],[revenue_month_1]:[revenue_month_12]])</f>
        <v>2189329.8600000003</v>
      </c>
    </row>
    <row r="934" spans="1:32" x14ac:dyDescent="0.3">
      <c r="A934">
        <v>933</v>
      </c>
      <c r="B934" t="s">
        <v>957</v>
      </c>
      <c r="C934" t="s">
        <v>21</v>
      </c>
      <c r="D934" s="2">
        <v>492.28</v>
      </c>
      <c r="E934">
        <v>3.2</v>
      </c>
      <c r="F934">
        <v>558</v>
      </c>
      <c r="G934" s="1">
        <v>999</v>
      </c>
      <c r="H934" s="1">
        <v>180</v>
      </c>
      <c r="I934" s="1">
        <v>33</v>
      </c>
      <c r="J934" s="1">
        <v>911</v>
      </c>
      <c r="K934" s="1">
        <v>912</v>
      </c>
      <c r="L934" s="1">
        <v>463</v>
      </c>
      <c r="M934" s="1">
        <v>604</v>
      </c>
      <c r="N934" s="1">
        <v>675</v>
      </c>
      <c r="O934" s="1">
        <v>361</v>
      </c>
      <c r="P934" s="1">
        <v>939</v>
      </c>
      <c r="Q934" s="1">
        <v>409</v>
      </c>
      <c r="R934" s="1">
        <v>216</v>
      </c>
      <c r="S934" s="1">
        <f>SUM(ecommerce_sales_all_data[[#This Row],[sales_month_1]:[sales_month_12]])</f>
        <v>6702</v>
      </c>
      <c r="T934" s="3">
        <f t="shared" si="178"/>
        <v>491787.72</v>
      </c>
      <c r="U934" s="3">
        <f t="shared" si="179"/>
        <v>88610.4</v>
      </c>
      <c r="V934" s="3">
        <f t="shared" si="180"/>
        <v>16245.24</v>
      </c>
      <c r="W934" s="3">
        <f t="shared" si="181"/>
        <v>448467.07999999996</v>
      </c>
      <c r="X934" s="3">
        <f t="shared" si="182"/>
        <v>448959.36</v>
      </c>
      <c r="Y934" s="3">
        <f t="shared" si="183"/>
        <v>227925.63999999998</v>
      </c>
      <c r="Z934" s="3">
        <f t="shared" si="184"/>
        <v>297337.12</v>
      </c>
      <c r="AA934" s="3">
        <f t="shared" si="185"/>
        <v>332289</v>
      </c>
      <c r="AB934" s="3">
        <f t="shared" si="186"/>
        <v>177713.08</v>
      </c>
      <c r="AC934" s="3">
        <f t="shared" si="187"/>
        <v>462250.92</v>
      </c>
      <c r="AD934" s="3">
        <f t="shared" si="188"/>
        <v>201342.52</v>
      </c>
      <c r="AE934" s="3">
        <f t="shared" si="189"/>
        <v>106332.48</v>
      </c>
      <c r="AF934" s="3">
        <f>SUM(ecommerce_sales_all_data[[#This Row],[revenue_month_1]:[revenue_month_12]])</f>
        <v>3299260.5599999996</v>
      </c>
    </row>
    <row r="935" spans="1:32" x14ac:dyDescent="0.3">
      <c r="A935">
        <v>934</v>
      </c>
      <c r="B935" t="s">
        <v>958</v>
      </c>
      <c r="C935" t="s">
        <v>29</v>
      </c>
      <c r="D935" s="2">
        <v>265.22000000000003</v>
      </c>
      <c r="E935">
        <v>3.4</v>
      </c>
      <c r="F935">
        <v>524</v>
      </c>
      <c r="G935" s="1">
        <v>524</v>
      </c>
      <c r="H935" s="1">
        <v>214</v>
      </c>
      <c r="I935" s="1">
        <v>652</v>
      </c>
      <c r="J935" s="1">
        <v>737</v>
      </c>
      <c r="K935" s="1">
        <v>656</v>
      </c>
      <c r="L935" s="1">
        <v>826</v>
      </c>
      <c r="M935" s="1">
        <v>787</v>
      </c>
      <c r="N935" s="1">
        <v>5</v>
      </c>
      <c r="O935" s="1">
        <v>92</v>
      </c>
      <c r="P935" s="1">
        <v>812</v>
      </c>
      <c r="Q935" s="1">
        <v>330</v>
      </c>
      <c r="R935" s="1">
        <v>319</v>
      </c>
      <c r="S935" s="1">
        <f>SUM(ecommerce_sales_all_data[[#This Row],[sales_month_1]:[sales_month_12]])</f>
        <v>5954</v>
      </c>
      <c r="T935" s="3">
        <f t="shared" si="178"/>
        <v>138975.28000000003</v>
      </c>
      <c r="U935" s="3">
        <f t="shared" si="179"/>
        <v>56757.080000000009</v>
      </c>
      <c r="V935" s="3">
        <f t="shared" si="180"/>
        <v>172923.44000000003</v>
      </c>
      <c r="W935" s="3">
        <f t="shared" si="181"/>
        <v>195467.14</v>
      </c>
      <c r="X935" s="3">
        <f t="shared" si="182"/>
        <v>173984.32</v>
      </c>
      <c r="Y935" s="3">
        <f t="shared" si="183"/>
        <v>219071.72000000003</v>
      </c>
      <c r="Z935" s="3">
        <f t="shared" si="184"/>
        <v>208728.14</v>
      </c>
      <c r="AA935" s="3">
        <f t="shared" si="185"/>
        <v>1326.1000000000001</v>
      </c>
      <c r="AB935" s="3">
        <f t="shared" si="186"/>
        <v>24400.240000000002</v>
      </c>
      <c r="AC935" s="3">
        <f t="shared" si="187"/>
        <v>215358.64</v>
      </c>
      <c r="AD935" s="3">
        <f t="shared" si="188"/>
        <v>87522.6</v>
      </c>
      <c r="AE935" s="3">
        <f t="shared" si="189"/>
        <v>84605.180000000008</v>
      </c>
      <c r="AF935" s="3">
        <f>SUM(ecommerce_sales_all_data[[#This Row],[revenue_month_1]:[revenue_month_12]])</f>
        <v>1579119.8800000001</v>
      </c>
    </row>
    <row r="936" spans="1:32" x14ac:dyDescent="0.3">
      <c r="A936">
        <v>935</v>
      </c>
      <c r="B936" t="s">
        <v>959</v>
      </c>
      <c r="C936" t="s">
        <v>29</v>
      </c>
      <c r="D936" s="2">
        <v>89.98</v>
      </c>
      <c r="E936">
        <v>3.7</v>
      </c>
      <c r="F936">
        <v>582</v>
      </c>
      <c r="G936" s="1">
        <v>239</v>
      </c>
      <c r="H936" s="1">
        <v>87</v>
      </c>
      <c r="I936" s="1">
        <v>426</v>
      </c>
      <c r="J936" s="1">
        <v>220</v>
      </c>
      <c r="K936" s="1">
        <v>962</v>
      </c>
      <c r="L936" s="1">
        <v>836</v>
      </c>
      <c r="M936" s="1">
        <v>157</v>
      </c>
      <c r="N936" s="1">
        <v>499</v>
      </c>
      <c r="O936" s="1">
        <v>320</v>
      </c>
      <c r="P936" s="1">
        <v>7</v>
      </c>
      <c r="Q936" s="1">
        <v>343</v>
      </c>
      <c r="R936" s="1">
        <v>917</v>
      </c>
      <c r="S936" s="1">
        <f>SUM(ecommerce_sales_all_data[[#This Row],[sales_month_1]:[sales_month_12]])</f>
        <v>5013</v>
      </c>
      <c r="T936" s="3">
        <f t="shared" si="178"/>
        <v>21505.22</v>
      </c>
      <c r="U936" s="3">
        <f t="shared" si="179"/>
        <v>7828.26</v>
      </c>
      <c r="V936" s="3">
        <f t="shared" si="180"/>
        <v>38331.480000000003</v>
      </c>
      <c r="W936" s="3">
        <f t="shared" si="181"/>
        <v>19795.600000000002</v>
      </c>
      <c r="X936" s="3">
        <f t="shared" si="182"/>
        <v>86560.760000000009</v>
      </c>
      <c r="Y936" s="3">
        <f t="shared" si="183"/>
        <v>75223.28</v>
      </c>
      <c r="Z936" s="3">
        <f t="shared" si="184"/>
        <v>14126.86</v>
      </c>
      <c r="AA936" s="3">
        <f t="shared" si="185"/>
        <v>44900.020000000004</v>
      </c>
      <c r="AB936" s="3">
        <f t="shared" si="186"/>
        <v>28793.600000000002</v>
      </c>
      <c r="AC936" s="3">
        <f t="shared" si="187"/>
        <v>629.86</v>
      </c>
      <c r="AD936" s="3">
        <f t="shared" si="188"/>
        <v>30863.140000000003</v>
      </c>
      <c r="AE936" s="3">
        <f t="shared" si="189"/>
        <v>82511.66</v>
      </c>
      <c r="AF936" s="3">
        <f>SUM(ecommerce_sales_all_data[[#This Row],[revenue_month_1]:[revenue_month_12]])</f>
        <v>451069.74</v>
      </c>
    </row>
    <row r="937" spans="1:32" x14ac:dyDescent="0.3">
      <c r="A937">
        <v>936</v>
      </c>
      <c r="B937" t="s">
        <v>960</v>
      </c>
      <c r="C937" t="s">
        <v>35</v>
      </c>
      <c r="D937" s="2">
        <v>139.79</v>
      </c>
      <c r="E937">
        <v>4.2</v>
      </c>
      <c r="F937">
        <v>529</v>
      </c>
      <c r="G937" s="1">
        <v>831</v>
      </c>
      <c r="H937" s="1">
        <v>255</v>
      </c>
      <c r="I937" s="1">
        <v>829</v>
      </c>
      <c r="J937" s="1">
        <v>914</v>
      </c>
      <c r="K937" s="1">
        <v>957</v>
      </c>
      <c r="L937" s="1">
        <v>374</v>
      </c>
      <c r="M937" s="1">
        <v>786</v>
      </c>
      <c r="N937" s="1">
        <v>660</v>
      </c>
      <c r="O937" s="1">
        <v>323</v>
      </c>
      <c r="P937" s="1">
        <v>207</v>
      </c>
      <c r="Q937" s="1">
        <v>988</v>
      </c>
      <c r="R937" s="1">
        <v>398</v>
      </c>
      <c r="S937" s="1">
        <f>SUM(ecommerce_sales_all_data[[#This Row],[sales_month_1]:[sales_month_12]])</f>
        <v>7522</v>
      </c>
      <c r="T937" s="3">
        <f t="shared" si="178"/>
        <v>116165.48999999999</v>
      </c>
      <c r="U937" s="3">
        <f t="shared" si="179"/>
        <v>35646.449999999997</v>
      </c>
      <c r="V937" s="3">
        <f t="shared" si="180"/>
        <v>115885.90999999999</v>
      </c>
      <c r="W937" s="3">
        <f t="shared" si="181"/>
        <v>127768.06</v>
      </c>
      <c r="X937" s="3">
        <f t="shared" si="182"/>
        <v>133779.03</v>
      </c>
      <c r="Y937" s="3">
        <f t="shared" si="183"/>
        <v>52281.46</v>
      </c>
      <c r="Z937" s="3">
        <f t="shared" si="184"/>
        <v>109874.93999999999</v>
      </c>
      <c r="AA937" s="3">
        <f t="shared" si="185"/>
        <v>92261.4</v>
      </c>
      <c r="AB937" s="3">
        <f t="shared" si="186"/>
        <v>45152.17</v>
      </c>
      <c r="AC937" s="3">
        <f t="shared" si="187"/>
        <v>28936.53</v>
      </c>
      <c r="AD937" s="3">
        <f t="shared" si="188"/>
        <v>138112.51999999999</v>
      </c>
      <c r="AE937" s="3">
        <f t="shared" si="189"/>
        <v>55636.42</v>
      </c>
      <c r="AF937" s="3">
        <f>SUM(ecommerce_sales_all_data[[#This Row],[revenue_month_1]:[revenue_month_12]])</f>
        <v>1051500.3799999999</v>
      </c>
    </row>
    <row r="938" spans="1:32" x14ac:dyDescent="0.3">
      <c r="A938">
        <v>937</v>
      </c>
      <c r="B938" t="s">
        <v>961</v>
      </c>
      <c r="C938" t="s">
        <v>29</v>
      </c>
      <c r="D938" s="2">
        <v>14.1</v>
      </c>
      <c r="E938">
        <v>2.1</v>
      </c>
      <c r="F938">
        <v>883</v>
      </c>
      <c r="G938" s="1">
        <v>957</v>
      </c>
      <c r="H938" s="1">
        <v>510</v>
      </c>
      <c r="I938" s="1">
        <v>885</v>
      </c>
      <c r="J938" s="1">
        <v>918</v>
      </c>
      <c r="K938" s="1">
        <v>734</v>
      </c>
      <c r="L938" s="1">
        <v>91</v>
      </c>
      <c r="M938" s="1">
        <v>692</v>
      </c>
      <c r="N938" s="1">
        <v>716</v>
      </c>
      <c r="O938" s="1">
        <v>383</v>
      </c>
      <c r="P938" s="1">
        <v>913</v>
      </c>
      <c r="Q938" s="1">
        <v>770</v>
      </c>
      <c r="R938" s="1">
        <v>890</v>
      </c>
      <c r="S938" s="1">
        <f>SUM(ecommerce_sales_all_data[[#This Row],[sales_month_1]:[sales_month_12]])</f>
        <v>8459</v>
      </c>
      <c r="T938" s="3">
        <f t="shared" si="178"/>
        <v>13493.699999999999</v>
      </c>
      <c r="U938" s="3">
        <f t="shared" si="179"/>
        <v>7191</v>
      </c>
      <c r="V938" s="3">
        <f t="shared" si="180"/>
        <v>12478.5</v>
      </c>
      <c r="W938" s="3">
        <f t="shared" si="181"/>
        <v>12943.8</v>
      </c>
      <c r="X938" s="3">
        <f t="shared" si="182"/>
        <v>10349.4</v>
      </c>
      <c r="Y938" s="3">
        <f t="shared" si="183"/>
        <v>1283.0999999999999</v>
      </c>
      <c r="Z938" s="3">
        <f t="shared" si="184"/>
        <v>9757.1999999999989</v>
      </c>
      <c r="AA938" s="3">
        <f t="shared" si="185"/>
        <v>10095.6</v>
      </c>
      <c r="AB938" s="3">
        <f t="shared" si="186"/>
        <v>5400.3</v>
      </c>
      <c r="AC938" s="3">
        <f t="shared" si="187"/>
        <v>12873.3</v>
      </c>
      <c r="AD938" s="3">
        <f t="shared" si="188"/>
        <v>10857</v>
      </c>
      <c r="AE938" s="3">
        <f t="shared" si="189"/>
        <v>12549</v>
      </c>
      <c r="AF938" s="3">
        <f>SUM(ecommerce_sales_all_data[[#This Row],[revenue_month_1]:[revenue_month_12]])</f>
        <v>119271.90000000001</v>
      </c>
    </row>
    <row r="939" spans="1:32" x14ac:dyDescent="0.3">
      <c r="A939">
        <v>938</v>
      </c>
      <c r="B939" t="s">
        <v>962</v>
      </c>
      <c r="C939" t="s">
        <v>48</v>
      </c>
      <c r="D939" s="2">
        <v>457.58</v>
      </c>
      <c r="E939">
        <v>4.3</v>
      </c>
      <c r="F939">
        <v>147</v>
      </c>
      <c r="G939" s="1">
        <v>482</v>
      </c>
      <c r="H939" s="1">
        <v>72</v>
      </c>
      <c r="I939" s="1">
        <v>220</v>
      </c>
      <c r="J939" s="1">
        <v>722</v>
      </c>
      <c r="K939" s="1">
        <v>882</v>
      </c>
      <c r="L939" s="1">
        <v>180</v>
      </c>
      <c r="M939" s="1">
        <v>358</v>
      </c>
      <c r="N939" s="1">
        <v>117</v>
      </c>
      <c r="O939" s="1">
        <v>574</v>
      </c>
      <c r="P939" s="1">
        <v>636</v>
      </c>
      <c r="Q939" s="1">
        <v>819</v>
      </c>
      <c r="R939" s="1">
        <v>104</v>
      </c>
      <c r="S939" s="1">
        <f>SUM(ecommerce_sales_all_data[[#This Row],[sales_month_1]:[sales_month_12]])</f>
        <v>5166</v>
      </c>
      <c r="T939" s="3">
        <f t="shared" si="178"/>
        <v>220553.56</v>
      </c>
      <c r="U939" s="3">
        <f t="shared" si="179"/>
        <v>32945.760000000002</v>
      </c>
      <c r="V939" s="3">
        <f t="shared" si="180"/>
        <v>100667.59999999999</v>
      </c>
      <c r="W939" s="3">
        <f t="shared" si="181"/>
        <v>330372.76</v>
      </c>
      <c r="X939" s="3">
        <f t="shared" si="182"/>
        <v>403585.56</v>
      </c>
      <c r="Y939" s="3">
        <f t="shared" si="183"/>
        <v>82364.399999999994</v>
      </c>
      <c r="Z939" s="3">
        <f t="shared" si="184"/>
        <v>163813.63999999998</v>
      </c>
      <c r="AA939" s="3">
        <f t="shared" si="185"/>
        <v>53536.86</v>
      </c>
      <c r="AB939" s="3">
        <f t="shared" si="186"/>
        <v>262650.92</v>
      </c>
      <c r="AC939" s="3">
        <f t="shared" si="187"/>
        <v>291020.88</v>
      </c>
      <c r="AD939" s="3">
        <f t="shared" si="188"/>
        <v>374758.01999999996</v>
      </c>
      <c r="AE939" s="3">
        <f t="shared" si="189"/>
        <v>47588.32</v>
      </c>
      <c r="AF939" s="3">
        <f>SUM(ecommerce_sales_all_data[[#This Row],[revenue_month_1]:[revenue_month_12]])</f>
        <v>2363858.2799999998</v>
      </c>
    </row>
    <row r="940" spans="1:32" x14ac:dyDescent="0.3">
      <c r="A940">
        <v>939</v>
      </c>
      <c r="B940" t="s">
        <v>963</v>
      </c>
      <c r="C940" t="s">
        <v>19</v>
      </c>
      <c r="D940" s="2">
        <v>63.29</v>
      </c>
      <c r="E940">
        <v>3</v>
      </c>
      <c r="F940">
        <v>666</v>
      </c>
      <c r="G940" s="1">
        <v>658</v>
      </c>
      <c r="H940" s="1">
        <v>930</v>
      </c>
      <c r="I940" s="1">
        <v>867</v>
      </c>
      <c r="J940" s="1">
        <v>24</v>
      </c>
      <c r="K940" s="1">
        <v>768</v>
      </c>
      <c r="L940" s="1">
        <v>742</v>
      </c>
      <c r="M940" s="1">
        <v>439</v>
      </c>
      <c r="N940" s="1">
        <v>484</v>
      </c>
      <c r="O940" s="1">
        <v>735</v>
      </c>
      <c r="P940" s="1">
        <v>122</v>
      </c>
      <c r="Q940" s="1">
        <v>73</v>
      </c>
      <c r="R940" s="1">
        <v>695</v>
      </c>
      <c r="S940" s="1">
        <f>SUM(ecommerce_sales_all_data[[#This Row],[sales_month_1]:[sales_month_12]])</f>
        <v>6537</v>
      </c>
      <c r="T940" s="3">
        <f t="shared" si="178"/>
        <v>41644.82</v>
      </c>
      <c r="U940" s="3">
        <f t="shared" si="179"/>
        <v>58859.7</v>
      </c>
      <c r="V940" s="3">
        <f t="shared" si="180"/>
        <v>54872.43</v>
      </c>
      <c r="W940" s="3">
        <f t="shared" si="181"/>
        <v>1518.96</v>
      </c>
      <c r="X940" s="3">
        <f t="shared" si="182"/>
        <v>48606.720000000001</v>
      </c>
      <c r="Y940" s="3">
        <f t="shared" si="183"/>
        <v>46961.18</v>
      </c>
      <c r="Z940" s="3">
        <f t="shared" si="184"/>
        <v>27784.31</v>
      </c>
      <c r="AA940" s="3">
        <f t="shared" si="185"/>
        <v>30632.36</v>
      </c>
      <c r="AB940" s="3">
        <f t="shared" si="186"/>
        <v>46518.15</v>
      </c>
      <c r="AC940" s="3">
        <f t="shared" si="187"/>
        <v>7721.38</v>
      </c>
      <c r="AD940" s="3">
        <f t="shared" si="188"/>
        <v>4620.17</v>
      </c>
      <c r="AE940" s="3">
        <f t="shared" si="189"/>
        <v>43986.55</v>
      </c>
      <c r="AF940" s="3">
        <f>SUM(ecommerce_sales_all_data[[#This Row],[revenue_month_1]:[revenue_month_12]])</f>
        <v>413726.73</v>
      </c>
    </row>
    <row r="941" spans="1:32" x14ac:dyDescent="0.3">
      <c r="A941">
        <v>940</v>
      </c>
      <c r="B941" t="s">
        <v>964</v>
      </c>
      <c r="C941" t="s">
        <v>29</v>
      </c>
      <c r="D941" s="2">
        <v>290.38</v>
      </c>
      <c r="E941">
        <v>1.3</v>
      </c>
      <c r="F941">
        <v>304</v>
      </c>
      <c r="G941" s="1">
        <v>715</v>
      </c>
      <c r="H941" s="1">
        <v>178</v>
      </c>
      <c r="I941" s="1">
        <v>533</v>
      </c>
      <c r="J941" s="1">
        <v>527</v>
      </c>
      <c r="K941" s="1">
        <v>779</v>
      </c>
      <c r="L941" s="1">
        <v>300</v>
      </c>
      <c r="M941" s="1">
        <v>588</v>
      </c>
      <c r="N941" s="1">
        <v>600</v>
      </c>
      <c r="O941" s="1">
        <v>736</v>
      </c>
      <c r="P941" s="1">
        <v>32</v>
      </c>
      <c r="Q941" s="1">
        <v>636</v>
      </c>
      <c r="R941" s="1">
        <v>329</v>
      </c>
      <c r="S941" s="1">
        <f>SUM(ecommerce_sales_all_data[[#This Row],[sales_month_1]:[sales_month_12]])</f>
        <v>5953</v>
      </c>
      <c r="T941" s="3">
        <f t="shared" si="178"/>
        <v>207621.69999999998</v>
      </c>
      <c r="U941" s="3">
        <f t="shared" si="179"/>
        <v>51687.64</v>
      </c>
      <c r="V941" s="3">
        <f t="shared" si="180"/>
        <v>154772.54</v>
      </c>
      <c r="W941" s="3">
        <f t="shared" si="181"/>
        <v>153030.26</v>
      </c>
      <c r="X941" s="3">
        <f t="shared" si="182"/>
        <v>226206.02</v>
      </c>
      <c r="Y941" s="3">
        <f t="shared" si="183"/>
        <v>87114</v>
      </c>
      <c r="Z941" s="3">
        <f t="shared" si="184"/>
        <v>170743.44</v>
      </c>
      <c r="AA941" s="3">
        <f t="shared" si="185"/>
        <v>174228</v>
      </c>
      <c r="AB941" s="3">
        <f t="shared" si="186"/>
        <v>213719.67999999999</v>
      </c>
      <c r="AC941" s="3">
        <f t="shared" si="187"/>
        <v>9292.16</v>
      </c>
      <c r="AD941" s="3">
        <f t="shared" si="188"/>
        <v>184681.68</v>
      </c>
      <c r="AE941" s="3">
        <f t="shared" si="189"/>
        <v>95535.02</v>
      </c>
      <c r="AF941" s="3">
        <f>SUM(ecommerce_sales_all_data[[#This Row],[revenue_month_1]:[revenue_month_12]])</f>
        <v>1728632.14</v>
      </c>
    </row>
    <row r="942" spans="1:32" x14ac:dyDescent="0.3">
      <c r="A942">
        <v>941</v>
      </c>
      <c r="B942" t="s">
        <v>965</v>
      </c>
      <c r="C942" t="s">
        <v>19</v>
      </c>
      <c r="D942" s="2">
        <v>140.66</v>
      </c>
      <c r="E942">
        <v>1.2</v>
      </c>
      <c r="F942">
        <v>620</v>
      </c>
      <c r="G942" s="1">
        <v>591</v>
      </c>
      <c r="H942" s="1">
        <v>211</v>
      </c>
      <c r="I942" s="1">
        <v>691</v>
      </c>
      <c r="J942" s="1">
        <v>181</v>
      </c>
      <c r="K942" s="1">
        <v>870</v>
      </c>
      <c r="L942" s="1">
        <v>659</v>
      </c>
      <c r="M942" s="1">
        <v>465</v>
      </c>
      <c r="N942" s="1">
        <v>665</v>
      </c>
      <c r="O942" s="1">
        <v>880</v>
      </c>
      <c r="P942" s="1">
        <v>512</v>
      </c>
      <c r="Q942" s="1">
        <v>699</v>
      </c>
      <c r="R942" s="1">
        <v>659</v>
      </c>
      <c r="S942" s="1">
        <f>SUM(ecommerce_sales_all_data[[#This Row],[sales_month_1]:[sales_month_12]])</f>
        <v>7083</v>
      </c>
      <c r="T942" s="3">
        <f t="shared" si="178"/>
        <v>83130.06</v>
      </c>
      <c r="U942" s="3">
        <f t="shared" si="179"/>
        <v>29679.26</v>
      </c>
      <c r="V942" s="3">
        <f t="shared" si="180"/>
        <v>97196.06</v>
      </c>
      <c r="W942" s="3">
        <f t="shared" si="181"/>
        <v>25459.46</v>
      </c>
      <c r="X942" s="3">
        <f t="shared" si="182"/>
        <v>122374.2</v>
      </c>
      <c r="Y942" s="3">
        <f t="shared" si="183"/>
        <v>92694.94</v>
      </c>
      <c r="Z942" s="3">
        <f t="shared" si="184"/>
        <v>65406.9</v>
      </c>
      <c r="AA942" s="3">
        <f t="shared" si="185"/>
        <v>93538.9</v>
      </c>
      <c r="AB942" s="3">
        <f t="shared" si="186"/>
        <v>123780.8</v>
      </c>
      <c r="AC942" s="3">
        <f t="shared" si="187"/>
        <v>72017.919999999998</v>
      </c>
      <c r="AD942" s="3">
        <f t="shared" si="188"/>
        <v>98321.34</v>
      </c>
      <c r="AE942" s="3">
        <f t="shared" si="189"/>
        <v>92694.94</v>
      </c>
      <c r="AF942" s="3">
        <f>SUM(ecommerce_sales_all_data[[#This Row],[revenue_month_1]:[revenue_month_12]])</f>
        <v>996294.78</v>
      </c>
    </row>
    <row r="943" spans="1:32" x14ac:dyDescent="0.3">
      <c r="A943">
        <v>942</v>
      </c>
      <c r="B943" t="s">
        <v>966</v>
      </c>
      <c r="C943" t="s">
        <v>29</v>
      </c>
      <c r="D943" s="2">
        <v>279.32</v>
      </c>
      <c r="E943">
        <v>2.2999999999999998</v>
      </c>
      <c r="F943">
        <v>748</v>
      </c>
      <c r="G943" s="1">
        <v>890</v>
      </c>
      <c r="H943" s="1">
        <v>804</v>
      </c>
      <c r="I943" s="1">
        <v>947</v>
      </c>
      <c r="J943" s="1">
        <v>498</v>
      </c>
      <c r="K943" s="1">
        <v>515</v>
      </c>
      <c r="L943" s="1">
        <v>791</v>
      </c>
      <c r="M943" s="1">
        <v>662</v>
      </c>
      <c r="N943" s="1">
        <v>950</v>
      </c>
      <c r="O943" s="1">
        <v>345</v>
      </c>
      <c r="P943" s="1">
        <v>203</v>
      </c>
      <c r="Q943" s="1">
        <v>253</v>
      </c>
      <c r="R943" s="1">
        <v>616</v>
      </c>
      <c r="S943" s="1">
        <f>SUM(ecommerce_sales_all_data[[#This Row],[sales_month_1]:[sales_month_12]])</f>
        <v>7474</v>
      </c>
      <c r="T943" s="3">
        <f t="shared" si="178"/>
        <v>248594.8</v>
      </c>
      <c r="U943" s="3">
        <f t="shared" si="179"/>
        <v>224573.28</v>
      </c>
      <c r="V943" s="3">
        <f t="shared" si="180"/>
        <v>264516.03999999998</v>
      </c>
      <c r="W943" s="3">
        <f t="shared" si="181"/>
        <v>139101.35999999999</v>
      </c>
      <c r="X943" s="3">
        <f t="shared" si="182"/>
        <v>143849.79999999999</v>
      </c>
      <c r="Y943" s="3">
        <f t="shared" si="183"/>
        <v>220942.12</v>
      </c>
      <c r="Z943" s="3">
        <f t="shared" si="184"/>
        <v>184909.84</v>
      </c>
      <c r="AA943" s="3">
        <f t="shared" si="185"/>
        <v>265354</v>
      </c>
      <c r="AB943" s="3">
        <f t="shared" si="186"/>
        <v>96365.4</v>
      </c>
      <c r="AC943" s="3">
        <f t="shared" si="187"/>
        <v>56701.96</v>
      </c>
      <c r="AD943" s="3">
        <f t="shared" si="188"/>
        <v>70667.959999999992</v>
      </c>
      <c r="AE943" s="3">
        <f t="shared" si="189"/>
        <v>172061.12</v>
      </c>
      <c r="AF943" s="3">
        <f>SUM(ecommerce_sales_all_data[[#This Row],[revenue_month_1]:[revenue_month_12]])</f>
        <v>2087637.6799999997</v>
      </c>
    </row>
    <row r="944" spans="1:32" x14ac:dyDescent="0.3">
      <c r="A944">
        <v>943</v>
      </c>
      <c r="B944" t="s">
        <v>967</v>
      </c>
      <c r="C944" t="s">
        <v>48</v>
      </c>
      <c r="D944" s="2">
        <v>327.45</v>
      </c>
      <c r="E944">
        <v>4.0999999999999996</v>
      </c>
      <c r="F944">
        <v>820</v>
      </c>
      <c r="G944" s="1">
        <v>554</v>
      </c>
      <c r="H944" s="1">
        <v>233</v>
      </c>
      <c r="I944" s="1">
        <v>366</v>
      </c>
      <c r="J944" s="1">
        <v>840</v>
      </c>
      <c r="K944" s="1">
        <v>937</v>
      </c>
      <c r="L944" s="1">
        <v>188</v>
      </c>
      <c r="M944" s="1">
        <v>445</v>
      </c>
      <c r="N944" s="1">
        <v>678</v>
      </c>
      <c r="O944" s="1">
        <v>848</v>
      </c>
      <c r="P944" s="1">
        <v>517</v>
      </c>
      <c r="Q944" s="1">
        <v>958</v>
      </c>
      <c r="R944" s="1">
        <v>46</v>
      </c>
      <c r="S944" s="1">
        <f>SUM(ecommerce_sales_all_data[[#This Row],[sales_month_1]:[sales_month_12]])</f>
        <v>6610</v>
      </c>
      <c r="T944" s="3">
        <f t="shared" si="178"/>
        <v>181407.3</v>
      </c>
      <c r="U944" s="3">
        <f t="shared" si="179"/>
        <v>76295.849999999991</v>
      </c>
      <c r="V944" s="3">
        <f t="shared" si="180"/>
        <v>119846.7</v>
      </c>
      <c r="W944" s="3">
        <f t="shared" si="181"/>
        <v>275058</v>
      </c>
      <c r="X944" s="3">
        <f t="shared" si="182"/>
        <v>306820.64999999997</v>
      </c>
      <c r="Y944" s="3">
        <f t="shared" si="183"/>
        <v>61560.6</v>
      </c>
      <c r="Z944" s="3">
        <f t="shared" si="184"/>
        <v>145715.25</v>
      </c>
      <c r="AA944" s="3">
        <f t="shared" si="185"/>
        <v>222011.1</v>
      </c>
      <c r="AB944" s="3">
        <f t="shared" si="186"/>
        <v>277677.59999999998</v>
      </c>
      <c r="AC944" s="3">
        <f t="shared" si="187"/>
        <v>169291.65</v>
      </c>
      <c r="AD944" s="3">
        <f t="shared" si="188"/>
        <v>313697.09999999998</v>
      </c>
      <c r="AE944" s="3">
        <f t="shared" si="189"/>
        <v>15062.699999999999</v>
      </c>
      <c r="AF944" s="3">
        <f>SUM(ecommerce_sales_all_data[[#This Row],[revenue_month_1]:[revenue_month_12]])</f>
        <v>2164444.5000000005</v>
      </c>
    </row>
    <row r="945" spans="1:32" x14ac:dyDescent="0.3">
      <c r="A945">
        <v>944</v>
      </c>
      <c r="B945" t="s">
        <v>968</v>
      </c>
      <c r="C945" t="s">
        <v>21</v>
      </c>
      <c r="D945" s="2">
        <v>415.72</v>
      </c>
      <c r="E945">
        <v>3.8</v>
      </c>
      <c r="F945">
        <v>864</v>
      </c>
      <c r="G945" s="1">
        <v>457</v>
      </c>
      <c r="H945" s="1">
        <v>464</v>
      </c>
      <c r="I945" s="1">
        <v>931</v>
      </c>
      <c r="J945" s="1">
        <v>640</v>
      </c>
      <c r="K945" s="1">
        <v>396</v>
      </c>
      <c r="L945" s="1">
        <v>858</v>
      </c>
      <c r="M945" s="1">
        <v>749</v>
      </c>
      <c r="N945" s="1">
        <v>467</v>
      </c>
      <c r="O945" s="1">
        <v>102</v>
      </c>
      <c r="P945" s="1">
        <v>808</v>
      </c>
      <c r="Q945" s="1">
        <v>832</v>
      </c>
      <c r="R945" s="1">
        <v>598</v>
      </c>
      <c r="S945" s="1">
        <f>SUM(ecommerce_sales_all_data[[#This Row],[sales_month_1]:[sales_month_12]])</f>
        <v>7302</v>
      </c>
      <c r="T945" s="3">
        <f t="shared" si="178"/>
        <v>189984.04</v>
      </c>
      <c r="U945" s="3">
        <f t="shared" si="179"/>
        <v>192894.08000000002</v>
      </c>
      <c r="V945" s="3">
        <f t="shared" si="180"/>
        <v>387035.32</v>
      </c>
      <c r="W945" s="3">
        <f t="shared" si="181"/>
        <v>266060.80000000005</v>
      </c>
      <c r="X945" s="3">
        <f t="shared" si="182"/>
        <v>164625.12000000002</v>
      </c>
      <c r="Y945" s="3">
        <f t="shared" si="183"/>
        <v>356687.76</v>
      </c>
      <c r="Z945" s="3">
        <f t="shared" si="184"/>
        <v>311374.28000000003</v>
      </c>
      <c r="AA945" s="3">
        <f t="shared" si="185"/>
        <v>194141.24000000002</v>
      </c>
      <c r="AB945" s="3">
        <f t="shared" si="186"/>
        <v>42403.44</v>
      </c>
      <c r="AC945" s="3">
        <f t="shared" si="187"/>
        <v>335901.76</v>
      </c>
      <c r="AD945" s="3">
        <f t="shared" si="188"/>
        <v>345879.04000000004</v>
      </c>
      <c r="AE945" s="3">
        <f t="shared" si="189"/>
        <v>248600.56000000003</v>
      </c>
      <c r="AF945" s="3">
        <f>SUM(ecommerce_sales_all_data[[#This Row],[revenue_month_1]:[revenue_month_12]])</f>
        <v>3035587.44</v>
      </c>
    </row>
    <row r="946" spans="1:32" x14ac:dyDescent="0.3">
      <c r="A946">
        <v>945</v>
      </c>
      <c r="B946" t="s">
        <v>969</v>
      </c>
      <c r="C946" t="s">
        <v>23</v>
      </c>
      <c r="D946" s="2">
        <v>107.18</v>
      </c>
      <c r="E946">
        <v>4.2</v>
      </c>
      <c r="F946">
        <v>582</v>
      </c>
      <c r="G946" s="1">
        <v>88</v>
      </c>
      <c r="H946" s="1">
        <v>750</v>
      </c>
      <c r="I946" s="1">
        <v>840</v>
      </c>
      <c r="J946" s="1">
        <v>41</v>
      </c>
      <c r="K946" s="1">
        <v>865</v>
      </c>
      <c r="L946" s="1">
        <v>861</v>
      </c>
      <c r="M946" s="1">
        <v>800</v>
      </c>
      <c r="N946" s="1">
        <v>160</v>
      </c>
      <c r="O946" s="1">
        <v>214</v>
      </c>
      <c r="P946" s="1">
        <v>950</v>
      </c>
      <c r="Q946" s="1">
        <v>819</v>
      </c>
      <c r="R946" s="1">
        <v>820</v>
      </c>
      <c r="S946" s="1">
        <f>SUM(ecommerce_sales_all_data[[#This Row],[sales_month_1]:[sales_month_12]])</f>
        <v>7208</v>
      </c>
      <c r="T946" s="3">
        <f t="shared" si="178"/>
        <v>9431.84</v>
      </c>
      <c r="U946" s="3">
        <f t="shared" si="179"/>
        <v>80385</v>
      </c>
      <c r="V946" s="3">
        <f t="shared" si="180"/>
        <v>90031.200000000012</v>
      </c>
      <c r="W946" s="3">
        <f t="shared" si="181"/>
        <v>4394.38</v>
      </c>
      <c r="X946" s="3">
        <f t="shared" si="182"/>
        <v>92710.700000000012</v>
      </c>
      <c r="Y946" s="3">
        <f t="shared" si="183"/>
        <v>92281.98000000001</v>
      </c>
      <c r="Z946" s="3">
        <f t="shared" si="184"/>
        <v>85744</v>
      </c>
      <c r="AA946" s="3">
        <f t="shared" si="185"/>
        <v>17148.800000000003</v>
      </c>
      <c r="AB946" s="3">
        <f t="shared" si="186"/>
        <v>22936.52</v>
      </c>
      <c r="AC946" s="3">
        <f t="shared" si="187"/>
        <v>101821</v>
      </c>
      <c r="AD946" s="3">
        <f t="shared" si="188"/>
        <v>87780.420000000013</v>
      </c>
      <c r="AE946" s="3">
        <f t="shared" si="189"/>
        <v>87887.6</v>
      </c>
      <c r="AF946" s="3">
        <f>SUM(ecommerce_sales_all_data[[#This Row],[revenue_month_1]:[revenue_month_12]])</f>
        <v>772553.44</v>
      </c>
    </row>
    <row r="947" spans="1:32" x14ac:dyDescent="0.3">
      <c r="A947">
        <v>946</v>
      </c>
      <c r="B947" t="s">
        <v>970</v>
      </c>
      <c r="C947" t="s">
        <v>23</v>
      </c>
      <c r="D947" s="2">
        <v>10.44</v>
      </c>
      <c r="E947">
        <v>3.1</v>
      </c>
      <c r="F947">
        <v>695</v>
      </c>
      <c r="G947" s="1">
        <v>659</v>
      </c>
      <c r="H947" s="1">
        <v>222</v>
      </c>
      <c r="I947" s="1">
        <v>742</v>
      </c>
      <c r="J947" s="1">
        <v>914</v>
      </c>
      <c r="K947" s="1">
        <v>105</v>
      </c>
      <c r="L947" s="1">
        <v>313</v>
      </c>
      <c r="M947" s="1">
        <v>742</v>
      </c>
      <c r="N947" s="1">
        <v>269</v>
      </c>
      <c r="O947" s="1">
        <v>191</v>
      </c>
      <c r="P947" s="1">
        <v>516</v>
      </c>
      <c r="Q947" s="1">
        <v>746</v>
      </c>
      <c r="R947" s="1">
        <v>948</v>
      </c>
      <c r="S947" s="1">
        <f>SUM(ecommerce_sales_all_data[[#This Row],[sales_month_1]:[sales_month_12]])</f>
        <v>6367</v>
      </c>
      <c r="T947" s="3">
        <f t="shared" si="178"/>
        <v>6879.96</v>
      </c>
      <c r="U947" s="3">
        <f t="shared" si="179"/>
        <v>2317.6799999999998</v>
      </c>
      <c r="V947" s="3">
        <f t="shared" si="180"/>
        <v>7746.48</v>
      </c>
      <c r="W947" s="3">
        <f t="shared" si="181"/>
        <v>9542.16</v>
      </c>
      <c r="X947" s="3">
        <f t="shared" si="182"/>
        <v>1096.2</v>
      </c>
      <c r="Y947" s="3">
        <f t="shared" si="183"/>
        <v>3267.72</v>
      </c>
      <c r="Z947" s="3">
        <f t="shared" si="184"/>
        <v>7746.48</v>
      </c>
      <c r="AA947" s="3">
        <f t="shared" si="185"/>
        <v>2808.3599999999997</v>
      </c>
      <c r="AB947" s="3">
        <f t="shared" si="186"/>
        <v>1994.04</v>
      </c>
      <c r="AC947" s="3">
        <f t="shared" si="187"/>
        <v>5387.04</v>
      </c>
      <c r="AD947" s="3">
        <f t="shared" si="188"/>
        <v>7788.24</v>
      </c>
      <c r="AE947" s="3">
        <f t="shared" si="189"/>
        <v>9897.119999999999</v>
      </c>
      <c r="AF947" s="3">
        <f>SUM(ecommerce_sales_all_data[[#This Row],[revenue_month_1]:[revenue_month_12]])</f>
        <v>66471.48</v>
      </c>
    </row>
    <row r="948" spans="1:32" x14ac:dyDescent="0.3">
      <c r="A948">
        <v>947</v>
      </c>
      <c r="B948" t="s">
        <v>971</v>
      </c>
      <c r="C948" t="s">
        <v>29</v>
      </c>
      <c r="D948" s="2">
        <v>72.760000000000005</v>
      </c>
      <c r="E948">
        <v>2.8</v>
      </c>
      <c r="F948">
        <v>762</v>
      </c>
      <c r="G948" s="1">
        <v>94</v>
      </c>
      <c r="H948" s="1">
        <v>630</v>
      </c>
      <c r="I948" s="1">
        <v>914</v>
      </c>
      <c r="J948" s="1">
        <v>480</v>
      </c>
      <c r="K948" s="1">
        <v>84</v>
      </c>
      <c r="L948" s="1">
        <v>492</v>
      </c>
      <c r="M948" s="1">
        <v>487</v>
      </c>
      <c r="N948" s="1">
        <v>55</v>
      </c>
      <c r="O948" s="1">
        <v>671</v>
      </c>
      <c r="P948" s="1">
        <v>442</v>
      </c>
      <c r="Q948" s="1">
        <v>985</v>
      </c>
      <c r="R948" s="1">
        <v>640</v>
      </c>
      <c r="S948" s="1">
        <f>SUM(ecommerce_sales_all_data[[#This Row],[sales_month_1]:[sales_month_12]])</f>
        <v>5974</v>
      </c>
      <c r="T948" s="3">
        <f t="shared" si="178"/>
        <v>6839.4400000000005</v>
      </c>
      <c r="U948" s="3">
        <f t="shared" si="179"/>
        <v>45838.8</v>
      </c>
      <c r="V948" s="3">
        <f t="shared" si="180"/>
        <v>66502.64</v>
      </c>
      <c r="W948" s="3">
        <f t="shared" si="181"/>
        <v>34924.800000000003</v>
      </c>
      <c r="X948" s="3">
        <f t="shared" si="182"/>
        <v>6111.84</v>
      </c>
      <c r="Y948" s="3">
        <f t="shared" si="183"/>
        <v>35797.920000000006</v>
      </c>
      <c r="Z948" s="3">
        <f t="shared" si="184"/>
        <v>35434.120000000003</v>
      </c>
      <c r="AA948" s="3">
        <f t="shared" si="185"/>
        <v>4001.8</v>
      </c>
      <c r="AB948" s="3">
        <f t="shared" si="186"/>
        <v>48821.960000000006</v>
      </c>
      <c r="AC948" s="3">
        <f t="shared" si="187"/>
        <v>32159.920000000002</v>
      </c>
      <c r="AD948" s="3">
        <f t="shared" si="188"/>
        <v>71668.600000000006</v>
      </c>
      <c r="AE948" s="3">
        <f t="shared" si="189"/>
        <v>46566.400000000001</v>
      </c>
      <c r="AF948" s="3">
        <f>SUM(ecommerce_sales_all_data[[#This Row],[revenue_month_1]:[revenue_month_12]])</f>
        <v>434668.24</v>
      </c>
    </row>
    <row r="949" spans="1:32" x14ac:dyDescent="0.3">
      <c r="A949">
        <v>948</v>
      </c>
      <c r="B949" t="s">
        <v>972</v>
      </c>
      <c r="C949" t="s">
        <v>23</v>
      </c>
      <c r="D949" s="2">
        <v>450.51</v>
      </c>
      <c r="E949">
        <v>1.6</v>
      </c>
      <c r="F949">
        <v>228</v>
      </c>
      <c r="G949" s="1">
        <v>451</v>
      </c>
      <c r="H949" s="1">
        <v>824</v>
      </c>
      <c r="I949" s="1">
        <v>549</v>
      </c>
      <c r="J949" s="1">
        <v>929</v>
      </c>
      <c r="K949" s="1">
        <v>213</v>
      </c>
      <c r="L949" s="1">
        <v>922</v>
      </c>
      <c r="M949" s="1">
        <v>529</v>
      </c>
      <c r="N949" s="1">
        <v>227</v>
      </c>
      <c r="O949" s="1">
        <v>883</v>
      </c>
      <c r="P949" s="1">
        <v>591</v>
      </c>
      <c r="Q949" s="1">
        <v>761</v>
      </c>
      <c r="R949" s="1">
        <v>769</v>
      </c>
      <c r="S949" s="1">
        <f>SUM(ecommerce_sales_all_data[[#This Row],[sales_month_1]:[sales_month_12]])</f>
        <v>7648</v>
      </c>
      <c r="T949" s="3">
        <f t="shared" si="178"/>
        <v>203180.01</v>
      </c>
      <c r="U949" s="3">
        <f t="shared" si="179"/>
        <v>371220.24</v>
      </c>
      <c r="V949" s="3">
        <f t="shared" si="180"/>
        <v>247329.99</v>
      </c>
      <c r="W949" s="3">
        <f t="shared" si="181"/>
        <v>418523.79</v>
      </c>
      <c r="X949" s="3">
        <f t="shared" si="182"/>
        <v>95958.63</v>
      </c>
      <c r="Y949" s="3">
        <f t="shared" si="183"/>
        <v>415370.22</v>
      </c>
      <c r="Z949" s="3">
        <f t="shared" si="184"/>
        <v>238319.79</v>
      </c>
      <c r="AA949" s="3">
        <f t="shared" si="185"/>
        <v>102265.77</v>
      </c>
      <c r="AB949" s="3">
        <f t="shared" si="186"/>
        <v>397800.33</v>
      </c>
      <c r="AC949" s="3">
        <f t="shared" si="187"/>
        <v>266251.40999999997</v>
      </c>
      <c r="AD949" s="3">
        <f t="shared" si="188"/>
        <v>342838.11</v>
      </c>
      <c r="AE949" s="3">
        <f t="shared" si="189"/>
        <v>346442.19</v>
      </c>
      <c r="AF949" s="3">
        <f>SUM(ecommerce_sales_all_data[[#This Row],[revenue_month_1]:[revenue_month_12]])</f>
        <v>3445500.48</v>
      </c>
    </row>
    <row r="950" spans="1:32" x14ac:dyDescent="0.3">
      <c r="A950">
        <v>949</v>
      </c>
      <c r="B950" t="s">
        <v>973</v>
      </c>
      <c r="C950" t="s">
        <v>29</v>
      </c>
      <c r="D950" s="2">
        <v>437.58</v>
      </c>
      <c r="E950">
        <v>2.2999999999999998</v>
      </c>
      <c r="F950">
        <v>102</v>
      </c>
      <c r="G950" s="1">
        <v>427</v>
      </c>
      <c r="H950" s="1">
        <v>263</v>
      </c>
      <c r="I950" s="1">
        <v>581</v>
      </c>
      <c r="J950" s="1">
        <v>847</v>
      </c>
      <c r="K950" s="1">
        <v>120</v>
      </c>
      <c r="L950" s="1">
        <v>921</v>
      </c>
      <c r="M950" s="1">
        <v>72</v>
      </c>
      <c r="N950" s="1">
        <v>848</v>
      </c>
      <c r="O950" s="1">
        <v>718</v>
      </c>
      <c r="P950" s="1">
        <v>785</v>
      </c>
      <c r="Q950" s="1">
        <v>331</v>
      </c>
      <c r="R950" s="1">
        <v>313</v>
      </c>
      <c r="S950" s="1">
        <f>SUM(ecommerce_sales_all_data[[#This Row],[sales_month_1]:[sales_month_12]])</f>
        <v>6226</v>
      </c>
      <c r="T950" s="3">
        <f t="shared" si="178"/>
        <v>186846.66</v>
      </c>
      <c r="U950" s="3">
        <f t="shared" si="179"/>
        <v>115083.54</v>
      </c>
      <c r="V950" s="3">
        <f t="shared" si="180"/>
        <v>254233.97999999998</v>
      </c>
      <c r="W950" s="3">
        <f t="shared" si="181"/>
        <v>370630.26</v>
      </c>
      <c r="X950" s="3">
        <f t="shared" si="182"/>
        <v>52509.599999999999</v>
      </c>
      <c r="Y950" s="3">
        <f t="shared" si="183"/>
        <v>403011.18</v>
      </c>
      <c r="Z950" s="3">
        <f t="shared" si="184"/>
        <v>31505.759999999998</v>
      </c>
      <c r="AA950" s="3">
        <f t="shared" si="185"/>
        <v>371067.83999999997</v>
      </c>
      <c r="AB950" s="3">
        <f t="shared" si="186"/>
        <v>314182.44</v>
      </c>
      <c r="AC950" s="3">
        <f t="shared" si="187"/>
        <v>343500.3</v>
      </c>
      <c r="AD950" s="3">
        <f t="shared" si="188"/>
        <v>144838.97999999998</v>
      </c>
      <c r="AE950" s="3">
        <f t="shared" si="189"/>
        <v>136962.54</v>
      </c>
      <c r="AF950" s="3">
        <f>SUM(ecommerce_sales_all_data[[#This Row],[revenue_month_1]:[revenue_month_12]])</f>
        <v>2724373.0799999996</v>
      </c>
    </row>
    <row r="951" spans="1:32" x14ac:dyDescent="0.3">
      <c r="A951">
        <v>950</v>
      </c>
      <c r="B951" t="s">
        <v>974</v>
      </c>
      <c r="C951" t="s">
        <v>29</v>
      </c>
      <c r="D951" s="2">
        <v>300.72000000000003</v>
      </c>
      <c r="E951">
        <v>2.7</v>
      </c>
      <c r="F951">
        <v>587</v>
      </c>
      <c r="G951" s="1">
        <v>150</v>
      </c>
      <c r="H951" s="1">
        <v>206</v>
      </c>
      <c r="I951" s="1">
        <v>115</v>
      </c>
      <c r="J951" s="1">
        <v>747</v>
      </c>
      <c r="K951" s="1">
        <v>131</v>
      </c>
      <c r="L951" s="1">
        <v>127</v>
      </c>
      <c r="M951" s="1">
        <v>928</v>
      </c>
      <c r="N951" s="1">
        <v>148</v>
      </c>
      <c r="O951" s="1">
        <v>780</v>
      </c>
      <c r="P951" s="1">
        <v>688</v>
      </c>
      <c r="Q951" s="1">
        <v>397</v>
      </c>
      <c r="R951" s="1">
        <v>146</v>
      </c>
      <c r="S951" s="1">
        <f>SUM(ecommerce_sales_all_data[[#This Row],[sales_month_1]:[sales_month_12]])</f>
        <v>4563</v>
      </c>
      <c r="T951" s="3">
        <f t="shared" si="178"/>
        <v>45108.000000000007</v>
      </c>
      <c r="U951" s="3">
        <f t="shared" si="179"/>
        <v>61948.320000000007</v>
      </c>
      <c r="V951" s="3">
        <f t="shared" si="180"/>
        <v>34582.800000000003</v>
      </c>
      <c r="W951" s="3">
        <f t="shared" si="181"/>
        <v>224637.84000000003</v>
      </c>
      <c r="X951" s="3">
        <f t="shared" si="182"/>
        <v>39394.320000000007</v>
      </c>
      <c r="Y951" s="3">
        <f t="shared" si="183"/>
        <v>38191.440000000002</v>
      </c>
      <c r="Z951" s="3">
        <f t="shared" si="184"/>
        <v>279068.16000000003</v>
      </c>
      <c r="AA951" s="3">
        <f t="shared" si="185"/>
        <v>44506.560000000005</v>
      </c>
      <c r="AB951" s="3">
        <f t="shared" si="186"/>
        <v>234561.60000000003</v>
      </c>
      <c r="AC951" s="3">
        <f t="shared" si="187"/>
        <v>206895.36000000002</v>
      </c>
      <c r="AD951" s="3">
        <f t="shared" si="188"/>
        <v>119385.84000000001</v>
      </c>
      <c r="AE951" s="3">
        <f t="shared" si="189"/>
        <v>43905.120000000003</v>
      </c>
      <c r="AF951" s="3">
        <f>SUM(ecommerce_sales_all_data[[#This Row],[revenue_month_1]:[revenue_month_12]])</f>
        <v>1372185.3600000006</v>
      </c>
    </row>
    <row r="952" spans="1:32" x14ac:dyDescent="0.3">
      <c r="A952">
        <v>951</v>
      </c>
      <c r="B952" t="s">
        <v>975</v>
      </c>
      <c r="C952" t="s">
        <v>35</v>
      </c>
      <c r="D952" s="2">
        <v>302.26</v>
      </c>
      <c r="E952">
        <v>1.4</v>
      </c>
      <c r="F952">
        <v>417</v>
      </c>
      <c r="G952" s="1">
        <v>513</v>
      </c>
      <c r="H952" s="1">
        <v>606</v>
      </c>
      <c r="I952" s="1">
        <v>238</v>
      </c>
      <c r="J952" s="1">
        <v>871</v>
      </c>
      <c r="K952" s="1">
        <v>849</v>
      </c>
      <c r="L952" s="1">
        <v>518</v>
      </c>
      <c r="M952" s="1">
        <v>927</v>
      </c>
      <c r="N952" s="1">
        <v>45</v>
      </c>
      <c r="O952" s="1">
        <v>193</v>
      </c>
      <c r="P952" s="1">
        <v>849</v>
      </c>
      <c r="Q952" s="1">
        <v>344</v>
      </c>
      <c r="R952" s="1">
        <v>957</v>
      </c>
      <c r="S952" s="1">
        <f>SUM(ecommerce_sales_all_data[[#This Row],[sales_month_1]:[sales_month_12]])</f>
        <v>6910</v>
      </c>
      <c r="T952" s="3">
        <f t="shared" si="178"/>
        <v>155059.38</v>
      </c>
      <c r="U952" s="3">
        <f t="shared" si="179"/>
        <v>183169.56</v>
      </c>
      <c r="V952" s="3">
        <f t="shared" si="180"/>
        <v>71937.88</v>
      </c>
      <c r="W952" s="3">
        <f t="shared" si="181"/>
        <v>263268.46000000002</v>
      </c>
      <c r="X952" s="3">
        <f t="shared" si="182"/>
        <v>256618.74</v>
      </c>
      <c r="Y952" s="3">
        <f t="shared" si="183"/>
        <v>156570.68</v>
      </c>
      <c r="Z952" s="3">
        <f t="shared" si="184"/>
        <v>280195.02</v>
      </c>
      <c r="AA952" s="3">
        <f t="shared" si="185"/>
        <v>13601.699999999999</v>
      </c>
      <c r="AB952" s="3">
        <f t="shared" si="186"/>
        <v>58336.18</v>
      </c>
      <c r="AC952" s="3">
        <f t="shared" si="187"/>
        <v>256618.74</v>
      </c>
      <c r="AD952" s="3">
        <f t="shared" si="188"/>
        <v>103977.44</v>
      </c>
      <c r="AE952" s="3">
        <f t="shared" si="189"/>
        <v>289262.82</v>
      </c>
      <c r="AF952" s="3">
        <f>SUM(ecommerce_sales_all_data[[#This Row],[revenue_month_1]:[revenue_month_12]])</f>
        <v>2088616.5999999999</v>
      </c>
    </row>
    <row r="953" spans="1:32" x14ac:dyDescent="0.3">
      <c r="A953">
        <v>952</v>
      </c>
      <c r="B953" t="s">
        <v>976</v>
      </c>
      <c r="C953" t="s">
        <v>26</v>
      </c>
      <c r="D953" s="2">
        <v>334.19</v>
      </c>
      <c r="E953">
        <v>1.9</v>
      </c>
      <c r="F953">
        <v>958</v>
      </c>
      <c r="G953" s="1">
        <v>375</v>
      </c>
      <c r="H953" s="1">
        <v>884</v>
      </c>
      <c r="I953" s="1">
        <v>334</v>
      </c>
      <c r="J953" s="1">
        <v>438</v>
      </c>
      <c r="K953" s="1">
        <v>196</v>
      </c>
      <c r="L953" s="1">
        <v>425</v>
      </c>
      <c r="M953" s="1">
        <v>700</v>
      </c>
      <c r="N953" s="1">
        <v>143</v>
      </c>
      <c r="O953" s="1">
        <v>379</v>
      </c>
      <c r="P953" s="1">
        <v>832</v>
      </c>
      <c r="Q953" s="1">
        <v>583</v>
      </c>
      <c r="R953" s="1">
        <v>461</v>
      </c>
      <c r="S953" s="1">
        <f>SUM(ecommerce_sales_all_data[[#This Row],[sales_month_1]:[sales_month_12]])</f>
        <v>5750</v>
      </c>
      <c r="T953" s="3">
        <f t="shared" si="178"/>
        <v>125321.25</v>
      </c>
      <c r="U953" s="3">
        <f t="shared" si="179"/>
        <v>295423.96000000002</v>
      </c>
      <c r="V953" s="3">
        <f t="shared" si="180"/>
        <v>111619.46</v>
      </c>
      <c r="W953" s="3">
        <f t="shared" si="181"/>
        <v>146375.22</v>
      </c>
      <c r="X953" s="3">
        <f t="shared" si="182"/>
        <v>65501.24</v>
      </c>
      <c r="Y953" s="3">
        <f t="shared" si="183"/>
        <v>142030.75</v>
      </c>
      <c r="Z953" s="3">
        <f t="shared" si="184"/>
        <v>233933</v>
      </c>
      <c r="AA953" s="3">
        <f t="shared" si="185"/>
        <v>47789.17</v>
      </c>
      <c r="AB953" s="3">
        <f t="shared" si="186"/>
        <v>126658.01</v>
      </c>
      <c r="AC953" s="3">
        <f t="shared" si="187"/>
        <v>278046.08000000002</v>
      </c>
      <c r="AD953" s="3">
        <f t="shared" si="188"/>
        <v>194832.77</v>
      </c>
      <c r="AE953" s="3">
        <f t="shared" si="189"/>
        <v>154061.59</v>
      </c>
      <c r="AF953" s="3">
        <f>SUM(ecommerce_sales_all_data[[#This Row],[revenue_month_1]:[revenue_month_12]])</f>
        <v>1921592.5</v>
      </c>
    </row>
    <row r="954" spans="1:32" x14ac:dyDescent="0.3">
      <c r="A954">
        <v>953</v>
      </c>
      <c r="B954" t="s">
        <v>977</v>
      </c>
      <c r="C954" t="s">
        <v>26</v>
      </c>
      <c r="D954" s="2">
        <v>91.81</v>
      </c>
      <c r="E954">
        <v>3.4</v>
      </c>
      <c r="F954">
        <v>216</v>
      </c>
      <c r="G954" s="1">
        <v>21</v>
      </c>
      <c r="H954" s="1">
        <v>733</v>
      </c>
      <c r="I954" s="1">
        <v>440</v>
      </c>
      <c r="J954" s="1">
        <v>401</v>
      </c>
      <c r="K954" s="1">
        <v>18</v>
      </c>
      <c r="L954" s="1">
        <v>558</v>
      </c>
      <c r="M954" s="1">
        <v>949</v>
      </c>
      <c r="N954" s="1">
        <v>749</v>
      </c>
      <c r="O954" s="1">
        <v>402</v>
      </c>
      <c r="P954" s="1">
        <v>338</v>
      </c>
      <c r="Q954" s="1">
        <v>746</v>
      </c>
      <c r="R954" s="1">
        <v>583</v>
      </c>
      <c r="S954" s="1">
        <f>SUM(ecommerce_sales_all_data[[#This Row],[sales_month_1]:[sales_month_12]])</f>
        <v>5938</v>
      </c>
      <c r="T954" s="3">
        <f t="shared" si="178"/>
        <v>1928.01</v>
      </c>
      <c r="U954" s="3">
        <f t="shared" si="179"/>
        <v>67296.73</v>
      </c>
      <c r="V954" s="3">
        <f t="shared" si="180"/>
        <v>40396.400000000001</v>
      </c>
      <c r="W954" s="3">
        <f t="shared" si="181"/>
        <v>36815.81</v>
      </c>
      <c r="X954" s="3">
        <f t="shared" si="182"/>
        <v>1652.58</v>
      </c>
      <c r="Y954" s="3">
        <f t="shared" si="183"/>
        <v>51229.98</v>
      </c>
      <c r="Z954" s="3">
        <f t="shared" si="184"/>
        <v>87127.69</v>
      </c>
      <c r="AA954" s="3">
        <f t="shared" si="185"/>
        <v>68765.69</v>
      </c>
      <c r="AB954" s="3">
        <f t="shared" si="186"/>
        <v>36907.620000000003</v>
      </c>
      <c r="AC954" s="3">
        <f t="shared" si="187"/>
        <v>31031.780000000002</v>
      </c>
      <c r="AD954" s="3">
        <f t="shared" si="188"/>
        <v>68490.259999999995</v>
      </c>
      <c r="AE954" s="3">
        <f t="shared" si="189"/>
        <v>53525.23</v>
      </c>
      <c r="AF954" s="3">
        <f>SUM(ecommerce_sales_all_data[[#This Row],[revenue_month_1]:[revenue_month_12]])</f>
        <v>545167.78</v>
      </c>
    </row>
    <row r="955" spans="1:32" x14ac:dyDescent="0.3">
      <c r="A955">
        <v>954</v>
      </c>
      <c r="B955" t="s">
        <v>978</v>
      </c>
      <c r="C955" t="s">
        <v>35</v>
      </c>
      <c r="D955" s="2">
        <v>457.63</v>
      </c>
      <c r="E955">
        <v>3.9</v>
      </c>
      <c r="F955">
        <v>407</v>
      </c>
      <c r="G955" s="1">
        <v>882</v>
      </c>
      <c r="H955" s="1">
        <v>365</v>
      </c>
      <c r="I955" s="1">
        <v>147</v>
      </c>
      <c r="J955" s="1">
        <v>545</v>
      </c>
      <c r="K955" s="1">
        <v>641</v>
      </c>
      <c r="L955" s="1">
        <v>564</v>
      </c>
      <c r="M955" s="1">
        <v>16</v>
      </c>
      <c r="N955" s="1">
        <v>783</v>
      </c>
      <c r="O955" s="1">
        <v>663</v>
      </c>
      <c r="P955" s="1">
        <v>437</v>
      </c>
      <c r="Q955" s="1">
        <v>835</v>
      </c>
      <c r="R955" s="1">
        <v>485</v>
      </c>
      <c r="S955" s="1">
        <f>SUM(ecommerce_sales_all_data[[#This Row],[sales_month_1]:[sales_month_12]])</f>
        <v>6363</v>
      </c>
      <c r="T955" s="3">
        <f t="shared" si="178"/>
        <v>403629.66</v>
      </c>
      <c r="U955" s="3">
        <f t="shared" si="179"/>
        <v>167034.95000000001</v>
      </c>
      <c r="V955" s="3">
        <f t="shared" si="180"/>
        <v>67271.61</v>
      </c>
      <c r="W955" s="3">
        <f t="shared" si="181"/>
        <v>249408.35</v>
      </c>
      <c r="X955" s="3">
        <f t="shared" si="182"/>
        <v>293340.83</v>
      </c>
      <c r="Y955" s="3">
        <f t="shared" si="183"/>
        <v>258103.32</v>
      </c>
      <c r="Z955" s="3">
        <f t="shared" si="184"/>
        <v>7322.08</v>
      </c>
      <c r="AA955" s="3">
        <f t="shared" si="185"/>
        <v>358324.29</v>
      </c>
      <c r="AB955" s="3">
        <f t="shared" si="186"/>
        <v>303408.69</v>
      </c>
      <c r="AC955" s="3">
        <f t="shared" si="187"/>
        <v>199984.31</v>
      </c>
      <c r="AD955" s="3">
        <f t="shared" si="188"/>
        <v>382121.05</v>
      </c>
      <c r="AE955" s="3">
        <f t="shared" si="189"/>
        <v>221950.55</v>
      </c>
      <c r="AF955" s="3">
        <f>SUM(ecommerce_sales_all_data[[#This Row],[revenue_month_1]:[revenue_month_12]])</f>
        <v>2911899.69</v>
      </c>
    </row>
    <row r="956" spans="1:32" x14ac:dyDescent="0.3">
      <c r="A956">
        <v>955</v>
      </c>
      <c r="B956" t="s">
        <v>979</v>
      </c>
      <c r="C956" t="s">
        <v>26</v>
      </c>
      <c r="D956" s="2">
        <v>212.29</v>
      </c>
      <c r="E956">
        <v>5</v>
      </c>
      <c r="F956">
        <v>399</v>
      </c>
      <c r="G956" s="1">
        <v>312</v>
      </c>
      <c r="H956" s="1">
        <v>275</v>
      </c>
      <c r="I956" s="1">
        <v>8</v>
      </c>
      <c r="J956" s="1">
        <v>344</v>
      </c>
      <c r="K956" s="1">
        <v>11</v>
      </c>
      <c r="L956" s="1">
        <v>186</v>
      </c>
      <c r="M956" s="1">
        <v>530</v>
      </c>
      <c r="N956" s="1">
        <v>631</v>
      </c>
      <c r="O956" s="1">
        <v>748</v>
      </c>
      <c r="P956" s="1">
        <v>444</v>
      </c>
      <c r="Q956" s="1">
        <v>667</v>
      </c>
      <c r="R956" s="1">
        <v>651</v>
      </c>
      <c r="S956" s="1">
        <f>SUM(ecommerce_sales_all_data[[#This Row],[sales_month_1]:[sales_month_12]])</f>
        <v>4807</v>
      </c>
      <c r="T956" s="3">
        <f t="shared" si="178"/>
        <v>66234.48</v>
      </c>
      <c r="U956" s="3">
        <f t="shared" si="179"/>
        <v>58379.75</v>
      </c>
      <c r="V956" s="3">
        <f t="shared" si="180"/>
        <v>1698.32</v>
      </c>
      <c r="W956" s="3">
        <f t="shared" si="181"/>
        <v>73027.759999999995</v>
      </c>
      <c r="X956" s="3">
        <f t="shared" si="182"/>
        <v>2335.19</v>
      </c>
      <c r="Y956" s="3">
        <f t="shared" si="183"/>
        <v>39485.939999999995</v>
      </c>
      <c r="Z956" s="3">
        <f t="shared" si="184"/>
        <v>112513.7</v>
      </c>
      <c r="AA956" s="3">
        <f t="shared" si="185"/>
        <v>133954.99</v>
      </c>
      <c r="AB956" s="3">
        <f t="shared" si="186"/>
        <v>158792.91999999998</v>
      </c>
      <c r="AC956" s="3">
        <f t="shared" si="187"/>
        <v>94256.76</v>
      </c>
      <c r="AD956" s="3">
        <f t="shared" si="188"/>
        <v>141597.43</v>
      </c>
      <c r="AE956" s="3">
        <f t="shared" si="189"/>
        <v>138200.79</v>
      </c>
      <c r="AF956" s="3">
        <f>SUM(ecommerce_sales_all_data[[#This Row],[revenue_month_1]:[revenue_month_12]])</f>
        <v>1020478.03</v>
      </c>
    </row>
    <row r="957" spans="1:32" x14ac:dyDescent="0.3">
      <c r="A957">
        <v>956</v>
      </c>
      <c r="B957" t="s">
        <v>980</v>
      </c>
      <c r="C957" t="s">
        <v>19</v>
      </c>
      <c r="D957" s="2">
        <v>194.65</v>
      </c>
      <c r="E957">
        <v>4.7</v>
      </c>
      <c r="F957">
        <v>923</v>
      </c>
      <c r="G957" s="1">
        <v>996</v>
      </c>
      <c r="H957" s="1">
        <v>379</v>
      </c>
      <c r="I957" s="1">
        <v>287</v>
      </c>
      <c r="J957" s="1">
        <v>892</v>
      </c>
      <c r="K957" s="1">
        <v>80</v>
      </c>
      <c r="L957" s="1">
        <v>549</v>
      </c>
      <c r="M957" s="1">
        <v>730</v>
      </c>
      <c r="N957" s="1">
        <v>339</v>
      </c>
      <c r="O957" s="1">
        <v>599</v>
      </c>
      <c r="P957" s="1">
        <v>135</v>
      </c>
      <c r="Q957" s="1">
        <v>454</v>
      </c>
      <c r="R957" s="1">
        <v>409</v>
      </c>
      <c r="S957" s="1">
        <f>SUM(ecommerce_sales_all_data[[#This Row],[sales_month_1]:[sales_month_12]])</f>
        <v>5849</v>
      </c>
      <c r="T957" s="3">
        <f t="shared" si="178"/>
        <v>193871.4</v>
      </c>
      <c r="U957" s="3">
        <f t="shared" si="179"/>
        <v>73772.350000000006</v>
      </c>
      <c r="V957" s="3">
        <f t="shared" si="180"/>
        <v>55864.55</v>
      </c>
      <c r="W957" s="3">
        <f t="shared" si="181"/>
        <v>173627.80000000002</v>
      </c>
      <c r="X957" s="3">
        <f t="shared" si="182"/>
        <v>15572</v>
      </c>
      <c r="Y957" s="3">
        <f t="shared" si="183"/>
        <v>106862.85</v>
      </c>
      <c r="Z957" s="3">
        <f t="shared" si="184"/>
        <v>142094.5</v>
      </c>
      <c r="AA957" s="3">
        <f t="shared" si="185"/>
        <v>65986.350000000006</v>
      </c>
      <c r="AB957" s="3">
        <f t="shared" si="186"/>
        <v>116595.35</v>
      </c>
      <c r="AC957" s="3">
        <f t="shared" si="187"/>
        <v>26277.75</v>
      </c>
      <c r="AD957" s="3">
        <f t="shared" si="188"/>
        <v>88371.1</v>
      </c>
      <c r="AE957" s="3">
        <f t="shared" si="189"/>
        <v>79611.850000000006</v>
      </c>
      <c r="AF957" s="3">
        <f>SUM(ecommerce_sales_all_data[[#This Row],[revenue_month_1]:[revenue_month_12]])</f>
        <v>1138507.8500000001</v>
      </c>
    </row>
    <row r="958" spans="1:32" x14ac:dyDescent="0.3">
      <c r="A958">
        <v>957</v>
      </c>
      <c r="B958" t="s">
        <v>981</v>
      </c>
      <c r="C958" t="s">
        <v>26</v>
      </c>
      <c r="D958" s="2">
        <v>261.86</v>
      </c>
      <c r="E958">
        <v>3.6</v>
      </c>
      <c r="F958">
        <v>715</v>
      </c>
      <c r="G958" s="1">
        <v>839</v>
      </c>
      <c r="H958" s="1">
        <v>742</v>
      </c>
      <c r="I958" s="1">
        <v>387</v>
      </c>
      <c r="J958" s="1">
        <v>44</v>
      </c>
      <c r="K958" s="1">
        <v>329</v>
      </c>
      <c r="L958" s="1">
        <v>452</v>
      </c>
      <c r="M958" s="1">
        <v>325</v>
      </c>
      <c r="N958" s="1">
        <v>412</v>
      </c>
      <c r="O958" s="1">
        <v>10</v>
      </c>
      <c r="P958" s="1">
        <v>386</v>
      </c>
      <c r="Q958" s="1">
        <v>905</v>
      </c>
      <c r="R958" s="1">
        <v>26</v>
      </c>
      <c r="S958" s="1">
        <f>SUM(ecommerce_sales_all_data[[#This Row],[sales_month_1]:[sales_month_12]])</f>
        <v>4857</v>
      </c>
      <c r="T958" s="3">
        <f t="shared" si="178"/>
        <v>219700.54</v>
      </c>
      <c r="U958" s="3">
        <f t="shared" si="179"/>
        <v>194300.12000000002</v>
      </c>
      <c r="V958" s="3">
        <f t="shared" si="180"/>
        <v>101339.82</v>
      </c>
      <c r="W958" s="3">
        <f t="shared" si="181"/>
        <v>11521.84</v>
      </c>
      <c r="X958" s="3">
        <f t="shared" si="182"/>
        <v>86151.94</v>
      </c>
      <c r="Y958" s="3">
        <f t="shared" si="183"/>
        <v>118360.72</v>
      </c>
      <c r="Z958" s="3">
        <f t="shared" si="184"/>
        <v>85104.5</v>
      </c>
      <c r="AA958" s="3">
        <f t="shared" si="185"/>
        <v>107886.32</v>
      </c>
      <c r="AB958" s="3">
        <f t="shared" si="186"/>
        <v>2618.6000000000004</v>
      </c>
      <c r="AC958" s="3">
        <f t="shared" si="187"/>
        <v>101077.96</v>
      </c>
      <c r="AD958" s="3">
        <f t="shared" si="188"/>
        <v>236983.30000000002</v>
      </c>
      <c r="AE958" s="3">
        <f t="shared" si="189"/>
        <v>6808.3600000000006</v>
      </c>
      <c r="AF958" s="3">
        <f>SUM(ecommerce_sales_all_data[[#This Row],[revenue_month_1]:[revenue_month_12]])</f>
        <v>1271854.02</v>
      </c>
    </row>
    <row r="959" spans="1:32" x14ac:dyDescent="0.3">
      <c r="A959">
        <v>958</v>
      </c>
      <c r="B959" t="s">
        <v>982</v>
      </c>
      <c r="C959" t="s">
        <v>29</v>
      </c>
      <c r="D959" s="2">
        <v>28.25</v>
      </c>
      <c r="E959">
        <v>2.7</v>
      </c>
      <c r="F959">
        <v>704</v>
      </c>
      <c r="G959" s="1">
        <v>518</v>
      </c>
      <c r="H959" s="1">
        <v>308</v>
      </c>
      <c r="I959" s="1">
        <v>49</v>
      </c>
      <c r="J959" s="1">
        <v>645</v>
      </c>
      <c r="K959" s="1">
        <v>865</v>
      </c>
      <c r="L959" s="1">
        <v>470</v>
      </c>
      <c r="M959" s="1">
        <v>994</v>
      </c>
      <c r="N959" s="1">
        <v>731</v>
      </c>
      <c r="O959" s="1">
        <v>186</v>
      </c>
      <c r="P959" s="1">
        <v>24</v>
      </c>
      <c r="Q959" s="1">
        <v>114</v>
      </c>
      <c r="R959" s="1">
        <v>28</v>
      </c>
      <c r="S959" s="1">
        <f>SUM(ecommerce_sales_all_data[[#This Row],[sales_month_1]:[sales_month_12]])</f>
        <v>4932</v>
      </c>
      <c r="T959" s="3">
        <f t="shared" si="178"/>
        <v>14633.5</v>
      </c>
      <c r="U959" s="3">
        <f t="shared" si="179"/>
        <v>8701</v>
      </c>
      <c r="V959" s="3">
        <f t="shared" si="180"/>
        <v>1384.25</v>
      </c>
      <c r="W959" s="3">
        <f t="shared" si="181"/>
        <v>18221.25</v>
      </c>
      <c r="X959" s="3">
        <f t="shared" si="182"/>
        <v>24436.25</v>
      </c>
      <c r="Y959" s="3">
        <f t="shared" si="183"/>
        <v>13277.5</v>
      </c>
      <c r="Z959" s="3">
        <f t="shared" si="184"/>
        <v>28080.5</v>
      </c>
      <c r="AA959" s="3">
        <f t="shared" si="185"/>
        <v>20650.75</v>
      </c>
      <c r="AB959" s="3">
        <f t="shared" si="186"/>
        <v>5254.5</v>
      </c>
      <c r="AC959" s="3">
        <f t="shared" si="187"/>
        <v>678</v>
      </c>
      <c r="AD959" s="3">
        <f t="shared" si="188"/>
        <v>3220.5</v>
      </c>
      <c r="AE959" s="3">
        <f t="shared" si="189"/>
        <v>791</v>
      </c>
      <c r="AF959" s="3">
        <f>SUM(ecommerce_sales_all_data[[#This Row],[revenue_month_1]:[revenue_month_12]])</f>
        <v>139329</v>
      </c>
    </row>
    <row r="960" spans="1:32" x14ac:dyDescent="0.3">
      <c r="A960">
        <v>959</v>
      </c>
      <c r="B960" t="s">
        <v>983</v>
      </c>
      <c r="C960" t="s">
        <v>48</v>
      </c>
      <c r="D960" s="2">
        <v>87.31</v>
      </c>
      <c r="E960">
        <v>3.5</v>
      </c>
      <c r="F960">
        <v>761</v>
      </c>
      <c r="G960" s="1">
        <v>205</v>
      </c>
      <c r="H960" s="1">
        <v>630</v>
      </c>
      <c r="I960" s="1">
        <v>849</v>
      </c>
      <c r="J960" s="1">
        <v>20</v>
      </c>
      <c r="K960" s="1">
        <v>773</v>
      </c>
      <c r="L960" s="1">
        <v>987</v>
      </c>
      <c r="M960" s="1">
        <v>631</v>
      </c>
      <c r="N960" s="1">
        <v>519</v>
      </c>
      <c r="O960" s="1">
        <v>725</v>
      </c>
      <c r="P960" s="1">
        <v>505</v>
      </c>
      <c r="Q960" s="1">
        <v>312</v>
      </c>
      <c r="R960" s="1">
        <v>270</v>
      </c>
      <c r="S960" s="1">
        <f>SUM(ecommerce_sales_all_data[[#This Row],[sales_month_1]:[sales_month_12]])</f>
        <v>6426</v>
      </c>
      <c r="T960" s="3">
        <f t="shared" si="178"/>
        <v>17898.55</v>
      </c>
      <c r="U960" s="3">
        <f t="shared" si="179"/>
        <v>55005.3</v>
      </c>
      <c r="V960" s="3">
        <f t="shared" si="180"/>
        <v>74126.19</v>
      </c>
      <c r="W960" s="3">
        <f t="shared" si="181"/>
        <v>1746.2</v>
      </c>
      <c r="X960" s="3">
        <f t="shared" si="182"/>
        <v>67490.63</v>
      </c>
      <c r="Y960" s="3">
        <f t="shared" si="183"/>
        <v>86174.97</v>
      </c>
      <c r="Z960" s="3">
        <f t="shared" si="184"/>
        <v>55092.61</v>
      </c>
      <c r="AA960" s="3">
        <f t="shared" si="185"/>
        <v>45313.89</v>
      </c>
      <c r="AB960" s="3">
        <f t="shared" si="186"/>
        <v>63299.75</v>
      </c>
      <c r="AC960" s="3">
        <f t="shared" si="187"/>
        <v>44091.55</v>
      </c>
      <c r="AD960" s="3">
        <f t="shared" si="188"/>
        <v>27240.720000000001</v>
      </c>
      <c r="AE960" s="3">
        <f t="shared" si="189"/>
        <v>23573.7</v>
      </c>
      <c r="AF960" s="3">
        <f>SUM(ecommerce_sales_all_data[[#This Row],[revenue_month_1]:[revenue_month_12]])</f>
        <v>561054.05999999994</v>
      </c>
    </row>
    <row r="961" spans="1:32" x14ac:dyDescent="0.3">
      <c r="A961">
        <v>960</v>
      </c>
      <c r="B961" t="s">
        <v>984</v>
      </c>
      <c r="C961" t="s">
        <v>48</v>
      </c>
      <c r="D961" s="2">
        <v>370.33</v>
      </c>
      <c r="E961">
        <v>4.0999999999999996</v>
      </c>
      <c r="F961">
        <v>499</v>
      </c>
      <c r="G961" s="1">
        <v>951</v>
      </c>
      <c r="H961" s="1">
        <v>267</v>
      </c>
      <c r="I961" s="1">
        <v>516</v>
      </c>
      <c r="J961" s="1">
        <v>633</v>
      </c>
      <c r="K961" s="1">
        <v>391</v>
      </c>
      <c r="L961" s="1">
        <v>737</v>
      </c>
      <c r="M961" s="1">
        <v>612</v>
      </c>
      <c r="N961" s="1">
        <v>343</v>
      </c>
      <c r="O961" s="1">
        <v>14</v>
      </c>
      <c r="P961" s="1">
        <v>324</v>
      </c>
      <c r="Q961" s="1">
        <v>227</v>
      </c>
      <c r="R961" s="1">
        <v>685</v>
      </c>
      <c r="S961" s="1">
        <f>SUM(ecommerce_sales_all_data[[#This Row],[sales_month_1]:[sales_month_12]])</f>
        <v>5700</v>
      </c>
      <c r="T961" s="3">
        <f t="shared" si="178"/>
        <v>352183.82999999996</v>
      </c>
      <c r="U961" s="3">
        <f t="shared" si="179"/>
        <v>98878.11</v>
      </c>
      <c r="V961" s="3">
        <f t="shared" si="180"/>
        <v>191090.28</v>
      </c>
      <c r="W961" s="3">
        <f t="shared" si="181"/>
        <v>234418.88999999998</v>
      </c>
      <c r="X961" s="3">
        <f t="shared" si="182"/>
        <v>144799.03</v>
      </c>
      <c r="Y961" s="3">
        <f t="shared" si="183"/>
        <v>272933.20999999996</v>
      </c>
      <c r="Z961" s="3">
        <f t="shared" si="184"/>
        <v>226641.96</v>
      </c>
      <c r="AA961" s="3">
        <f t="shared" si="185"/>
        <v>127023.18999999999</v>
      </c>
      <c r="AB961" s="3">
        <f t="shared" si="186"/>
        <v>5184.62</v>
      </c>
      <c r="AC961" s="3">
        <f t="shared" si="187"/>
        <v>119986.92</v>
      </c>
      <c r="AD961" s="3">
        <f t="shared" si="188"/>
        <v>84064.91</v>
      </c>
      <c r="AE961" s="3">
        <f t="shared" si="189"/>
        <v>253676.05</v>
      </c>
      <c r="AF961" s="3">
        <f>SUM(ecommerce_sales_all_data[[#This Row],[revenue_month_1]:[revenue_month_12]])</f>
        <v>2110881</v>
      </c>
    </row>
    <row r="962" spans="1:32" x14ac:dyDescent="0.3">
      <c r="A962">
        <v>961</v>
      </c>
      <c r="B962" t="s">
        <v>985</v>
      </c>
      <c r="C962" t="s">
        <v>21</v>
      </c>
      <c r="D962" s="2">
        <v>45.99</v>
      </c>
      <c r="E962">
        <v>1.5</v>
      </c>
      <c r="F962">
        <v>754</v>
      </c>
      <c r="G962" s="1">
        <v>374</v>
      </c>
      <c r="H962" s="1">
        <v>944</v>
      </c>
      <c r="I962" s="1">
        <v>915</v>
      </c>
      <c r="J962" s="1">
        <v>69</v>
      </c>
      <c r="K962" s="1">
        <v>636</v>
      </c>
      <c r="L962" s="1">
        <v>564</v>
      </c>
      <c r="M962" s="1">
        <v>545</v>
      </c>
      <c r="N962" s="1">
        <v>386</v>
      </c>
      <c r="O962" s="1">
        <v>777</v>
      </c>
      <c r="P962" s="1">
        <v>694</v>
      </c>
      <c r="Q962" s="1">
        <v>833</v>
      </c>
      <c r="R962" s="1">
        <v>500</v>
      </c>
      <c r="S962" s="1">
        <f>SUM(ecommerce_sales_all_data[[#This Row],[sales_month_1]:[sales_month_12]])</f>
        <v>7237</v>
      </c>
      <c r="T962" s="3">
        <f t="shared" ref="T962:T1001" si="190">G962*$D962</f>
        <v>17200.260000000002</v>
      </c>
      <c r="U962" s="3">
        <f t="shared" ref="U962:U1001" si="191">H962*$D962</f>
        <v>43414.560000000005</v>
      </c>
      <c r="V962" s="3">
        <f t="shared" si="180"/>
        <v>42080.85</v>
      </c>
      <c r="W962" s="3">
        <f t="shared" si="181"/>
        <v>3173.31</v>
      </c>
      <c r="X962" s="3">
        <f t="shared" si="182"/>
        <v>29249.640000000003</v>
      </c>
      <c r="Y962" s="3">
        <f t="shared" si="183"/>
        <v>25938.36</v>
      </c>
      <c r="Z962" s="3">
        <f t="shared" si="184"/>
        <v>25064.55</v>
      </c>
      <c r="AA962" s="3">
        <f t="shared" si="185"/>
        <v>17752.14</v>
      </c>
      <c r="AB962" s="3">
        <f t="shared" si="186"/>
        <v>35734.230000000003</v>
      </c>
      <c r="AC962" s="3">
        <f t="shared" si="187"/>
        <v>31917.06</v>
      </c>
      <c r="AD962" s="3">
        <f t="shared" si="188"/>
        <v>38309.67</v>
      </c>
      <c r="AE962" s="3">
        <f t="shared" si="189"/>
        <v>22995</v>
      </c>
      <c r="AF962" s="3">
        <f>SUM(ecommerce_sales_all_data[[#This Row],[revenue_month_1]:[revenue_month_12]])</f>
        <v>332829.63000000006</v>
      </c>
    </row>
    <row r="963" spans="1:32" x14ac:dyDescent="0.3">
      <c r="A963">
        <v>962</v>
      </c>
      <c r="B963" t="s">
        <v>986</v>
      </c>
      <c r="C963" t="s">
        <v>26</v>
      </c>
      <c r="D963" s="2">
        <v>303.56</v>
      </c>
      <c r="E963">
        <v>2.6</v>
      </c>
      <c r="F963">
        <v>465</v>
      </c>
      <c r="G963" s="1">
        <v>450</v>
      </c>
      <c r="H963" s="1">
        <v>784</v>
      </c>
      <c r="I963" s="1">
        <v>854</v>
      </c>
      <c r="J963" s="1">
        <v>863</v>
      </c>
      <c r="K963" s="1">
        <v>306</v>
      </c>
      <c r="L963" s="1">
        <v>910</v>
      </c>
      <c r="M963" s="1">
        <v>595</v>
      </c>
      <c r="N963" s="1">
        <v>472</v>
      </c>
      <c r="O963" s="1">
        <v>296</v>
      </c>
      <c r="P963" s="1">
        <v>679</v>
      </c>
      <c r="Q963" s="1">
        <v>857</v>
      </c>
      <c r="R963" s="1">
        <v>252</v>
      </c>
      <c r="S963" s="1">
        <f>SUM(ecommerce_sales_all_data[[#This Row],[sales_month_1]:[sales_month_12]])</f>
        <v>7318</v>
      </c>
      <c r="T963" s="3">
        <f t="shared" si="190"/>
        <v>136602</v>
      </c>
      <c r="U963" s="3">
        <f t="shared" si="191"/>
        <v>237991.04000000001</v>
      </c>
      <c r="V963" s="3">
        <f t="shared" ref="V963:V1001" si="192">I963*$D963</f>
        <v>259240.24</v>
      </c>
      <c r="W963" s="3">
        <f t="shared" ref="W963:W1001" si="193">J963*$D963</f>
        <v>261972.28</v>
      </c>
      <c r="X963" s="3">
        <f t="shared" ref="X963:X1001" si="194">K963*$D963</f>
        <v>92889.36</v>
      </c>
      <c r="Y963" s="3">
        <f t="shared" ref="Y963:Y1001" si="195">L963*$D963</f>
        <v>276239.59999999998</v>
      </c>
      <c r="Z963" s="3">
        <f t="shared" ref="Z963:Z1001" si="196">M963*$D963</f>
        <v>180618.2</v>
      </c>
      <c r="AA963" s="3">
        <f t="shared" ref="AA963:AA1001" si="197">N963*$D963</f>
        <v>143280.32000000001</v>
      </c>
      <c r="AB963" s="3">
        <f t="shared" ref="AB963:AB1001" si="198">O963*$D963</f>
        <v>89853.759999999995</v>
      </c>
      <c r="AC963" s="3">
        <f t="shared" ref="AC963:AC1001" si="199">P963*$D963</f>
        <v>206117.24</v>
      </c>
      <c r="AD963" s="3">
        <f t="shared" ref="AD963:AD1001" si="200">Q963*$D963</f>
        <v>260150.92</v>
      </c>
      <c r="AE963" s="3">
        <f t="shared" ref="AE963:AE1001" si="201">R963*$D963</f>
        <v>76497.119999999995</v>
      </c>
      <c r="AF963" s="3">
        <f>SUM(ecommerce_sales_all_data[[#This Row],[revenue_month_1]:[revenue_month_12]])</f>
        <v>2221452.08</v>
      </c>
    </row>
    <row r="964" spans="1:32" x14ac:dyDescent="0.3">
      <c r="A964">
        <v>963</v>
      </c>
      <c r="B964" t="s">
        <v>987</v>
      </c>
      <c r="C964" t="s">
        <v>48</v>
      </c>
      <c r="D964" s="2">
        <v>126.45</v>
      </c>
      <c r="E964">
        <v>4.4000000000000004</v>
      </c>
      <c r="F964">
        <v>691</v>
      </c>
      <c r="G964" s="1">
        <v>625</v>
      </c>
      <c r="H964" s="1">
        <v>63</v>
      </c>
      <c r="I964" s="1">
        <v>637</v>
      </c>
      <c r="J964" s="1">
        <v>872</v>
      </c>
      <c r="K964" s="1">
        <v>266</v>
      </c>
      <c r="L964" s="1">
        <v>223</v>
      </c>
      <c r="M964" s="1">
        <v>920</v>
      </c>
      <c r="N964" s="1">
        <v>274</v>
      </c>
      <c r="O964" s="1">
        <v>410</v>
      </c>
      <c r="P964" s="1">
        <v>978</v>
      </c>
      <c r="Q964" s="1">
        <v>244</v>
      </c>
      <c r="R964" s="1">
        <v>384</v>
      </c>
      <c r="S964" s="1">
        <f>SUM(ecommerce_sales_all_data[[#This Row],[sales_month_1]:[sales_month_12]])</f>
        <v>5896</v>
      </c>
      <c r="T964" s="3">
        <f t="shared" si="190"/>
        <v>79031.25</v>
      </c>
      <c r="U964" s="3">
        <f t="shared" si="191"/>
        <v>7966.35</v>
      </c>
      <c r="V964" s="3">
        <f t="shared" si="192"/>
        <v>80548.650000000009</v>
      </c>
      <c r="W964" s="3">
        <f t="shared" si="193"/>
        <v>110264.40000000001</v>
      </c>
      <c r="X964" s="3">
        <f t="shared" si="194"/>
        <v>33635.700000000004</v>
      </c>
      <c r="Y964" s="3">
        <f t="shared" si="195"/>
        <v>28198.350000000002</v>
      </c>
      <c r="Z964" s="3">
        <f t="shared" si="196"/>
        <v>116334</v>
      </c>
      <c r="AA964" s="3">
        <f t="shared" si="197"/>
        <v>34647.300000000003</v>
      </c>
      <c r="AB964" s="3">
        <f t="shared" si="198"/>
        <v>51844.5</v>
      </c>
      <c r="AC964" s="3">
        <f t="shared" si="199"/>
        <v>123668.1</v>
      </c>
      <c r="AD964" s="3">
        <f t="shared" si="200"/>
        <v>30853.8</v>
      </c>
      <c r="AE964" s="3">
        <f t="shared" si="201"/>
        <v>48556.800000000003</v>
      </c>
      <c r="AF964" s="3">
        <f>SUM(ecommerce_sales_all_data[[#This Row],[revenue_month_1]:[revenue_month_12]])</f>
        <v>745549.20000000007</v>
      </c>
    </row>
    <row r="965" spans="1:32" x14ac:dyDescent="0.3">
      <c r="A965">
        <v>964</v>
      </c>
      <c r="B965" t="s">
        <v>988</v>
      </c>
      <c r="C965" t="s">
        <v>26</v>
      </c>
      <c r="D965" s="2">
        <v>197.7</v>
      </c>
      <c r="E965">
        <v>2.5</v>
      </c>
      <c r="F965">
        <v>949</v>
      </c>
      <c r="G965" s="1">
        <v>783</v>
      </c>
      <c r="H965" s="1">
        <v>809</v>
      </c>
      <c r="I965" s="1">
        <v>586</v>
      </c>
      <c r="J965" s="1">
        <v>47</v>
      </c>
      <c r="K965" s="1">
        <v>446</v>
      </c>
      <c r="L965" s="1">
        <v>153</v>
      </c>
      <c r="M965" s="1">
        <v>707</v>
      </c>
      <c r="N965" s="1">
        <v>352</v>
      </c>
      <c r="O965" s="1">
        <v>955</v>
      </c>
      <c r="P965" s="1">
        <v>337</v>
      </c>
      <c r="Q965" s="1">
        <v>817</v>
      </c>
      <c r="R965" s="1">
        <v>59</v>
      </c>
      <c r="S965" s="1">
        <f>SUM(ecommerce_sales_all_data[[#This Row],[sales_month_1]:[sales_month_12]])</f>
        <v>6051</v>
      </c>
      <c r="T965" s="3">
        <f t="shared" si="190"/>
        <v>154799.09999999998</v>
      </c>
      <c r="U965" s="3">
        <f t="shared" si="191"/>
        <v>159939.29999999999</v>
      </c>
      <c r="V965" s="3">
        <f t="shared" si="192"/>
        <v>115852.2</v>
      </c>
      <c r="W965" s="3">
        <f t="shared" si="193"/>
        <v>9291.9</v>
      </c>
      <c r="X965" s="3">
        <f t="shared" si="194"/>
        <v>88174.2</v>
      </c>
      <c r="Y965" s="3">
        <f t="shared" si="195"/>
        <v>30248.1</v>
      </c>
      <c r="Z965" s="3">
        <f t="shared" si="196"/>
        <v>139773.9</v>
      </c>
      <c r="AA965" s="3">
        <f t="shared" si="197"/>
        <v>69590.399999999994</v>
      </c>
      <c r="AB965" s="3">
        <f t="shared" si="198"/>
        <v>188803.5</v>
      </c>
      <c r="AC965" s="3">
        <f t="shared" si="199"/>
        <v>66624.899999999994</v>
      </c>
      <c r="AD965" s="3">
        <f t="shared" si="200"/>
        <v>161520.9</v>
      </c>
      <c r="AE965" s="3">
        <f t="shared" si="201"/>
        <v>11664.3</v>
      </c>
      <c r="AF965" s="3">
        <f>SUM(ecommerce_sales_all_data[[#This Row],[revenue_month_1]:[revenue_month_12]])</f>
        <v>1196282.7</v>
      </c>
    </row>
    <row r="966" spans="1:32" x14ac:dyDescent="0.3">
      <c r="A966">
        <v>965</v>
      </c>
      <c r="B966" t="s">
        <v>989</v>
      </c>
      <c r="C966" t="s">
        <v>21</v>
      </c>
      <c r="D966" s="2">
        <v>147.9</v>
      </c>
      <c r="E966">
        <v>3.3</v>
      </c>
      <c r="F966">
        <v>974</v>
      </c>
      <c r="G966" s="1">
        <v>594</v>
      </c>
      <c r="H966" s="1">
        <v>349</v>
      </c>
      <c r="I966" s="1">
        <v>676</v>
      </c>
      <c r="J966" s="1">
        <v>490</v>
      </c>
      <c r="K966" s="1">
        <v>440</v>
      </c>
      <c r="L966" s="1">
        <v>559</v>
      </c>
      <c r="M966" s="1">
        <v>841</v>
      </c>
      <c r="N966" s="1">
        <v>65</v>
      </c>
      <c r="O966" s="1">
        <v>584</v>
      </c>
      <c r="P966" s="1">
        <v>689</v>
      </c>
      <c r="Q966" s="1">
        <v>525</v>
      </c>
      <c r="R966" s="1">
        <v>106</v>
      </c>
      <c r="S966" s="1">
        <f>SUM(ecommerce_sales_all_data[[#This Row],[sales_month_1]:[sales_month_12]])</f>
        <v>5918</v>
      </c>
      <c r="T966" s="3">
        <f t="shared" si="190"/>
        <v>87852.6</v>
      </c>
      <c r="U966" s="3">
        <f t="shared" si="191"/>
        <v>51617.1</v>
      </c>
      <c r="V966" s="3">
        <f t="shared" si="192"/>
        <v>99980.400000000009</v>
      </c>
      <c r="W966" s="3">
        <f t="shared" si="193"/>
        <v>72471</v>
      </c>
      <c r="X966" s="3">
        <f t="shared" si="194"/>
        <v>65076</v>
      </c>
      <c r="Y966" s="3">
        <f t="shared" si="195"/>
        <v>82676.100000000006</v>
      </c>
      <c r="Z966" s="3">
        <f t="shared" si="196"/>
        <v>124383.90000000001</v>
      </c>
      <c r="AA966" s="3">
        <f t="shared" si="197"/>
        <v>9613.5</v>
      </c>
      <c r="AB966" s="3">
        <f t="shared" si="198"/>
        <v>86373.6</v>
      </c>
      <c r="AC966" s="3">
        <f t="shared" si="199"/>
        <v>101903.1</v>
      </c>
      <c r="AD966" s="3">
        <f t="shared" si="200"/>
        <v>77647.5</v>
      </c>
      <c r="AE966" s="3">
        <f t="shared" si="201"/>
        <v>15677.400000000001</v>
      </c>
      <c r="AF966" s="3">
        <f>SUM(ecommerce_sales_all_data[[#This Row],[revenue_month_1]:[revenue_month_12]])</f>
        <v>875272.20000000007</v>
      </c>
    </row>
    <row r="967" spans="1:32" x14ac:dyDescent="0.3">
      <c r="A967">
        <v>966</v>
      </c>
      <c r="B967" t="s">
        <v>990</v>
      </c>
      <c r="C967" t="s">
        <v>48</v>
      </c>
      <c r="D967" s="2">
        <v>181.06</v>
      </c>
      <c r="E967">
        <v>3.4</v>
      </c>
      <c r="F967">
        <v>731</v>
      </c>
      <c r="G967" s="1">
        <v>178</v>
      </c>
      <c r="H967" s="1">
        <v>924</v>
      </c>
      <c r="I967" s="1">
        <v>277</v>
      </c>
      <c r="J967" s="1">
        <v>550</v>
      </c>
      <c r="K967" s="1">
        <v>894</v>
      </c>
      <c r="L967" s="1">
        <v>350</v>
      </c>
      <c r="M967" s="1">
        <v>201</v>
      </c>
      <c r="N967" s="1">
        <v>78</v>
      </c>
      <c r="O967" s="1">
        <v>51</v>
      </c>
      <c r="P967" s="1">
        <v>884</v>
      </c>
      <c r="Q967" s="1">
        <v>527</v>
      </c>
      <c r="R967" s="1">
        <v>219</v>
      </c>
      <c r="S967" s="1">
        <f>SUM(ecommerce_sales_all_data[[#This Row],[sales_month_1]:[sales_month_12]])</f>
        <v>5133</v>
      </c>
      <c r="T967" s="3">
        <f t="shared" si="190"/>
        <v>32228.68</v>
      </c>
      <c r="U967" s="3">
        <f t="shared" si="191"/>
        <v>167299.44</v>
      </c>
      <c r="V967" s="3">
        <f t="shared" si="192"/>
        <v>50153.62</v>
      </c>
      <c r="W967" s="3">
        <f t="shared" si="193"/>
        <v>99583</v>
      </c>
      <c r="X967" s="3">
        <f t="shared" si="194"/>
        <v>161867.64000000001</v>
      </c>
      <c r="Y967" s="3">
        <f t="shared" si="195"/>
        <v>63371</v>
      </c>
      <c r="Z967" s="3">
        <f t="shared" si="196"/>
        <v>36393.06</v>
      </c>
      <c r="AA967" s="3">
        <f t="shared" si="197"/>
        <v>14122.68</v>
      </c>
      <c r="AB967" s="3">
        <f t="shared" si="198"/>
        <v>9234.06</v>
      </c>
      <c r="AC967" s="3">
        <f t="shared" si="199"/>
        <v>160057.04</v>
      </c>
      <c r="AD967" s="3">
        <f t="shared" si="200"/>
        <v>95418.62</v>
      </c>
      <c r="AE967" s="3">
        <f t="shared" si="201"/>
        <v>39652.14</v>
      </c>
      <c r="AF967" s="3">
        <f>SUM(ecommerce_sales_all_data[[#This Row],[revenue_month_1]:[revenue_month_12]])</f>
        <v>929380.9800000001</v>
      </c>
    </row>
    <row r="968" spans="1:32" x14ac:dyDescent="0.3">
      <c r="A968">
        <v>967</v>
      </c>
      <c r="B968" t="s">
        <v>991</v>
      </c>
      <c r="C968" t="s">
        <v>29</v>
      </c>
      <c r="D968" s="2">
        <v>360.93</v>
      </c>
      <c r="E968">
        <v>1.7</v>
      </c>
      <c r="F968">
        <v>82</v>
      </c>
      <c r="G968" s="1">
        <v>209</v>
      </c>
      <c r="H968" s="1">
        <v>914</v>
      </c>
      <c r="I968" s="1">
        <v>953</v>
      </c>
      <c r="J968" s="1">
        <v>286</v>
      </c>
      <c r="K968" s="1">
        <v>651</v>
      </c>
      <c r="L968" s="1">
        <v>146</v>
      </c>
      <c r="M968" s="1">
        <v>343</v>
      </c>
      <c r="N968" s="1">
        <v>597</v>
      </c>
      <c r="O968" s="1">
        <v>639</v>
      </c>
      <c r="P968" s="1">
        <v>94</v>
      </c>
      <c r="Q968" s="1">
        <v>949</v>
      </c>
      <c r="R968" s="1">
        <v>440</v>
      </c>
      <c r="S968" s="1">
        <f>SUM(ecommerce_sales_all_data[[#This Row],[sales_month_1]:[sales_month_12]])</f>
        <v>6221</v>
      </c>
      <c r="T968" s="3">
        <f t="shared" si="190"/>
        <v>75434.37</v>
      </c>
      <c r="U968" s="3">
        <f t="shared" si="191"/>
        <v>329890.02</v>
      </c>
      <c r="V968" s="3">
        <f t="shared" si="192"/>
        <v>343966.29</v>
      </c>
      <c r="W968" s="3">
        <f t="shared" si="193"/>
        <v>103225.98</v>
      </c>
      <c r="X968" s="3">
        <f t="shared" si="194"/>
        <v>234965.43</v>
      </c>
      <c r="Y968" s="3">
        <f t="shared" si="195"/>
        <v>52695.78</v>
      </c>
      <c r="Z968" s="3">
        <f t="shared" si="196"/>
        <v>123798.99</v>
      </c>
      <c r="AA968" s="3">
        <f t="shared" si="197"/>
        <v>215475.21</v>
      </c>
      <c r="AB968" s="3">
        <f t="shared" si="198"/>
        <v>230634.27000000002</v>
      </c>
      <c r="AC968" s="3">
        <f t="shared" si="199"/>
        <v>33927.42</v>
      </c>
      <c r="AD968" s="3">
        <f t="shared" si="200"/>
        <v>342522.57</v>
      </c>
      <c r="AE968" s="3">
        <f t="shared" si="201"/>
        <v>158809.20000000001</v>
      </c>
      <c r="AF968" s="3">
        <f>SUM(ecommerce_sales_all_data[[#This Row],[revenue_month_1]:[revenue_month_12]])</f>
        <v>2245345.5299999998</v>
      </c>
    </row>
    <row r="969" spans="1:32" x14ac:dyDescent="0.3">
      <c r="A969">
        <v>968</v>
      </c>
      <c r="B969" t="s">
        <v>992</v>
      </c>
      <c r="C969" t="s">
        <v>19</v>
      </c>
      <c r="D969" s="2">
        <v>152.08000000000001</v>
      </c>
      <c r="E969">
        <v>2.4</v>
      </c>
      <c r="F969">
        <v>604</v>
      </c>
      <c r="G969" s="1">
        <v>499</v>
      </c>
      <c r="H969" s="1">
        <v>493</v>
      </c>
      <c r="I969" s="1">
        <v>835</v>
      </c>
      <c r="J969" s="1">
        <v>9</v>
      </c>
      <c r="K969" s="1">
        <v>840</v>
      </c>
      <c r="L969" s="1">
        <v>904</v>
      </c>
      <c r="M969" s="1">
        <v>852</v>
      </c>
      <c r="N969" s="1">
        <v>635</v>
      </c>
      <c r="O969" s="1">
        <v>27</v>
      </c>
      <c r="P969" s="1">
        <v>544</v>
      </c>
      <c r="Q969" s="1">
        <v>426</v>
      </c>
      <c r="R969" s="1">
        <v>770</v>
      </c>
      <c r="S969" s="1">
        <f>SUM(ecommerce_sales_all_data[[#This Row],[sales_month_1]:[sales_month_12]])</f>
        <v>6834</v>
      </c>
      <c r="T969" s="3">
        <f t="shared" si="190"/>
        <v>75887.920000000013</v>
      </c>
      <c r="U969" s="3">
        <f t="shared" si="191"/>
        <v>74975.44</v>
      </c>
      <c r="V969" s="3">
        <f t="shared" si="192"/>
        <v>126986.80000000002</v>
      </c>
      <c r="W969" s="3">
        <f t="shared" si="193"/>
        <v>1368.72</v>
      </c>
      <c r="X969" s="3">
        <f t="shared" si="194"/>
        <v>127747.20000000001</v>
      </c>
      <c r="Y969" s="3">
        <f t="shared" si="195"/>
        <v>137480.32000000001</v>
      </c>
      <c r="Z969" s="3">
        <f t="shared" si="196"/>
        <v>129572.16</v>
      </c>
      <c r="AA969" s="3">
        <f t="shared" si="197"/>
        <v>96570.8</v>
      </c>
      <c r="AB969" s="3">
        <f t="shared" si="198"/>
        <v>4106.1600000000008</v>
      </c>
      <c r="AC969" s="3">
        <f t="shared" si="199"/>
        <v>82731.520000000004</v>
      </c>
      <c r="AD969" s="3">
        <f t="shared" si="200"/>
        <v>64786.080000000002</v>
      </c>
      <c r="AE969" s="3">
        <f t="shared" si="201"/>
        <v>117101.6</v>
      </c>
      <c r="AF969" s="3">
        <f>SUM(ecommerce_sales_all_data[[#This Row],[revenue_month_1]:[revenue_month_12]])</f>
        <v>1039314.7200000001</v>
      </c>
    </row>
    <row r="970" spans="1:32" x14ac:dyDescent="0.3">
      <c r="A970">
        <v>969</v>
      </c>
      <c r="B970" t="s">
        <v>993</v>
      </c>
      <c r="C970" t="s">
        <v>35</v>
      </c>
      <c r="D970" s="2">
        <v>285.37</v>
      </c>
      <c r="E970">
        <v>2.2999999999999998</v>
      </c>
      <c r="F970">
        <v>947</v>
      </c>
      <c r="G970" s="1">
        <v>463</v>
      </c>
      <c r="H970" s="1">
        <v>522</v>
      </c>
      <c r="I970" s="1">
        <v>988</v>
      </c>
      <c r="J970" s="1">
        <v>541</v>
      </c>
      <c r="K970" s="1">
        <v>1</v>
      </c>
      <c r="L970" s="1">
        <v>575</v>
      </c>
      <c r="M970" s="1">
        <v>522</v>
      </c>
      <c r="N970" s="1">
        <v>201</v>
      </c>
      <c r="O970" s="1">
        <v>576</v>
      </c>
      <c r="P970" s="1">
        <v>622</v>
      </c>
      <c r="Q970" s="1">
        <v>41</v>
      </c>
      <c r="R970" s="1">
        <v>882</v>
      </c>
      <c r="S970" s="1">
        <f>SUM(ecommerce_sales_all_data[[#This Row],[sales_month_1]:[sales_month_12]])</f>
        <v>5934</v>
      </c>
      <c r="T970" s="3">
        <f t="shared" si="190"/>
        <v>132126.31</v>
      </c>
      <c r="U970" s="3">
        <f t="shared" si="191"/>
        <v>148963.14000000001</v>
      </c>
      <c r="V970" s="3">
        <f t="shared" si="192"/>
        <v>281945.56</v>
      </c>
      <c r="W970" s="3">
        <f t="shared" si="193"/>
        <v>154385.17000000001</v>
      </c>
      <c r="X970" s="3">
        <f t="shared" si="194"/>
        <v>285.37</v>
      </c>
      <c r="Y970" s="3">
        <f t="shared" si="195"/>
        <v>164087.75</v>
      </c>
      <c r="Z970" s="3">
        <f t="shared" si="196"/>
        <v>148963.14000000001</v>
      </c>
      <c r="AA970" s="3">
        <f t="shared" si="197"/>
        <v>57359.37</v>
      </c>
      <c r="AB970" s="3">
        <f t="shared" si="198"/>
        <v>164373.12</v>
      </c>
      <c r="AC970" s="3">
        <f t="shared" si="199"/>
        <v>177500.14</v>
      </c>
      <c r="AD970" s="3">
        <f t="shared" si="200"/>
        <v>11700.17</v>
      </c>
      <c r="AE970" s="3">
        <f t="shared" si="201"/>
        <v>251696.34</v>
      </c>
      <c r="AF970" s="3">
        <f>SUM(ecommerce_sales_all_data[[#This Row],[revenue_month_1]:[revenue_month_12]])</f>
        <v>1693385.5800000003</v>
      </c>
    </row>
    <row r="971" spans="1:32" x14ac:dyDescent="0.3">
      <c r="A971">
        <v>970</v>
      </c>
      <c r="B971" t="s">
        <v>994</v>
      </c>
      <c r="C971" t="s">
        <v>35</v>
      </c>
      <c r="D971" s="2">
        <v>240.64</v>
      </c>
      <c r="E971">
        <v>1.1000000000000001</v>
      </c>
      <c r="F971">
        <v>687</v>
      </c>
      <c r="G971" s="1">
        <v>839</v>
      </c>
      <c r="H971" s="1">
        <v>97</v>
      </c>
      <c r="I971" s="1">
        <v>299</v>
      </c>
      <c r="J971" s="1">
        <v>755</v>
      </c>
      <c r="K971" s="1">
        <v>519</v>
      </c>
      <c r="L971" s="1">
        <v>348</v>
      </c>
      <c r="M971" s="1">
        <v>858</v>
      </c>
      <c r="N971" s="1">
        <v>977</v>
      </c>
      <c r="O971" s="1">
        <v>16</v>
      </c>
      <c r="P971" s="1">
        <v>145</v>
      </c>
      <c r="Q971" s="1">
        <v>464</v>
      </c>
      <c r="R971" s="1">
        <v>657</v>
      </c>
      <c r="S971" s="1">
        <f>SUM(ecommerce_sales_all_data[[#This Row],[sales_month_1]:[sales_month_12]])</f>
        <v>5974</v>
      </c>
      <c r="T971" s="3">
        <f t="shared" si="190"/>
        <v>201896.95999999999</v>
      </c>
      <c r="U971" s="3">
        <f t="shared" si="191"/>
        <v>23342.079999999998</v>
      </c>
      <c r="V971" s="3">
        <f t="shared" si="192"/>
        <v>71951.360000000001</v>
      </c>
      <c r="W971" s="3">
        <f t="shared" si="193"/>
        <v>181683.19999999998</v>
      </c>
      <c r="X971" s="3">
        <f t="shared" si="194"/>
        <v>124892.15999999999</v>
      </c>
      <c r="Y971" s="3">
        <f t="shared" si="195"/>
        <v>83742.720000000001</v>
      </c>
      <c r="Z971" s="3">
        <f t="shared" si="196"/>
        <v>206469.12</v>
      </c>
      <c r="AA971" s="3">
        <f t="shared" si="197"/>
        <v>235105.28</v>
      </c>
      <c r="AB971" s="3">
        <f t="shared" si="198"/>
        <v>3850.24</v>
      </c>
      <c r="AC971" s="3">
        <f t="shared" si="199"/>
        <v>34892.799999999996</v>
      </c>
      <c r="AD971" s="3">
        <f t="shared" si="200"/>
        <v>111656.95999999999</v>
      </c>
      <c r="AE971" s="3">
        <f t="shared" si="201"/>
        <v>158100.47999999998</v>
      </c>
      <c r="AF971" s="3">
        <f>SUM(ecommerce_sales_all_data[[#This Row],[revenue_month_1]:[revenue_month_12]])</f>
        <v>1437583.3599999999</v>
      </c>
    </row>
    <row r="972" spans="1:32" x14ac:dyDescent="0.3">
      <c r="A972">
        <v>971</v>
      </c>
      <c r="B972" t="s">
        <v>995</v>
      </c>
      <c r="C972" t="s">
        <v>35</v>
      </c>
      <c r="D972" s="2">
        <v>333.52</v>
      </c>
      <c r="E972">
        <v>1.1000000000000001</v>
      </c>
      <c r="F972">
        <v>751</v>
      </c>
      <c r="G972" s="1">
        <v>123</v>
      </c>
      <c r="H972" s="1">
        <v>945</v>
      </c>
      <c r="I972" s="1">
        <v>801</v>
      </c>
      <c r="J972" s="1">
        <v>273</v>
      </c>
      <c r="K972" s="1">
        <v>761</v>
      </c>
      <c r="L972" s="1">
        <v>181</v>
      </c>
      <c r="M972" s="1">
        <v>399</v>
      </c>
      <c r="N972" s="1">
        <v>661</v>
      </c>
      <c r="O972" s="1">
        <v>350</v>
      </c>
      <c r="P972" s="1">
        <v>892</v>
      </c>
      <c r="Q972" s="1">
        <v>621</v>
      </c>
      <c r="R972" s="1">
        <v>563</v>
      </c>
      <c r="S972" s="1">
        <f>SUM(ecommerce_sales_all_data[[#This Row],[sales_month_1]:[sales_month_12]])</f>
        <v>6570</v>
      </c>
      <c r="T972" s="3">
        <f t="shared" si="190"/>
        <v>41022.959999999999</v>
      </c>
      <c r="U972" s="3">
        <f t="shared" si="191"/>
        <v>315176.39999999997</v>
      </c>
      <c r="V972" s="3">
        <f t="shared" si="192"/>
        <v>267149.51999999996</v>
      </c>
      <c r="W972" s="3">
        <f t="shared" si="193"/>
        <v>91050.959999999992</v>
      </c>
      <c r="X972" s="3">
        <f t="shared" si="194"/>
        <v>253808.71999999997</v>
      </c>
      <c r="Y972" s="3">
        <f t="shared" si="195"/>
        <v>60367.119999999995</v>
      </c>
      <c r="Z972" s="3">
        <f t="shared" si="196"/>
        <v>133074.47999999998</v>
      </c>
      <c r="AA972" s="3">
        <f t="shared" si="197"/>
        <v>220456.72</v>
      </c>
      <c r="AB972" s="3">
        <f t="shared" si="198"/>
        <v>116732</v>
      </c>
      <c r="AC972" s="3">
        <f t="shared" si="199"/>
        <v>297499.83999999997</v>
      </c>
      <c r="AD972" s="3">
        <f t="shared" si="200"/>
        <v>207115.91999999998</v>
      </c>
      <c r="AE972" s="3">
        <f t="shared" si="201"/>
        <v>187771.75999999998</v>
      </c>
      <c r="AF972" s="3">
        <f>SUM(ecommerce_sales_all_data[[#This Row],[revenue_month_1]:[revenue_month_12]])</f>
        <v>2191226.3999999994</v>
      </c>
    </row>
    <row r="973" spans="1:32" x14ac:dyDescent="0.3">
      <c r="A973">
        <v>972</v>
      </c>
      <c r="B973" t="s">
        <v>996</v>
      </c>
      <c r="C973" t="s">
        <v>26</v>
      </c>
      <c r="D973" s="2">
        <v>468.73</v>
      </c>
      <c r="E973">
        <v>4.3</v>
      </c>
      <c r="F973">
        <v>772</v>
      </c>
      <c r="G973" s="1">
        <v>992</v>
      </c>
      <c r="H973" s="1">
        <v>70</v>
      </c>
      <c r="I973" s="1">
        <v>588</v>
      </c>
      <c r="J973" s="1">
        <v>955</v>
      </c>
      <c r="K973" s="1">
        <v>650</v>
      </c>
      <c r="L973" s="1">
        <v>636</v>
      </c>
      <c r="M973" s="1">
        <v>217</v>
      </c>
      <c r="N973" s="1">
        <v>557</v>
      </c>
      <c r="O973" s="1">
        <v>427</v>
      </c>
      <c r="P973" s="1">
        <v>952</v>
      </c>
      <c r="Q973" s="1">
        <v>277</v>
      </c>
      <c r="R973" s="1">
        <v>571</v>
      </c>
      <c r="S973" s="1">
        <f>SUM(ecommerce_sales_all_data[[#This Row],[sales_month_1]:[sales_month_12]])</f>
        <v>6892</v>
      </c>
      <c r="T973" s="3">
        <f t="shared" si="190"/>
        <v>464980.16000000003</v>
      </c>
      <c r="U973" s="3">
        <f t="shared" si="191"/>
        <v>32811.1</v>
      </c>
      <c r="V973" s="3">
        <f t="shared" si="192"/>
        <v>275613.24</v>
      </c>
      <c r="W973" s="3">
        <f t="shared" si="193"/>
        <v>447637.15</v>
      </c>
      <c r="X973" s="3">
        <f t="shared" si="194"/>
        <v>304674.5</v>
      </c>
      <c r="Y973" s="3">
        <f t="shared" si="195"/>
        <v>298112.28000000003</v>
      </c>
      <c r="Z973" s="3">
        <f t="shared" si="196"/>
        <v>101714.41</v>
      </c>
      <c r="AA973" s="3">
        <f t="shared" si="197"/>
        <v>261082.61000000002</v>
      </c>
      <c r="AB973" s="3">
        <f t="shared" si="198"/>
        <v>200147.71000000002</v>
      </c>
      <c r="AC973" s="3">
        <f t="shared" si="199"/>
        <v>446230.96</v>
      </c>
      <c r="AD973" s="3">
        <f t="shared" si="200"/>
        <v>129838.21</v>
      </c>
      <c r="AE973" s="3">
        <f t="shared" si="201"/>
        <v>267644.83</v>
      </c>
      <c r="AF973" s="3">
        <f>SUM(ecommerce_sales_all_data[[#This Row],[revenue_month_1]:[revenue_month_12]])</f>
        <v>3230487.1599999997</v>
      </c>
    </row>
    <row r="974" spans="1:32" x14ac:dyDescent="0.3">
      <c r="A974">
        <v>973</v>
      </c>
      <c r="B974" t="s">
        <v>997</v>
      </c>
      <c r="C974" t="s">
        <v>48</v>
      </c>
      <c r="D974" s="2">
        <v>367.62</v>
      </c>
      <c r="E974">
        <v>2.1</v>
      </c>
      <c r="F974">
        <v>903</v>
      </c>
      <c r="G974" s="1">
        <v>112</v>
      </c>
      <c r="H974" s="1">
        <v>363</v>
      </c>
      <c r="I974" s="1">
        <v>809</v>
      </c>
      <c r="J974" s="1">
        <v>599</v>
      </c>
      <c r="K974" s="1">
        <v>635</v>
      </c>
      <c r="L974" s="1">
        <v>178</v>
      </c>
      <c r="M974" s="1">
        <v>444</v>
      </c>
      <c r="N974" s="1">
        <v>112</v>
      </c>
      <c r="O974" s="1">
        <v>649</v>
      </c>
      <c r="P974" s="1">
        <v>230</v>
      </c>
      <c r="Q974" s="1">
        <v>835</v>
      </c>
      <c r="R974" s="1">
        <v>545</v>
      </c>
      <c r="S974" s="1">
        <f>SUM(ecommerce_sales_all_data[[#This Row],[sales_month_1]:[sales_month_12]])</f>
        <v>5511</v>
      </c>
      <c r="T974" s="3">
        <f t="shared" si="190"/>
        <v>41173.440000000002</v>
      </c>
      <c r="U974" s="3">
        <f t="shared" si="191"/>
        <v>133446.06</v>
      </c>
      <c r="V974" s="3">
        <f t="shared" si="192"/>
        <v>297404.58</v>
      </c>
      <c r="W974" s="3">
        <f t="shared" si="193"/>
        <v>220204.38</v>
      </c>
      <c r="X974" s="3">
        <f t="shared" si="194"/>
        <v>233438.7</v>
      </c>
      <c r="Y974" s="3">
        <f t="shared" si="195"/>
        <v>65436.36</v>
      </c>
      <c r="Z974" s="3">
        <f t="shared" si="196"/>
        <v>163223.28</v>
      </c>
      <c r="AA974" s="3">
        <f t="shared" si="197"/>
        <v>41173.440000000002</v>
      </c>
      <c r="AB974" s="3">
        <f t="shared" si="198"/>
        <v>238585.38</v>
      </c>
      <c r="AC974" s="3">
        <f t="shared" si="199"/>
        <v>84552.6</v>
      </c>
      <c r="AD974" s="3">
        <f t="shared" si="200"/>
        <v>306962.7</v>
      </c>
      <c r="AE974" s="3">
        <f t="shared" si="201"/>
        <v>200352.9</v>
      </c>
      <c r="AF974" s="3">
        <f>SUM(ecommerce_sales_all_data[[#This Row],[revenue_month_1]:[revenue_month_12]])</f>
        <v>2025953.8199999996</v>
      </c>
    </row>
    <row r="975" spans="1:32" x14ac:dyDescent="0.3">
      <c r="A975">
        <v>974</v>
      </c>
      <c r="B975" t="s">
        <v>998</v>
      </c>
      <c r="C975" t="s">
        <v>48</v>
      </c>
      <c r="D975" s="2">
        <v>111.4</v>
      </c>
      <c r="E975">
        <v>3.1</v>
      </c>
      <c r="F975">
        <v>365</v>
      </c>
      <c r="G975" s="1">
        <v>11</v>
      </c>
      <c r="H975" s="1">
        <v>569</v>
      </c>
      <c r="I975" s="1">
        <v>648</v>
      </c>
      <c r="J975" s="1">
        <v>755</v>
      </c>
      <c r="K975" s="1">
        <v>308</v>
      </c>
      <c r="L975" s="1">
        <v>38</v>
      </c>
      <c r="M975" s="1">
        <v>764</v>
      </c>
      <c r="N975" s="1">
        <v>90</v>
      </c>
      <c r="O975" s="1">
        <v>830</v>
      </c>
      <c r="P975" s="1">
        <v>783</v>
      </c>
      <c r="Q975" s="1">
        <v>18</v>
      </c>
      <c r="R975" s="1">
        <v>95</v>
      </c>
      <c r="S975" s="1">
        <f>SUM(ecommerce_sales_all_data[[#This Row],[sales_month_1]:[sales_month_12]])</f>
        <v>4909</v>
      </c>
      <c r="T975" s="3">
        <f t="shared" si="190"/>
        <v>1225.4000000000001</v>
      </c>
      <c r="U975" s="3">
        <f t="shared" si="191"/>
        <v>63386.600000000006</v>
      </c>
      <c r="V975" s="3">
        <f t="shared" si="192"/>
        <v>72187.199999999997</v>
      </c>
      <c r="W975" s="3">
        <f t="shared" si="193"/>
        <v>84107</v>
      </c>
      <c r="X975" s="3">
        <f t="shared" si="194"/>
        <v>34311.200000000004</v>
      </c>
      <c r="Y975" s="3">
        <f t="shared" si="195"/>
        <v>4233.2</v>
      </c>
      <c r="Z975" s="3">
        <f t="shared" si="196"/>
        <v>85109.6</v>
      </c>
      <c r="AA975" s="3">
        <f t="shared" si="197"/>
        <v>10026</v>
      </c>
      <c r="AB975" s="3">
        <f t="shared" si="198"/>
        <v>92462</v>
      </c>
      <c r="AC975" s="3">
        <f t="shared" si="199"/>
        <v>87226.200000000012</v>
      </c>
      <c r="AD975" s="3">
        <f t="shared" si="200"/>
        <v>2005.2</v>
      </c>
      <c r="AE975" s="3">
        <f t="shared" si="201"/>
        <v>10583</v>
      </c>
      <c r="AF975" s="3">
        <f>SUM(ecommerce_sales_all_data[[#This Row],[revenue_month_1]:[revenue_month_12]])</f>
        <v>546862.60000000009</v>
      </c>
    </row>
    <row r="976" spans="1:32" x14ac:dyDescent="0.3">
      <c r="A976">
        <v>975</v>
      </c>
      <c r="B976" t="s">
        <v>999</v>
      </c>
      <c r="C976" t="s">
        <v>21</v>
      </c>
      <c r="D976" s="2">
        <v>20.440000000000001</v>
      </c>
      <c r="E976">
        <v>2.2000000000000002</v>
      </c>
      <c r="F976">
        <v>163</v>
      </c>
      <c r="G976" s="1">
        <v>125</v>
      </c>
      <c r="H976" s="1">
        <v>801</v>
      </c>
      <c r="I976" s="1">
        <v>617</v>
      </c>
      <c r="J976" s="1">
        <v>380</v>
      </c>
      <c r="K976" s="1">
        <v>739</v>
      </c>
      <c r="L976" s="1">
        <v>771</v>
      </c>
      <c r="M976" s="1">
        <v>221</v>
      </c>
      <c r="N976" s="1">
        <v>140</v>
      </c>
      <c r="O976" s="1">
        <v>228</v>
      </c>
      <c r="P976" s="1">
        <v>847</v>
      </c>
      <c r="Q976" s="1">
        <v>65</v>
      </c>
      <c r="R976" s="1">
        <v>988</v>
      </c>
      <c r="S976" s="1">
        <f>SUM(ecommerce_sales_all_data[[#This Row],[sales_month_1]:[sales_month_12]])</f>
        <v>5922</v>
      </c>
      <c r="T976" s="3">
        <f t="shared" si="190"/>
        <v>2555</v>
      </c>
      <c r="U976" s="3">
        <f t="shared" si="191"/>
        <v>16372.44</v>
      </c>
      <c r="V976" s="3">
        <f t="shared" si="192"/>
        <v>12611.480000000001</v>
      </c>
      <c r="W976" s="3">
        <f t="shared" si="193"/>
        <v>7767.2000000000007</v>
      </c>
      <c r="X976" s="3">
        <f t="shared" si="194"/>
        <v>15105.160000000002</v>
      </c>
      <c r="Y976" s="3">
        <f t="shared" si="195"/>
        <v>15759.240000000002</v>
      </c>
      <c r="Z976" s="3">
        <f t="shared" si="196"/>
        <v>4517.2400000000007</v>
      </c>
      <c r="AA976" s="3">
        <f t="shared" si="197"/>
        <v>2861.6000000000004</v>
      </c>
      <c r="AB976" s="3">
        <f t="shared" si="198"/>
        <v>4660.3200000000006</v>
      </c>
      <c r="AC976" s="3">
        <f t="shared" si="199"/>
        <v>17312.68</v>
      </c>
      <c r="AD976" s="3">
        <f t="shared" si="200"/>
        <v>1328.6000000000001</v>
      </c>
      <c r="AE976" s="3">
        <f t="shared" si="201"/>
        <v>20194.72</v>
      </c>
      <c r="AF976" s="3">
        <f>SUM(ecommerce_sales_all_data[[#This Row],[revenue_month_1]:[revenue_month_12]])</f>
        <v>121045.68000000005</v>
      </c>
    </row>
    <row r="977" spans="1:32" x14ac:dyDescent="0.3">
      <c r="A977">
        <v>976</v>
      </c>
      <c r="B977" t="s">
        <v>1000</v>
      </c>
      <c r="C977" t="s">
        <v>29</v>
      </c>
      <c r="D977" s="2">
        <v>134.82</v>
      </c>
      <c r="E977">
        <v>4.8</v>
      </c>
      <c r="F977">
        <v>48</v>
      </c>
      <c r="G977" s="1">
        <v>564</v>
      </c>
      <c r="H977" s="1">
        <v>762</v>
      </c>
      <c r="I977" s="1">
        <v>606</v>
      </c>
      <c r="J977" s="1">
        <v>328</v>
      </c>
      <c r="K977" s="1">
        <v>521</v>
      </c>
      <c r="L977" s="1">
        <v>893</v>
      </c>
      <c r="M977" s="1">
        <v>382</v>
      </c>
      <c r="N977" s="1">
        <v>288</v>
      </c>
      <c r="O977" s="1">
        <v>765</v>
      </c>
      <c r="P977" s="1">
        <v>494</v>
      </c>
      <c r="Q977" s="1">
        <v>166</v>
      </c>
      <c r="R977" s="1">
        <v>88</v>
      </c>
      <c r="S977" s="1">
        <f>SUM(ecommerce_sales_all_data[[#This Row],[sales_month_1]:[sales_month_12]])</f>
        <v>5857</v>
      </c>
      <c r="T977" s="3">
        <f t="shared" si="190"/>
        <v>76038.48</v>
      </c>
      <c r="U977" s="3">
        <f t="shared" si="191"/>
        <v>102732.84</v>
      </c>
      <c r="V977" s="3">
        <f t="shared" si="192"/>
        <v>81700.92</v>
      </c>
      <c r="W977" s="3">
        <f t="shared" si="193"/>
        <v>44220.959999999999</v>
      </c>
      <c r="X977" s="3">
        <f t="shared" si="194"/>
        <v>70241.22</v>
      </c>
      <c r="Y977" s="3">
        <f t="shared" si="195"/>
        <v>120394.26</v>
      </c>
      <c r="Z977" s="3">
        <f t="shared" si="196"/>
        <v>51501.24</v>
      </c>
      <c r="AA977" s="3">
        <f t="shared" si="197"/>
        <v>38828.159999999996</v>
      </c>
      <c r="AB977" s="3">
        <f t="shared" si="198"/>
        <v>103137.29999999999</v>
      </c>
      <c r="AC977" s="3">
        <f t="shared" si="199"/>
        <v>66601.08</v>
      </c>
      <c r="AD977" s="3">
        <f t="shared" si="200"/>
        <v>22380.12</v>
      </c>
      <c r="AE977" s="3">
        <f t="shared" si="201"/>
        <v>11864.16</v>
      </c>
      <c r="AF977" s="3">
        <f>SUM(ecommerce_sales_all_data[[#This Row],[revenue_month_1]:[revenue_month_12]])</f>
        <v>789640.74000000011</v>
      </c>
    </row>
    <row r="978" spans="1:32" x14ac:dyDescent="0.3">
      <c r="A978">
        <v>977</v>
      </c>
      <c r="B978" t="s">
        <v>1001</v>
      </c>
      <c r="C978" t="s">
        <v>23</v>
      </c>
      <c r="D978" s="2">
        <v>299.56</v>
      </c>
      <c r="E978">
        <v>2</v>
      </c>
      <c r="F978">
        <v>511</v>
      </c>
      <c r="G978" s="1">
        <v>330</v>
      </c>
      <c r="H978" s="1">
        <v>275</v>
      </c>
      <c r="I978" s="1">
        <v>134</v>
      </c>
      <c r="J978" s="1">
        <v>478</v>
      </c>
      <c r="K978" s="1">
        <v>468</v>
      </c>
      <c r="L978" s="1">
        <v>2</v>
      </c>
      <c r="M978" s="1">
        <v>880</v>
      </c>
      <c r="N978" s="1">
        <v>900</v>
      </c>
      <c r="O978" s="1">
        <v>988</v>
      </c>
      <c r="P978" s="1">
        <v>37</v>
      </c>
      <c r="Q978" s="1">
        <v>584</v>
      </c>
      <c r="R978" s="1">
        <v>827</v>
      </c>
      <c r="S978" s="1">
        <f>SUM(ecommerce_sales_all_data[[#This Row],[sales_month_1]:[sales_month_12]])</f>
        <v>5903</v>
      </c>
      <c r="T978" s="3">
        <f t="shared" si="190"/>
        <v>98854.8</v>
      </c>
      <c r="U978" s="3">
        <f t="shared" si="191"/>
        <v>82379</v>
      </c>
      <c r="V978" s="3">
        <f t="shared" si="192"/>
        <v>40141.040000000001</v>
      </c>
      <c r="W978" s="3">
        <f t="shared" si="193"/>
        <v>143189.68</v>
      </c>
      <c r="X978" s="3">
        <f t="shared" si="194"/>
        <v>140194.07999999999</v>
      </c>
      <c r="Y978" s="3">
        <f t="shared" si="195"/>
        <v>599.12</v>
      </c>
      <c r="Z978" s="3">
        <f t="shared" si="196"/>
        <v>263612.79999999999</v>
      </c>
      <c r="AA978" s="3">
        <f t="shared" si="197"/>
        <v>269604</v>
      </c>
      <c r="AB978" s="3">
        <f t="shared" si="198"/>
        <v>295965.28000000003</v>
      </c>
      <c r="AC978" s="3">
        <f t="shared" si="199"/>
        <v>11083.72</v>
      </c>
      <c r="AD978" s="3">
        <f t="shared" si="200"/>
        <v>174943.04</v>
      </c>
      <c r="AE978" s="3">
        <f t="shared" si="201"/>
        <v>247736.12</v>
      </c>
      <c r="AF978" s="3">
        <f>SUM(ecommerce_sales_all_data[[#This Row],[revenue_month_1]:[revenue_month_12]])</f>
        <v>1768302.6800000002</v>
      </c>
    </row>
    <row r="979" spans="1:32" x14ac:dyDescent="0.3">
      <c r="A979">
        <v>978</v>
      </c>
      <c r="B979" t="s">
        <v>1002</v>
      </c>
      <c r="C979" t="s">
        <v>48</v>
      </c>
      <c r="D979" s="2">
        <v>30.46</v>
      </c>
      <c r="E979">
        <v>2.7</v>
      </c>
      <c r="F979">
        <v>329</v>
      </c>
      <c r="G979" s="1">
        <v>900</v>
      </c>
      <c r="H979" s="1">
        <v>49</v>
      </c>
      <c r="I979" s="1">
        <v>579</v>
      </c>
      <c r="J979" s="1">
        <v>14</v>
      </c>
      <c r="K979" s="1">
        <v>211</v>
      </c>
      <c r="L979" s="1">
        <v>63</v>
      </c>
      <c r="M979" s="1">
        <v>591</v>
      </c>
      <c r="N979" s="1">
        <v>729</v>
      </c>
      <c r="O979" s="1">
        <v>209</v>
      </c>
      <c r="P979" s="1">
        <v>424</v>
      </c>
      <c r="Q979" s="1">
        <v>402</v>
      </c>
      <c r="R979" s="1">
        <v>921</v>
      </c>
      <c r="S979" s="1">
        <f>SUM(ecommerce_sales_all_data[[#This Row],[sales_month_1]:[sales_month_12]])</f>
        <v>5092</v>
      </c>
      <c r="T979" s="3">
        <f t="shared" si="190"/>
        <v>27414</v>
      </c>
      <c r="U979" s="3">
        <f t="shared" si="191"/>
        <v>1492.54</v>
      </c>
      <c r="V979" s="3">
        <f t="shared" si="192"/>
        <v>17636.34</v>
      </c>
      <c r="W979" s="3">
        <f t="shared" si="193"/>
        <v>426.44</v>
      </c>
      <c r="X979" s="3">
        <f t="shared" si="194"/>
        <v>6427.06</v>
      </c>
      <c r="Y979" s="3">
        <f t="shared" si="195"/>
        <v>1918.98</v>
      </c>
      <c r="Z979" s="3">
        <f t="shared" si="196"/>
        <v>18001.86</v>
      </c>
      <c r="AA979" s="3">
        <f t="shared" si="197"/>
        <v>22205.34</v>
      </c>
      <c r="AB979" s="3">
        <f t="shared" si="198"/>
        <v>6366.14</v>
      </c>
      <c r="AC979" s="3">
        <f t="shared" si="199"/>
        <v>12915.04</v>
      </c>
      <c r="AD979" s="3">
        <f t="shared" si="200"/>
        <v>12244.92</v>
      </c>
      <c r="AE979" s="3">
        <f t="shared" si="201"/>
        <v>28053.66</v>
      </c>
      <c r="AF979" s="3">
        <f>SUM(ecommerce_sales_all_data[[#This Row],[revenue_month_1]:[revenue_month_12]])</f>
        <v>155102.31999999998</v>
      </c>
    </row>
    <row r="980" spans="1:32" x14ac:dyDescent="0.3">
      <c r="A980">
        <v>979</v>
      </c>
      <c r="B980" t="s">
        <v>1003</v>
      </c>
      <c r="C980" t="s">
        <v>19</v>
      </c>
      <c r="D980" s="2">
        <v>250.7</v>
      </c>
      <c r="E980">
        <v>4.5</v>
      </c>
      <c r="F980">
        <v>840</v>
      </c>
      <c r="G980" s="1">
        <v>282</v>
      </c>
      <c r="H980" s="1">
        <v>357</v>
      </c>
      <c r="I980" s="1">
        <v>146</v>
      </c>
      <c r="J980" s="1">
        <v>515</v>
      </c>
      <c r="K980" s="1">
        <v>111</v>
      </c>
      <c r="L980" s="1">
        <v>28</v>
      </c>
      <c r="M980" s="1">
        <v>6</v>
      </c>
      <c r="N980" s="1">
        <v>588</v>
      </c>
      <c r="O980" s="1">
        <v>430</v>
      </c>
      <c r="P980" s="1">
        <v>646</v>
      </c>
      <c r="Q980" s="1">
        <v>911</v>
      </c>
      <c r="R980" s="1">
        <v>230</v>
      </c>
      <c r="S980" s="1">
        <f>SUM(ecommerce_sales_all_data[[#This Row],[sales_month_1]:[sales_month_12]])</f>
        <v>4250</v>
      </c>
      <c r="T980" s="3">
        <f t="shared" si="190"/>
        <v>70697.399999999994</v>
      </c>
      <c r="U980" s="3">
        <f t="shared" si="191"/>
        <v>89499.9</v>
      </c>
      <c r="V980" s="3">
        <f t="shared" si="192"/>
        <v>36602.199999999997</v>
      </c>
      <c r="W980" s="3">
        <f t="shared" si="193"/>
        <v>129110.5</v>
      </c>
      <c r="X980" s="3">
        <f t="shared" si="194"/>
        <v>27827.699999999997</v>
      </c>
      <c r="Y980" s="3">
        <f t="shared" si="195"/>
        <v>7019.5999999999995</v>
      </c>
      <c r="Z980" s="3">
        <f t="shared" si="196"/>
        <v>1504.1999999999998</v>
      </c>
      <c r="AA980" s="3">
        <f t="shared" si="197"/>
        <v>147411.6</v>
      </c>
      <c r="AB980" s="3">
        <f t="shared" si="198"/>
        <v>107801</v>
      </c>
      <c r="AC980" s="3">
        <f t="shared" si="199"/>
        <v>161952.19999999998</v>
      </c>
      <c r="AD980" s="3">
        <f t="shared" si="200"/>
        <v>228387.69999999998</v>
      </c>
      <c r="AE980" s="3">
        <f t="shared" si="201"/>
        <v>57661</v>
      </c>
      <c r="AF980" s="3">
        <f>SUM(ecommerce_sales_all_data[[#This Row],[revenue_month_1]:[revenue_month_12]])</f>
        <v>1065475</v>
      </c>
    </row>
    <row r="981" spans="1:32" x14ac:dyDescent="0.3">
      <c r="A981">
        <v>980</v>
      </c>
      <c r="B981" t="s">
        <v>1004</v>
      </c>
      <c r="C981" t="s">
        <v>21</v>
      </c>
      <c r="D981" s="2">
        <v>300.44</v>
      </c>
      <c r="E981">
        <v>4.4000000000000004</v>
      </c>
      <c r="F981">
        <v>116</v>
      </c>
      <c r="G981" s="1">
        <v>139</v>
      </c>
      <c r="H981" s="1">
        <v>727</v>
      </c>
      <c r="I981" s="1">
        <v>489</v>
      </c>
      <c r="J981" s="1">
        <v>190</v>
      </c>
      <c r="K981" s="1">
        <v>7</v>
      </c>
      <c r="L981" s="1">
        <v>371</v>
      </c>
      <c r="M981" s="1">
        <v>271</v>
      </c>
      <c r="N981" s="1">
        <v>410</v>
      </c>
      <c r="O981" s="1">
        <v>293</v>
      </c>
      <c r="P981" s="1">
        <v>845</v>
      </c>
      <c r="Q981" s="1">
        <v>821</v>
      </c>
      <c r="R981" s="1">
        <v>967</v>
      </c>
      <c r="S981" s="1">
        <f>SUM(ecommerce_sales_all_data[[#This Row],[sales_month_1]:[sales_month_12]])</f>
        <v>5530</v>
      </c>
      <c r="T981" s="3">
        <f t="shared" si="190"/>
        <v>41761.159999999996</v>
      </c>
      <c r="U981" s="3">
        <f t="shared" si="191"/>
        <v>218419.88</v>
      </c>
      <c r="V981" s="3">
        <f t="shared" si="192"/>
        <v>146915.16</v>
      </c>
      <c r="W981" s="3">
        <f t="shared" si="193"/>
        <v>57083.6</v>
      </c>
      <c r="X981" s="3">
        <f t="shared" si="194"/>
        <v>2103.08</v>
      </c>
      <c r="Y981" s="3">
        <f t="shared" si="195"/>
        <v>111463.24</v>
      </c>
      <c r="Z981" s="3">
        <f t="shared" si="196"/>
        <v>81419.240000000005</v>
      </c>
      <c r="AA981" s="3">
        <f t="shared" si="197"/>
        <v>123180.4</v>
      </c>
      <c r="AB981" s="3">
        <f t="shared" si="198"/>
        <v>88028.92</v>
      </c>
      <c r="AC981" s="3">
        <f t="shared" si="199"/>
        <v>253871.8</v>
      </c>
      <c r="AD981" s="3">
        <f t="shared" si="200"/>
        <v>246661.24</v>
      </c>
      <c r="AE981" s="3">
        <f t="shared" si="201"/>
        <v>290525.48</v>
      </c>
      <c r="AF981" s="3">
        <f>SUM(ecommerce_sales_all_data[[#This Row],[revenue_month_1]:[revenue_month_12]])</f>
        <v>1661433.2</v>
      </c>
    </row>
    <row r="982" spans="1:32" x14ac:dyDescent="0.3">
      <c r="A982">
        <v>981</v>
      </c>
      <c r="B982" t="s">
        <v>1005</v>
      </c>
      <c r="C982" t="s">
        <v>48</v>
      </c>
      <c r="D982" s="2">
        <v>170.45</v>
      </c>
      <c r="E982">
        <v>1.7</v>
      </c>
      <c r="F982">
        <v>941</v>
      </c>
      <c r="G982" s="1">
        <v>400</v>
      </c>
      <c r="H982" s="1">
        <v>905</v>
      </c>
      <c r="I982" s="1">
        <v>477</v>
      </c>
      <c r="J982" s="1">
        <v>167</v>
      </c>
      <c r="K982" s="1">
        <v>803</v>
      </c>
      <c r="L982" s="1">
        <v>522</v>
      </c>
      <c r="M982" s="1">
        <v>738</v>
      </c>
      <c r="N982" s="1">
        <v>376</v>
      </c>
      <c r="O982" s="1">
        <v>742</v>
      </c>
      <c r="P982" s="1">
        <v>746</v>
      </c>
      <c r="Q982" s="1">
        <v>408</v>
      </c>
      <c r="R982" s="1">
        <v>274</v>
      </c>
      <c r="S982" s="1">
        <f>SUM(ecommerce_sales_all_data[[#This Row],[sales_month_1]:[sales_month_12]])</f>
        <v>6558</v>
      </c>
      <c r="T982" s="3">
        <f t="shared" si="190"/>
        <v>68180</v>
      </c>
      <c r="U982" s="3">
        <f t="shared" si="191"/>
        <v>154257.25</v>
      </c>
      <c r="V982" s="3">
        <f t="shared" si="192"/>
        <v>81304.649999999994</v>
      </c>
      <c r="W982" s="3">
        <f t="shared" si="193"/>
        <v>28465.149999999998</v>
      </c>
      <c r="X982" s="3">
        <f t="shared" si="194"/>
        <v>136871.34999999998</v>
      </c>
      <c r="Y982" s="3">
        <f t="shared" si="195"/>
        <v>88974.9</v>
      </c>
      <c r="Z982" s="3">
        <f t="shared" si="196"/>
        <v>125792.09999999999</v>
      </c>
      <c r="AA982" s="3">
        <f t="shared" si="197"/>
        <v>64089.2</v>
      </c>
      <c r="AB982" s="3">
        <f t="shared" si="198"/>
        <v>126473.9</v>
      </c>
      <c r="AC982" s="3">
        <f t="shared" si="199"/>
        <v>127155.7</v>
      </c>
      <c r="AD982" s="3">
        <f t="shared" si="200"/>
        <v>69543.599999999991</v>
      </c>
      <c r="AE982" s="3">
        <f t="shared" si="201"/>
        <v>46703.299999999996</v>
      </c>
      <c r="AF982" s="3">
        <f>SUM(ecommerce_sales_all_data[[#This Row],[revenue_month_1]:[revenue_month_12]])</f>
        <v>1117811.1000000001</v>
      </c>
    </row>
    <row r="983" spans="1:32" x14ac:dyDescent="0.3">
      <c r="A983">
        <v>982</v>
      </c>
      <c r="B983" t="s">
        <v>1006</v>
      </c>
      <c r="C983" t="s">
        <v>48</v>
      </c>
      <c r="D983" s="2">
        <v>386.6</v>
      </c>
      <c r="E983">
        <v>4.2</v>
      </c>
      <c r="F983">
        <v>849</v>
      </c>
      <c r="G983" s="1">
        <v>901</v>
      </c>
      <c r="H983" s="1">
        <v>927</v>
      </c>
      <c r="I983" s="1">
        <v>158</v>
      </c>
      <c r="J983" s="1">
        <v>520</v>
      </c>
      <c r="K983" s="1">
        <v>476</v>
      </c>
      <c r="L983" s="1">
        <v>96</v>
      </c>
      <c r="M983" s="1">
        <v>15</v>
      </c>
      <c r="N983" s="1">
        <v>383</v>
      </c>
      <c r="O983" s="1">
        <v>752</v>
      </c>
      <c r="P983" s="1">
        <v>436</v>
      </c>
      <c r="Q983" s="1">
        <v>111</v>
      </c>
      <c r="R983" s="1">
        <v>245</v>
      </c>
      <c r="S983" s="1">
        <f>SUM(ecommerce_sales_all_data[[#This Row],[sales_month_1]:[sales_month_12]])</f>
        <v>5020</v>
      </c>
      <c r="T983" s="3">
        <f t="shared" si="190"/>
        <v>348326.60000000003</v>
      </c>
      <c r="U983" s="3">
        <f t="shared" si="191"/>
        <v>358378.2</v>
      </c>
      <c r="V983" s="3">
        <f t="shared" si="192"/>
        <v>61082.8</v>
      </c>
      <c r="W983" s="3">
        <f t="shared" si="193"/>
        <v>201032</v>
      </c>
      <c r="X983" s="3">
        <f t="shared" si="194"/>
        <v>184021.6</v>
      </c>
      <c r="Y983" s="3">
        <f t="shared" si="195"/>
        <v>37113.600000000006</v>
      </c>
      <c r="Z983" s="3">
        <f t="shared" si="196"/>
        <v>5799</v>
      </c>
      <c r="AA983" s="3">
        <f t="shared" si="197"/>
        <v>148067.80000000002</v>
      </c>
      <c r="AB983" s="3">
        <f t="shared" si="198"/>
        <v>290723.20000000001</v>
      </c>
      <c r="AC983" s="3">
        <f t="shared" si="199"/>
        <v>168557.6</v>
      </c>
      <c r="AD983" s="3">
        <f t="shared" si="200"/>
        <v>42912.600000000006</v>
      </c>
      <c r="AE983" s="3">
        <f t="shared" si="201"/>
        <v>94717</v>
      </c>
      <c r="AF983" s="3">
        <f>SUM(ecommerce_sales_all_data[[#This Row],[revenue_month_1]:[revenue_month_12]])</f>
        <v>1940732.0000000005</v>
      </c>
    </row>
    <row r="984" spans="1:32" x14ac:dyDescent="0.3">
      <c r="A984">
        <v>983</v>
      </c>
      <c r="B984" t="s">
        <v>1007</v>
      </c>
      <c r="C984" t="s">
        <v>21</v>
      </c>
      <c r="D984" s="2">
        <v>57.77</v>
      </c>
      <c r="E984">
        <v>2.8</v>
      </c>
      <c r="F984">
        <v>337</v>
      </c>
      <c r="G984" s="1">
        <v>96</v>
      </c>
      <c r="H984" s="1">
        <v>563</v>
      </c>
      <c r="I984" s="1">
        <v>383</v>
      </c>
      <c r="J984" s="1">
        <v>620</v>
      </c>
      <c r="K984" s="1">
        <v>873</v>
      </c>
      <c r="L984" s="1">
        <v>869</v>
      </c>
      <c r="M984" s="1">
        <v>423</v>
      </c>
      <c r="N984" s="1">
        <v>845</v>
      </c>
      <c r="O984" s="1">
        <v>581</v>
      </c>
      <c r="P984" s="1">
        <v>830</v>
      </c>
      <c r="Q984" s="1">
        <v>273</v>
      </c>
      <c r="R984" s="1">
        <v>110</v>
      </c>
      <c r="S984" s="1">
        <f>SUM(ecommerce_sales_all_data[[#This Row],[sales_month_1]:[sales_month_12]])</f>
        <v>6466</v>
      </c>
      <c r="T984" s="3">
        <f t="shared" si="190"/>
        <v>5545.92</v>
      </c>
      <c r="U984" s="3">
        <f t="shared" si="191"/>
        <v>32524.510000000002</v>
      </c>
      <c r="V984" s="3">
        <f t="shared" si="192"/>
        <v>22125.91</v>
      </c>
      <c r="W984" s="3">
        <f t="shared" si="193"/>
        <v>35817.4</v>
      </c>
      <c r="X984" s="3">
        <f t="shared" si="194"/>
        <v>50433.21</v>
      </c>
      <c r="Y984" s="3">
        <f t="shared" si="195"/>
        <v>50202.130000000005</v>
      </c>
      <c r="Z984" s="3">
        <f t="shared" si="196"/>
        <v>24436.710000000003</v>
      </c>
      <c r="AA984" s="3">
        <f t="shared" si="197"/>
        <v>48815.65</v>
      </c>
      <c r="AB984" s="3">
        <f t="shared" si="198"/>
        <v>33564.370000000003</v>
      </c>
      <c r="AC984" s="3">
        <f t="shared" si="199"/>
        <v>47949.100000000006</v>
      </c>
      <c r="AD984" s="3">
        <f t="shared" si="200"/>
        <v>15771.210000000001</v>
      </c>
      <c r="AE984" s="3">
        <f t="shared" si="201"/>
        <v>6354.7000000000007</v>
      </c>
      <c r="AF984" s="3">
        <f>SUM(ecommerce_sales_all_data[[#This Row],[revenue_month_1]:[revenue_month_12]])</f>
        <v>373540.82000000007</v>
      </c>
    </row>
    <row r="985" spans="1:32" x14ac:dyDescent="0.3">
      <c r="A985">
        <v>984</v>
      </c>
      <c r="B985" t="s">
        <v>1008</v>
      </c>
      <c r="C985" t="s">
        <v>21</v>
      </c>
      <c r="D985" s="2">
        <v>42.19</v>
      </c>
      <c r="E985">
        <v>2.9</v>
      </c>
      <c r="F985">
        <v>881</v>
      </c>
      <c r="G985" s="1">
        <v>516</v>
      </c>
      <c r="H985" s="1">
        <v>782</v>
      </c>
      <c r="I985" s="1">
        <v>162</v>
      </c>
      <c r="J985" s="1">
        <v>136</v>
      </c>
      <c r="K985" s="1">
        <v>459</v>
      </c>
      <c r="L985" s="1">
        <v>441</v>
      </c>
      <c r="M985" s="1">
        <v>523</v>
      </c>
      <c r="N985" s="1">
        <v>151</v>
      </c>
      <c r="O985" s="1">
        <v>103</v>
      </c>
      <c r="P985" s="1">
        <v>367</v>
      </c>
      <c r="Q985" s="1">
        <v>406</v>
      </c>
      <c r="R985" s="1">
        <v>233</v>
      </c>
      <c r="S985" s="1">
        <f>SUM(ecommerce_sales_all_data[[#This Row],[sales_month_1]:[sales_month_12]])</f>
        <v>4279</v>
      </c>
      <c r="T985" s="3">
        <f t="shared" si="190"/>
        <v>21770.039999999997</v>
      </c>
      <c r="U985" s="3">
        <f t="shared" si="191"/>
        <v>32992.58</v>
      </c>
      <c r="V985" s="3">
        <f t="shared" si="192"/>
        <v>6834.78</v>
      </c>
      <c r="W985" s="3">
        <f t="shared" si="193"/>
        <v>5737.84</v>
      </c>
      <c r="X985" s="3">
        <f t="shared" si="194"/>
        <v>19365.21</v>
      </c>
      <c r="Y985" s="3">
        <f t="shared" si="195"/>
        <v>18605.789999999997</v>
      </c>
      <c r="Z985" s="3">
        <f t="shared" si="196"/>
        <v>22065.37</v>
      </c>
      <c r="AA985" s="3">
        <f t="shared" si="197"/>
        <v>6370.69</v>
      </c>
      <c r="AB985" s="3">
        <f t="shared" si="198"/>
        <v>4345.57</v>
      </c>
      <c r="AC985" s="3">
        <f t="shared" si="199"/>
        <v>15483.73</v>
      </c>
      <c r="AD985" s="3">
        <f t="shared" si="200"/>
        <v>17129.14</v>
      </c>
      <c r="AE985" s="3">
        <f t="shared" si="201"/>
        <v>9830.2699999999986</v>
      </c>
      <c r="AF985" s="3">
        <f>SUM(ecommerce_sales_all_data[[#This Row],[revenue_month_1]:[revenue_month_12]])</f>
        <v>180531.00999999998</v>
      </c>
    </row>
    <row r="986" spans="1:32" x14ac:dyDescent="0.3">
      <c r="A986">
        <v>985</v>
      </c>
      <c r="B986" t="s">
        <v>1009</v>
      </c>
      <c r="C986" t="s">
        <v>26</v>
      </c>
      <c r="D986" s="2">
        <v>365.45</v>
      </c>
      <c r="E986">
        <v>1.5</v>
      </c>
      <c r="F986">
        <v>737</v>
      </c>
      <c r="G986" s="1">
        <v>568</v>
      </c>
      <c r="H986" s="1">
        <v>484</v>
      </c>
      <c r="I986" s="1">
        <v>440</v>
      </c>
      <c r="J986" s="1">
        <v>153</v>
      </c>
      <c r="K986" s="1">
        <v>252</v>
      </c>
      <c r="L986" s="1">
        <v>202</v>
      </c>
      <c r="M986" s="1">
        <v>802</v>
      </c>
      <c r="N986" s="1">
        <v>834</v>
      </c>
      <c r="O986" s="1">
        <v>203</v>
      </c>
      <c r="P986" s="1">
        <v>344</v>
      </c>
      <c r="Q986" s="1">
        <v>372</v>
      </c>
      <c r="R986" s="1">
        <v>277</v>
      </c>
      <c r="S986" s="1">
        <f>SUM(ecommerce_sales_all_data[[#This Row],[sales_month_1]:[sales_month_12]])</f>
        <v>4931</v>
      </c>
      <c r="T986" s="3">
        <f t="shared" si="190"/>
        <v>207575.6</v>
      </c>
      <c r="U986" s="3">
        <f t="shared" si="191"/>
        <v>176877.8</v>
      </c>
      <c r="V986" s="3">
        <f t="shared" si="192"/>
        <v>160798</v>
      </c>
      <c r="W986" s="3">
        <f t="shared" si="193"/>
        <v>55913.85</v>
      </c>
      <c r="X986" s="3">
        <f t="shared" si="194"/>
        <v>92093.4</v>
      </c>
      <c r="Y986" s="3">
        <f t="shared" si="195"/>
        <v>73820.899999999994</v>
      </c>
      <c r="Z986" s="3">
        <f t="shared" si="196"/>
        <v>293090.89999999997</v>
      </c>
      <c r="AA986" s="3">
        <f t="shared" si="197"/>
        <v>304785.3</v>
      </c>
      <c r="AB986" s="3">
        <f t="shared" si="198"/>
        <v>74186.349999999991</v>
      </c>
      <c r="AC986" s="3">
        <f t="shared" si="199"/>
        <v>125714.8</v>
      </c>
      <c r="AD986" s="3">
        <f t="shared" si="200"/>
        <v>135947.4</v>
      </c>
      <c r="AE986" s="3">
        <f t="shared" si="201"/>
        <v>101229.65</v>
      </c>
      <c r="AF986" s="3">
        <f>SUM(ecommerce_sales_all_data[[#This Row],[revenue_month_1]:[revenue_month_12]])</f>
        <v>1802033.95</v>
      </c>
    </row>
    <row r="987" spans="1:32" x14ac:dyDescent="0.3">
      <c r="A987">
        <v>986</v>
      </c>
      <c r="B987" t="s">
        <v>1010</v>
      </c>
      <c r="C987" t="s">
        <v>48</v>
      </c>
      <c r="D987" s="2">
        <v>250.27</v>
      </c>
      <c r="E987">
        <v>1.3</v>
      </c>
      <c r="F987">
        <v>864</v>
      </c>
      <c r="G987" s="1">
        <v>923</v>
      </c>
      <c r="H987" s="1">
        <v>83</v>
      </c>
      <c r="I987" s="1">
        <v>852</v>
      </c>
      <c r="J987" s="1">
        <v>387</v>
      </c>
      <c r="K987" s="1">
        <v>525</v>
      </c>
      <c r="L987" s="1">
        <v>410</v>
      </c>
      <c r="M987" s="1">
        <v>752</v>
      </c>
      <c r="N987" s="1">
        <v>750</v>
      </c>
      <c r="O987" s="1">
        <v>52</v>
      </c>
      <c r="P987" s="1">
        <v>159</v>
      </c>
      <c r="Q987" s="1">
        <v>596</v>
      </c>
      <c r="R987" s="1">
        <v>476</v>
      </c>
      <c r="S987" s="1">
        <f>SUM(ecommerce_sales_all_data[[#This Row],[sales_month_1]:[sales_month_12]])</f>
        <v>5965</v>
      </c>
      <c r="T987" s="3">
        <f t="shared" si="190"/>
        <v>230999.21000000002</v>
      </c>
      <c r="U987" s="3">
        <f t="shared" si="191"/>
        <v>20772.41</v>
      </c>
      <c r="V987" s="3">
        <f t="shared" si="192"/>
        <v>213230.04</v>
      </c>
      <c r="W987" s="3">
        <f t="shared" si="193"/>
        <v>96854.49</v>
      </c>
      <c r="X987" s="3">
        <f t="shared" si="194"/>
        <v>131391.75</v>
      </c>
      <c r="Y987" s="3">
        <f t="shared" si="195"/>
        <v>102610.7</v>
      </c>
      <c r="Z987" s="3">
        <f t="shared" si="196"/>
        <v>188203.04</v>
      </c>
      <c r="AA987" s="3">
        <f t="shared" si="197"/>
        <v>187702.5</v>
      </c>
      <c r="AB987" s="3">
        <f t="shared" si="198"/>
        <v>13014.04</v>
      </c>
      <c r="AC987" s="3">
        <f t="shared" si="199"/>
        <v>39792.93</v>
      </c>
      <c r="AD987" s="3">
        <f t="shared" si="200"/>
        <v>149160.92000000001</v>
      </c>
      <c r="AE987" s="3">
        <f t="shared" si="201"/>
        <v>119128.52</v>
      </c>
      <c r="AF987" s="3">
        <f>SUM(ecommerce_sales_all_data[[#This Row],[revenue_month_1]:[revenue_month_12]])</f>
        <v>1492860.55</v>
      </c>
    </row>
    <row r="988" spans="1:32" x14ac:dyDescent="0.3">
      <c r="A988">
        <v>987</v>
      </c>
      <c r="B988" t="s">
        <v>1011</v>
      </c>
      <c r="C988" t="s">
        <v>23</v>
      </c>
      <c r="D988" s="2">
        <v>345.76</v>
      </c>
      <c r="E988">
        <v>3.9</v>
      </c>
      <c r="F988">
        <v>840</v>
      </c>
      <c r="G988" s="1">
        <v>845</v>
      </c>
      <c r="H988" s="1">
        <v>898</v>
      </c>
      <c r="I988" s="1">
        <v>188</v>
      </c>
      <c r="J988" s="1">
        <v>208</v>
      </c>
      <c r="K988" s="1">
        <v>751</v>
      </c>
      <c r="L988" s="1">
        <v>992</v>
      </c>
      <c r="M988" s="1">
        <v>20</v>
      </c>
      <c r="N988" s="1">
        <v>626</v>
      </c>
      <c r="O988" s="1">
        <v>973</v>
      </c>
      <c r="P988" s="1">
        <v>549</v>
      </c>
      <c r="Q988" s="1">
        <v>650</v>
      </c>
      <c r="R988" s="1">
        <v>416</v>
      </c>
      <c r="S988" s="1">
        <f>SUM(ecommerce_sales_all_data[[#This Row],[sales_month_1]:[sales_month_12]])</f>
        <v>7116</v>
      </c>
      <c r="T988" s="3">
        <f t="shared" si="190"/>
        <v>292167.2</v>
      </c>
      <c r="U988" s="3">
        <f t="shared" si="191"/>
        <v>310492.48</v>
      </c>
      <c r="V988" s="3">
        <f t="shared" si="192"/>
        <v>65002.879999999997</v>
      </c>
      <c r="W988" s="3">
        <f t="shared" si="193"/>
        <v>71918.080000000002</v>
      </c>
      <c r="X988" s="3">
        <f t="shared" si="194"/>
        <v>259665.75999999998</v>
      </c>
      <c r="Y988" s="3">
        <f t="shared" si="195"/>
        <v>342993.91999999998</v>
      </c>
      <c r="Z988" s="3">
        <f t="shared" si="196"/>
        <v>6915.2</v>
      </c>
      <c r="AA988" s="3">
        <f t="shared" si="197"/>
        <v>216445.75999999998</v>
      </c>
      <c r="AB988" s="3">
        <f t="shared" si="198"/>
        <v>336424.48</v>
      </c>
      <c r="AC988" s="3">
        <f t="shared" si="199"/>
        <v>189822.24</v>
      </c>
      <c r="AD988" s="3">
        <f t="shared" si="200"/>
        <v>224744</v>
      </c>
      <c r="AE988" s="3">
        <f t="shared" si="201"/>
        <v>143836.16</v>
      </c>
      <c r="AF988" s="3">
        <f>SUM(ecommerce_sales_all_data[[#This Row],[revenue_month_1]:[revenue_month_12]])</f>
        <v>2460428.16</v>
      </c>
    </row>
    <row r="989" spans="1:32" x14ac:dyDescent="0.3">
      <c r="A989">
        <v>988</v>
      </c>
      <c r="B989" t="s">
        <v>1012</v>
      </c>
      <c r="C989" t="s">
        <v>19</v>
      </c>
      <c r="D989" s="2">
        <v>220.24</v>
      </c>
      <c r="E989">
        <v>3</v>
      </c>
      <c r="F989">
        <v>147</v>
      </c>
      <c r="G989" s="1">
        <v>68</v>
      </c>
      <c r="H989" s="1">
        <v>804</v>
      </c>
      <c r="I989" s="1">
        <v>414</v>
      </c>
      <c r="J989" s="1">
        <v>271</v>
      </c>
      <c r="K989" s="1">
        <v>437</v>
      </c>
      <c r="L989" s="1">
        <v>20</v>
      </c>
      <c r="M989" s="1">
        <v>689</v>
      </c>
      <c r="N989" s="1">
        <v>318</v>
      </c>
      <c r="O989" s="1">
        <v>939</v>
      </c>
      <c r="P989" s="1">
        <v>661</v>
      </c>
      <c r="Q989" s="1">
        <v>38</v>
      </c>
      <c r="R989" s="1">
        <v>677</v>
      </c>
      <c r="S989" s="1">
        <f>SUM(ecommerce_sales_all_data[[#This Row],[sales_month_1]:[sales_month_12]])</f>
        <v>5336</v>
      </c>
      <c r="T989" s="3">
        <f t="shared" si="190"/>
        <v>14976.32</v>
      </c>
      <c r="U989" s="3">
        <f t="shared" si="191"/>
        <v>177072.96000000002</v>
      </c>
      <c r="V989" s="3">
        <f t="shared" si="192"/>
        <v>91179.36</v>
      </c>
      <c r="W989" s="3">
        <f t="shared" si="193"/>
        <v>59685.04</v>
      </c>
      <c r="X989" s="3">
        <f t="shared" si="194"/>
        <v>96244.88</v>
      </c>
      <c r="Y989" s="3">
        <f t="shared" si="195"/>
        <v>4404.8</v>
      </c>
      <c r="Z989" s="3">
        <f t="shared" si="196"/>
        <v>151745.36000000002</v>
      </c>
      <c r="AA989" s="3">
        <f t="shared" si="197"/>
        <v>70036.320000000007</v>
      </c>
      <c r="AB989" s="3">
        <f t="shared" si="198"/>
        <v>206805.36000000002</v>
      </c>
      <c r="AC989" s="3">
        <f t="shared" si="199"/>
        <v>145578.64000000001</v>
      </c>
      <c r="AD989" s="3">
        <f t="shared" si="200"/>
        <v>8369.1200000000008</v>
      </c>
      <c r="AE989" s="3">
        <f t="shared" si="201"/>
        <v>149102.48000000001</v>
      </c>
      <c r="AF989" s="3">
        <f>SUM(ecommerce_sales_all_data[[#This Row],[revenue_month_1]:[revenue_month_12]])</f>
        <v>1175200.6400000001</v>
      </c>
    </row>
    <row r="990" spans="1:32" x14ac:dyDescent="0.3">
      <c r="A990">
        <v>989</v>
      </c>
      <c r="B990" t="s">
        <v>1013</v>
      </c>
      <c r="C990" t="s">
        <v>29</v>
      </c>
      <c r="D990" s="2">
        <v>126.97</v>
      </c>
      <c r="E990">
        <v>2.7</v>
      </c>
      <c r="F990">
        <v>575</v>
      </c>
      <c r="G990" s="1">
        <v>117</v>
      </c>
      <c r="H990" s="1">
        <v>637</v>
      </c>
      <c r="I990" s="1">
        <v>338</v>
      </c>
      <c r="J990" s="1">
        <v>142</v>
      </c>
      <c r="K990" s="1">
        <v>753</v>
      </c>
      <c r="L990" s="1">
        <v>550</v>
      </c>
      <c r="M990" s="1">
        <v>938</v>
      </c>
      <c r="N990" s="1">
        <v>368</v>
      </c>
      <c r="O990" s="1">
        <v>374</v>
      </c>
      <c r="P990" s="1">
        <v>911</v>
      </c>
      <c r="Q990" s="1">
        <v>104</v>
      </c>
      <c r="R990" s="1">
        <v>127</v>
      </c>
      <c r="S990" s="1">
        <f>SUM(ecommerce_sales_all_data[[#This Row],[sales_month_1]:[sales_month_12]])</f>
        <v>5359</v>
      </c>
      <c r="T990" s="3">
        <f t="shared" si="190"/>
        <v>14855.49</v>
      </c>
      <c r="U990" s="3">
        <f t="shared" si="191"/>
        <v>80879.89</v>
      </c>
      <c r="V990" s="3">
        <f t="shared" si="192"/>
        <v>42915.86</v>
      </c>
      <c r="W990" s="3">
        <f t="shared" si="193"/>
        <v>18029.740000000002</v>
      </c>
      <c r="X990" s="3">
        <f t="shared" si="194"/>
        <v>95608.41</v>
      </c>
      <c r="Y990" s="3">
        <f t="shared" si="195"/>
        <v>69833.5</v>
      </c>
      <c r="Z990" s="3">
        <f t="shared" si="196"/>
        <v>119097.86</v>
      </c>
      <c r="AA990" s="3">
        <f t="shared" si="197"/>
        <v>46724.959999999999</v>
      </c>
      <c r="AB990" s="3">
        <f t="shared" si="198"/>
        <v>47486.78</v>
      </c>
      <c r="AC990" s="3">
        <f t="shared" si="199"/>
        <v>115669.67</v>
      </c>
      <c r="AD990" s="3">
        <f t="shared" si="200"/>
        <v>13204.88</v>
      </c>
      <c r="AE990" s="3">
        <f t="shared" si="201"/>
        <v>16125.19</v>
      </c>
      <c r="AF990" s="3">
        <f>SUM(ecommerce_sales_all_data[[#This Row],[revenue_month_1]:[revenue_month_12]])</f>
        <v>680432.23</v>
      </c>
    </row>
    <row r="991" spans="1:32" x14ac:dyDescent="0.3">
      <c r="A991">
        <v>990</v>
      </c>
      <c r="B991" t="s">
        <v>1014</v>
      </c>
      <c r="C991" t="s">
        <v>29</v>
      </c>
      <c r="D991" s="2">
        <v>410.46</v>
      </c>
      <c r="E991">
        <v>3.9</v>
      </c>
      <c r="F991">
        <v>806</v>
      </c>
      <c r="G991" s="1">
        <v>887</v>
      </c>
      <c r="H991" s="1">
        <v>807</v>
      </c>
      <c r="I991" s="1">
        <v>606</v>
      </c>
      <c r="J991" s="1">
        <v>610</v>
      </c>
      <c r="K991" s="1">
        <v>980</v>
      </c>
      <c r="L991" s="1">
        <v>734</v>
      </c>
      <c r="M991" s="1">
        <v>227</v>
      </c>
      <c r="N991" s="1">
        <v>605</v>
      </c>
      <c r="O991" s="1">
        <v>841</v>
      </c>
      <c r="P991" s="1">
        <v>819</v>
      </c>
      <c r="Q991" s="1">
        <v>323</v>
      </c>
      <c r="R991" s="1">
        <v>236</v>
      </c>
      <c r="S991" s="1">
        <f>SUM(ecommerce_sales_all_data[[#This Row],[sales_month_1]:[sales_month_12]])</f>
        <v>7675</v>
      </c>
      <c r="T991" s="3">
        <f t="shared" si="190"/>
        <v>364078.01999999996</v>
      </c>
      <c r="U991" s="3">
        <f t="shared" si="191"/>
        <v>331241.21999999997</v>
      </c>
      <c r="V991" s="3">
        <f t="shared" si="192"/>
        <v>248738.75999999998</v>
      </c>
      <c r="W991" s="3">
        <f t="shared" si="193"/>
        <v>250380.59999999998</v>
      </c>
      <c r="X991" s="3">
        <f t="shared" si="194"/>
        <v>402250.8</v>
      </c>
      <c r="Y991" s="3">
        <f t="shared" si="195"/>
        <v>301277.64</v>
      </c>
      <c r="Z991" s="3">
        <f t="shared" si="196"/>
        <v>93174.42</v>
      </c>
      <c r="AA991" s="3">
        <f t="shared" si="197"/>
        <v>248328.3</v>
      </c>
      <c r="AB991" s="3">
        <f t="shared" si="198"/>
        <v>345196.86</v>
      </c>
      <c r="AC991" s="3">
        <f t="shared" si="199"/>
        <v>336166.74</v>
      </c>
      <c r="AD991" s="3">
        <f t="shared" si="200"/>
        <v>132578.57999999999</v>
      </c>
      <c r="AE991" s="3">
        <f t="shared" si="201"/>
        <v>96868.56</v>
      </c>
      <c r="AF991" s="3">
        <f>SUM(ecommerce_sales_all_data[[#This Row],[revenue_month_1]:[revenue_month_12]])</f>
        <v>3150280.4999999995</v>
      </c>
    </row>
    <row r="992" spans="1:32" x14ac:dyDescent="0.3">
      <c r="A992">
        <v>991</v>
      </c>
      <c r="B992" t="s">
        <v>1015</v>
      </c>
      <c r="C992" t="s">
        <v>23</v>
      </c>
      <c r="D992" s="2">
        <v>400.71</v>
      </c>
      <c r="E992">
        <v>4.0999999999999996</v>
      </c>
      <c r="F992">
        <v>323</v>
      </c>
      <c r="G992" s="1">
        <v>58</v>
      </c>
      <c r="H992" s="1">
        <v>583</v>
      </c>
      <c r="I992" s="1">
        <v>180</v>
      </c>
      <c r="J992" s="1">
        <v>888</v>
      </c>
      <c r="K992" s="1">
        <v>853</v>
      </c>
      <c r="L992" s="1">
        <v>101</v>
      </c>
      <c r="M992" s="1">
        <v>784</v>
      </c>
      <c r="N992" s="1">
        <v>994</v>
      </c>
      <c r="O992" s="1">
        <v>53</v>
      </c>
      <c r="P992" s="1">
        <v>540</v>
      </c>
      <c r="Q992" s="1">
        <v>792</v>
      </c>
      <c r="R992" s="1">
        <v>802</v>
      </c>
      <c r="S992" s="1">
        <f>SUM(ecommerce_sales_all_data[[#This Row],[sales_month_1]:[sales_month_12]])</f>
        <v>6628</v>
      </c>
      <c r="T992" s="3">
        <f t="shared" si="190"/>
        <v>23241.18</v>
      </c>
      <c r="U992" s="3">
        <f t="shared" si="191"/>
        <v>233613.93</v>
      </c>
      <c r="V992" s="3">
        <f t="shared" si="192"/>
        <v>72127.8</v>
      </c>
      <c r="W992" s="3">
        <f t="shared" si="193"/>
        <v>355830.48</v>
      </c>
      <c r="X992" s="3">
        <f t="shared" si="194"/>
        <v>341805.63</v>
      </c>
      <c r="Y992" s="3">
        <f t="shared" si="195"/>
        <v>40471.71</v>
      </c>
      <c r="Z992" s="3">
        <f t="shared" si="196"/>
        <v>314156.63999999996</v>
      </c>
      <c r="AA992" s="3">
        <f t="shared" si="197"/>
        <v>398305.74</v>
      </c>
      <c r="AB992" s="3">
        <f t="shared" si="198"/>
        <v>21237.629999999997</v>
      </c>
      <c r="AC992" s="3">
        <f t="shared" si="199"/>
        <v>216383.4</v>
      </c>
      <c r="AD992" s="3">
        <f t="shared" si="200"/>
        <v>317362.32</v>
      </c>
      <c r="AE992" s="3">
        <f t="shared" si="201"/>
        <v>321369.42</v>
      </c>
      <c r="AF992" s="3">
        <f>SUM(ecommerce_sales_all_data[[#This Row],[revenue_month_1]:[revenue_month_12]])</f>
        <v>2655905.8799999994</v>
      </c>
    </row>
    <row r="993" spans="1:32" x14ac:dyDescent="0.3">
      <c r="A993">
        <v>992</v>
      </c>
      <c r="B993" t="s">
        <v>1016</v>
      </c>
      <c r="C993" t="s">
        <v>21</v>
      </c>
      <c r="D993" s="2">
        <v>348.87</v>
      </c>
      <c r="E993">
        <v>1.6</v>
      </c>
      <c r="F993">
        <v>443</v>
      </c>
      <c r="G993" s="1">
        <v>32</v>
      </c>
      <c r="H993" s="1">
        <v>295</v>
      </c>
      <c r="I993" s="1">
        <v>287</v>
      </c>
      <c r="J993" s="1">
        <v>819</v>
      </c>
      <c r="K993" s="1">
        <v>660</v>
      </c>
      <c r="L993" s="1">
        <v>45</v>
      </c>
      <c r="M993" s="1">
        <v>287</v>
      </c>
      <c r="N993" s="1">
        <v>559</v>
      </c>
      <c r="O993" s="1">
        <v>275</v>
      </c>
      <c r="P993" s="1">
        <v>143</v>
      </c>
      <c r="Q993" s="1">
        <v>958</v>
      </c>
      <c r="R993" s="1">
        <v>618</v>
      </c>
      <c r="S993" s="1">
        <f>SUM(ecommerce_sales_all_data[[#This Row],[sales_month_1]:[sales_month_12]])</f>
        <v>4978</v>
      </c>
      <c r="T993" s="3">
        <f t="shared" si="190"/>
        <v>11163.84</v>
      </c>
      <c r="U993" s="3">
        <f t="shared" si="191"/>
        <v>102916.65</v>
      </c>
      <c r="V993" s="3">
        <f t="shared" si="192"/>
        <v>100125.69</v>
      </c>
      <c r="W993" s="3">
        <f t="shared" si="193"/>
        <v>285724.53000000003</v>
      </c>
      <c r="X993" s="3">
        <f t="shared" si="194"/>
        <v>230254.2</v>
      </c>
      <c r="Y993" s="3">
        <f t="shared" si="195"/>
        <v>15699.15</v>
      </c>
      <c r="Z993" s="3">
        <f t="shared" si="196"/>
        <v>100125.69</v>
      </c>
      <c r="AA993" s="3">
        <f t="shared" si="197"/>
        <v>195018.33000000002</v>
      </c>
      <c r="AB993" s="3">
        <f t="shared" si="198"/>
        <v>95939.25</v>
      </c>
      <c r="AC993" s="3">
        <f t="shared" si="199"/>
        <v>49888.41</v>
      </c>
      <c r="AD993" s="3">
        <f t="shared" si="200"/>
        <v>334217.46000000002</v>
      </c>
      <c r="AE993" s="3">
        <f t="shared" si="201"/>
        <v>215601.66</v>
      </c>
      <c r="AF993" s="3">
        <f>SUM(ecommerce_sales_all_data[[#This Row],[revenue_month_1]:[revenue_month_12]])</f>
        <v>1736674.8599999999</v>
      </c>
    </row>
    <row r="994" spans="1:32" x14ac:dyDescent="0.3">
      <c r="A994">
        <v>993</v>
      </c>
      <c r="B994" t="s">
        <v>1017</v>
      </c>
      <c r="C994" t="s">
        <v>21</v>
      </c>
      <c r="D994" s="2">
        <v>139.71</v>
      </c>
      <c r="E994">
        <v>3.4</v>
      </c>
      <c r="F994">
        <v>837</v>
      </c>
      <c r="G994" s="1">
        <v>317</v>
      </c>
      <c r="H994" s="1">
        <v>235</v>
      </c>
      <c r="I994" s="1">
        <v>833</v>
      </c>
      <c r="J994" s="1">
        <v>68</v>
      </c>
      <c r="K994" s="1">
        <v>235</v>
      </c>
      <c r="L994" s="1">
        <v>65</v>
      </c>
      <c r="M994" s="1">
        <v>808</v>
      </c>
      <c r="N994" s="1">
        <v>702</v>
      </c>
      <c r="O994" s="1">
        <v>334</v>
      </c>
      <c r="P994" s="1">
        <v>587</v>
      </c>
      <c r="Q994" s="1">
        <v>991</v>
      </c>
      <c r="R994" s="1">
        <v>127</v>
      </c>
      <c r="S994" s="1">
        <f>SUM(ecommerce_sales_all_data[[#This Row],[sales_month_1]:[sales_month_12]])</f>
        <v>5302</v>
      </c>
      <c r="T994" s="3">
        <f t="shared" si="190"/>
        <v>44288.07</v>
      </c>
      <c r="U994" s="3">
        <f t="shared" si="191"/>
        <v>32831.85</v>
      </c>
      <c r="V994" s="3">
        <f t="shared" si="192"/>
        <v>116378.43000000001</v>
      </c>
      <c r="W994" s="3">
        <f t="shared" si="193"/>
        <v>9500.2800000000007</v>
      </c>
      <c r="X994" s="3">
        <f t="shared" si="194"/>
        <v>32831.85</v>
      </c>
      <c r="Y994" s="3">
        <f t="shared" si="195"/>
        <v>9081.15</v>
      </c>
      <c r="Z994" s="3">
        <f t="shared" si="196"/>
        <v>112885.68000000001</v>
      </c>
      <c r="AA994" s="3">
        <f t="shared" si="197"/>
        <v>98076.420000000013</v>
      </c>
      <c r="AB994" s="3">
        <f t="shared" si="198"/>
        <v>46663.14</v>
      </c>
      <c r="AC994" s="3">
        <f t="shared" si="199"/>
        <v>82009.77</v>
      </c>
      <c r="AD994" s="3">
        <f t="shared" si="200"/>
        <v>138452.61000000002</v>
      </c>
      <c r="AE994" s="3">
        <f t="shared" si="201"/>
        <v>17743.170000000002</v>
      </c>
      <c r="AF994" s="3">
        <f>SUM(ecommerce_sales_all_data[[#This Row],[revenue_month_1]:[revenue_month_12]])</f>
        <v>740742.42</v>
      </c>
    </row>
    <row r="995" spans="1:32" x14ac:dyDescent="0.3">
      <c r="A995">
        <v>994</v>
      </c>
      <c r="B995" t="s">
        <v>1018</v>
      </c>
      <c r="C995" t="s">
        <v>21</v>
      </c>
      <c r="D995" s="2">
        <v>297.16000000000003</v>
      </c>
      <c r="E995">
        <v>1.5</v>
      </c>
      <c r="F995">
        <v>13</v>
      </c>
      <c r="G995" s="1">
        <v>49</v>
      </c>
      <c r="H995" s="1">
        <v>55</v>
      </c>
      <c r="I995" s="1">
        <v>186</v>
      </c>
      <c r="J995" s="1">
        <v>246</v>
      </c>
      <c r="K995" s="1">
        <v>305</v>
      </c>
      <c r="L995" s="1">
        <v>602</v>
      </c>
      <c r="M995" s="1">
        <v>133</v>
      </c>
      <c r="N995" s="1">
        <v>461</v>
      </c>
      <c r="O995" s="1">
        <v>30</v>
      </c>
      <c r="P995" s="1">
        <v>656</v>
      </c>
      <c r="Q995" s="1">
        <v>413</v>
      </c>
      <c r="R995" s="1">
        <v>706</v>
      </c>
      <c r="S995" s="1">
        <f>SUM(ecommerce_sales_all_data[[#This Row],[sales_month_1]:[sales_month_12]])</f>
        <v>3842</v>
      </c>
      <c r="T995" s="3">
        <f t="shared" si="190"/>
        <v>14560.840000000002</v>
      </c>
      <c r="U995" s="3">
        <f t="shared" si="191"/>
        <v>16343.800000000001</v>
      </c>
      <c r="V995" s="3">
        <f t="shared" si="192"/>
        <v>55271.76</v>
      </c>
      <c r="W995" s="3">
        <f t="shared" si="193"/>
        <v>73101.36</v>
      </c>
      <c r="X995" s="3">
        <f t="shared" si="194"/>
        <v>90633.8</v>
      </c>
      <c r="Y995" s="3">
        <f t="shared" si="195"/>
        <v>178890.32</v>
      </c>
      <c r="Z995" s="3">
        <f t="shared" si="196"/>
        <v>39522.280000000006</v>
      </c>
      <c r="AA995" s="3">
        <f t="shared" si="197"/>
        <v>136990.76</v>
      </c>
      <c r="AB995" s="3">
        <f t="shared" si="198"/>
        <v>8914.8000000000011</v>
      </c>
      <c r="AC995" s="3">
        <f t="shared" si="199"/>
        <v>194936.96000000002</v>
      </c>
      <c r="AD995" s="3">
        <f t="shared" si="200"/>
        <v>122727.08000000002</v>
      </c>
      <c r="AE995" s="3">
        <f t="shared" si="201"/>
        <v>209794.96000000002</v>
      </c>
      <c r="AF995" s="3">
        <f>SUM(ecommerce_sales_all_data[[#This Row],[revenue_month_1]:[revenue_month_12]])</f>
        <v>1141688.7200000002</v>
      </c>
    </row>
    <row r="996" spans="1:32" x14ac:dyDescent="0.3">
      <c r="A996">
        <v>995</v>
      </c>
      <c r="B996" t="s">
        <v>1019</v>
      </c>
      <c r="C996" t="s">
        <v>48</v>
      </c>
      <c r="D996" s="2">
        <v>183.68</v>
      </c>
      <c r="E996">
        <v>4</v>
      </c>
      <c r="F996">
        <v>943</v>
      </c>
      <c r="G996" s="1">
        <v>879</v>
      </c>
      <c r="H996" s="1">
        <v>918</v>
      </c>
      <c r="I996" s="1">
        <v>883</v>
      </c>
      <c r="J996" s="1">
        <v>260</v>
      </c>
      <c r="K996" s="1">
        <v>477</v>
      </c>
      <c r="L996" s="1">
        <v>163</v>
      </c>
      <c r="M996" s="1">
        <v>983</v>
      </c>
      <c r="N996" s="1">
        <v>11</v>
      </c>
      <c r="O996" s="1">
        <v>134</v>
      </c>
      <c r="P996" s="1">
        <v>740</v>
      </c>
      <c r="Q996" s="1">
        <v>428</v>
      </c>
      <c r="R996" s="1">
        <v>850</v>
      </c>
      <c r="S996" s="1">
        <f>SUM(ecommerce_sales_all_data[[#This Row],[sales_month_1]:[sales_month_12]])</f>
        <v>6726</v>
      </c>
      <c r="T996" s="3">
        <f t="shared" si="190"/>
        <v>161454.72</v>
      </c>
      <c r="U996" s="3">
        <f t="shared" si="191"/>
        <v>168618.24000000002</v>
      </c>
      <c r="V996" s="3">
        <f t="shared" si="192"/>
        <v>162189.44</v>
      </c>
      <c r="W996" s="3">
        <f t="shared" si="193"/>
        <v>47756.800000000003</v>
      </c>
      <c r="X996" s="3">
        <f t="shared" si="194"/>
        <v>87615.360000000001</v>
      </c>
      <c r="Y996" s="3">
        <f t="shared" si="195"/>
        <v>29939.84</v>
      </c>
      <c r="Z996" s="3">
        <f t="shared" si="196"/>
        <v>180557.44</v>
      </c>
      <c r="AA996" s="3">
        <f t="shared" si="197"/>
        <v>2020.48</v>
      </c>
      <c r="AB996" s="3">
        <f t="shared" si="198"/>
        <v>24613.120000000003</v>
      </c>
      <c r="AC996" s="3">
        <f t="shared" si="199"/>
        <v>135923.20000000001</v>
      </c>
      <c r="AD996" s="3">
        <f t="shared" si="200"/>
        <v>78615.040000000008</v>
      </c>
      <c r="AE996" s="3">
        <f t="shared" si="201"/>
        <v>156128</v>
      </c>
      <c r="AF996" s="3">
        <f>SUM(ecommerce_sales_all_data[[#This Row],[revenue_month_1]:[revenue_month_12]])</f>
        <v>1235431.6800000002</v>
      </c>
    </row>
    <row r="997" spans="1:32" x14ac:dyDescent="0.3">
      <c r="A997">
        <v>996</v>
      </c>
      <c r="B997" t="s">
        <v>1020</v>
      </c>
      <c r="C997" t="s">
        <v>21</v>
      </c>
      <c r="D997" s="2">
        <v>50.33</v>
      </c>
      <c r="E997">
        <v>3.6</v>
      </c>
      <c r="F997">
        <v>494</v>
      </c>
      <c r="G997" s="1">
        <v>488</v>
      </c>
      <c r="H997" s="1">
        <v>359</v>
      </c>
      <c r="I997" s="1">
        <v>137</v>
      </c>
      <c r="J997" s="1">
        <v>787</v>
      </c>
      <c r="K997" s="1">
        <v>678</v>
      </c>
      <c r="L997" s="1">
        <v>970</v>
      </c>
      <c r="M997" s="1">
        <v>282</v>
      </c>
      <c r="N997" s="1">
        <v>155</v>
      </c>
      <c r="O997" s="1">
        <v>57</v>
      </c>
      <c r="P997" s="1">
        <v>575</v>
      </c>
      <c r="Q997" s="1">
        <v>634</v>
      </c>
      <c r="R997" s="1">
        <v>393</v>
      </c>
      <c r="S997" s="1">
        <f>SUM(ecommerce_sales_all_data[[#This Row],[sales_month_1]:[sales_month_12]])</f>
        <v>5515</v>
      </c>
      <c r="T997" s="3">
        <f t="shared" si="190"/>
        <v>24561.040000000001</v>
      </c>
      <c r="U997" s="3">
        <f t="shared" si="191"/>
        <v>18068.47</v>
      </c>
      <c r="V997" s="3">
        <f t="shared" si="192"/>
        <v>6895.21</v>
      </c>
      <c r="W997" s="3">
        <f t="shared" si="193"/>
        <v>39609.71</v>
      </c>
      <c r="X997" s="3">
        <f t="shared" si="194"/>
        <v>34123.74</v>
      </c>
      <c r="Y997" s="3">
        <f t="shared" si="195"/>
        <v>48820.1</v>
      </c>
      <c r="Z997" s="3">
        <f t="shared" si="196"/>
        <v>14193.06</v>
      </c>
      <c r="AA997" s="3">
        <f t="shared" si="197"/>
        <v>7801.15</v>
      </c>
      <c r="AB997" s="3">
        <f t="shared" si="198"/>
        <v>2868.81</v>
      </c>
      <c r="AC997" s="3">
        <f t="shared" si="199"/>
        <v>28939.75</v>
      </c>
      <c r="AD997" s="3">
        <f t="shared" si="200"/>
        <v>31909.219999999998</v>
      </c>
      <c r="AE997" s="3">
        <f t="shared" si="201"/>
        <v>19779.689999999999</v>
      </c>
      <c r="AF997" s="3">
        <f>SUM(ecommerce_sales_all_data[[#This Row],[revenue_month_1]:[revenue_month_12]])</f>
        <v>277569.94999999995</v>
      </c>
    </row>
    <row r="998" spans="1:32" x14ac:dyDescent="0.3">
      <c r="A998">
        <v>997</v>
      </c>
      <c r="B998" t="s">
        <v>1021</v>
      </c>
      <c r="C998" t="s">
        <v>21</v>
      </c>
      <c r="D998" s="2">
        <v>459.07</v>
      </c>
      <c r="E998">
        <v>4.8</v>
      </c>
      <c r="F998">
        <v>701</v>
      </c>
      <c r="G998" s="1">
        <v>18</v>
      </c>
      <c r="H998" s="1">
        <v>906</v>
      </c>
      <c r="I998" s="1">
        <v>129</v>
      </c>
      <c r="J998" s="1">
        <v>78</v>
      </c>
      <c r="K998" s="1">
        <v>19</v>
      </c>
      <c r="L998" s="1">
        <v>110</v>
      </c>
      <c r="M998" s="1">
        <v>403</v>
      </c>
      <c r="N998" s="1">
        <v>683</v>
      </c>
      <c r="O998" s="1">
        <v>104</v>
      </c>
      <c r="P998" s="1">
        <v>858</v>
      </c>
      <c r="Q998" s="1">
        <v>729</v>
      </c>
      <c r="R998" s="1">
        <v>474</v>
      </c>
      <c r="S998" s="1">
        <f>SUM(ecommerce_sales_all_data[[#This Row],[sales_month_1]:[sales_month_12]])</f>
        <v>4511</v>
      </c>
      <c r="T998" s="3">
        <f t="shared" si="190"/>
        <v>8263.26</v>
      </c>
      <c r="U998" s="3">
        <f t="shared" si="191"/>
        <v>415917.42</v>
      </c>
      <c r="V998" s="3">
        <f t="shared" si="192"/>
        <v>59220.03</v>
      </c>
      <c r="W998" s="3">
        <f t="shared" si="193"/>
        <v>35807.46</v>
      </c>
      <c r="X998" s="3">
        <f t="shared" si="194"/>
        <v>8722.33</v>
      </c>
      <c r="Y998" s="3">
        <f t="shared" si="195"/>
        <v>50497.7</v>
      </c>
      <c r="Z998" s="3">
        <f t="shared" si="196"/>
        <v>185005.21</v>
      </c>
      <c r="AA998" s="3">
        <f t="shared" si="197"/>
        <v>313544.81</v>
      </c>
      <c r="AB998" s="3">
        <f t="shared" si="198"/>
        <v>47743.28</v>
      </c>
      <c r="AC998" s="3">
        <f t="shared" si="199"/>
        <v>393882.06</v>
      </c>
      <c r="AD998" s="3">
        <f t="shared" si="200"/>
        <v>334662.02999999997</v>
      </c>
      <c r="AE998" s="3">
        <f t="shared" si="201"/>
        <v>217599.18</v>
      </c>
      <c r="AF998" s="3">
        <f>SUM(ecommerce_sales_all_data[[#This Row],[revenue_month_1]:[revenue_month_12]])</f>
        <v>2070864.77</v>
      </c>
    </row>
    <row r="999" spans="1:32" x14ac:dyDescent="0.3">
      <c r="A999">
        <v>998</v>
      </c>
      <c r="B999" t="s">
        <v>1022</v>
      </c>
      <c r="C999" t="s">
        <v>48</v>
      </c>
      <c r="D999" s="2">
        <v>72.73</v>
      </c>
      <c r="E999">
        <v>1.3</v>
      </c>
      <c r="F999">
        <v>287</v>
      </c>
      <c r="G999" s="1">
        <v>725</v>
      </c>
      <c r="H999" s="1">
        <v>109</v>
      </c>
      <c r="I999" s="1">
        <v>193</v>
      </c>
      <c r="J999" s="1">
        <v>657</v>
      </c>
      <c r="K999" s="1">
        <v>215</v>
      </c>
      <c r="L999" s="1">
        <v>337</v>
      </c>
      <c r="M999" s="1">
        <v>664</v>
      </c>
      <c r="N999" s="1">
        <v>476</v>
      </c>
      <c r="O999" s="1">
        <v>265</v>
      </c>
      <c r="P999" s="1">
        <v>344</v>
      </c>
      <c r="Q999" s="1">
        <v>888</v>
      </c>
      <c r="R999" s="1">
        <v>654</v>
      </c>
      <c r="S999" s="1">
        <f>SUM(ecommerce_sales_all_data[[#This Row],[sales_month_1]:[sales_month_12]])</f>
        <v>5527</v>
      </c>
      <c r="T999" s="3">
        <f t="shared" si="190"/>
        <v>52729.25</v>
      </c>
      <c r="U999" s="3">
        <f t="shared" si="191"/>
        <v>7927.5700000000006</v>
      </c>
      <c r="V999" s="3">
        <f t="shared" si="192"/>
        <v>14036.890000000001</v>
      </c>
      <c r="W999" s="3">
        <f t="shared" si="193"/>
        <v>47783.61</v>
      </c>
      <c r="X999" s="3">
        <f t="shared" si="194"/>
        <v>15636.95</v>
      </c>
      <c r="Y999" s="3">
        <f t="shared" si="195"/>
        <v>24510.010000000002</v>
      </c>
      <c r="Z999" s="3">
        <f t="shared" si="196"/>
        <v>48292.72</v>
      </c>
      <c r="AA999" s="3">
        <f t="shared" si="197"/>
        <v>34619.480000000003</v>
      </c>
      <c r="AB999" s="3">
        <f t="shared" si="198"/>
        <v>19273.45</v>
      </c>
      <c r="AC999" s="3">
        <f t="shared" si="199"/>
        <v>25019.120000000003</v>
      </c>
      <c r="AD999" s="3">
        <f t="shared" si="200"/>
        <v>64584.240000000005</v>
      </c>
      <c r="AE999" s="3">
        <f t="shared" si="201"/>
        <v>47565.420000000006</v>
      </c>
      <c r="AF999" s="3">
        <f>SUM(ecommerce_sales_all_data[[#This Row],[revenue_month_1]:[revenue_month_12]])</f>
        <v>401978.71</v>
      </c>
    </row>
    <row r="1000" spans="1:32" x14ac:dyDescent="0.3">
      <c r="A1000">
        <v>999</v>
      </c>
      <c r="B1000" t="s">
        <v>1023</v>
      </c>
      <c r="C1000" t="s">
        <v>48</v>
      </c>
      <c r="D1000" s="2">
        <v>475.37</v>
      </c>
      <c r="E1000">
        <v>1.2</v>
      </c>
      <c r="F1000">
        <v>720</v>
      </c>
      <c r="G1000" s="1">
        <v>196</v>
      </c>
      <c r="H1000" s="1">
        <v>191</v>
      </c>
      <c r="I1000" s="1">
        <v>315</v>
      </c>
      <c r="J1000" s="1">
        <v>622</v>
      </c>
      <c r="K1000" s="1">
        <v>854</v>
      </c>
      <c r="L1000" s="1">
        <v>122</v>
      </c>
      <c r="M1000" s="1">
        <v>65</v>
      </c>
      <c r="N1000" s="1">
        <v>938</v>
      </c>
      <c r="O1000" s="1">
        <v>521</v>
      </c>
      <c r="P1000" s="1">
        <v>268</v>
      </c>
      <c r="Q1000" s="1">
        <v>60</v>
      </c>
      <c r="R1000" s="1">
        <v>394</v>
      </c>
      <c r="S1000" s="1">
        <f>SUM(ecommerce_sales_all_data[[#This Row],[sales_month_1]:[sales_month_12]])</f>
        <v>4546</v>
      </c>
      <c r="T1000" s="3">
        <f t="shared" si="190"/>
        <v>93172.52</v>
      </c>
      <c r="U1000" s="3">
        <f t="shared" si="191"/>
        <v>90795.67</v>
      </c>
      <c r="V1000" s="3">
        <f t="shared" si="192"/>
        <v>149741.54999999999</v>
      </c>
      <c r="W1000" s="3">
        <f t="shared" si="193"/>
        <v>295680.14</v>
      </c>
      <c r="X1000" s="3">
        <f t="shared" si="194"/>
        <v>405965.98</v>
      </c>
      <c r="Y1000" s="3">
        <f t="shared" si="195"/>
        <v>57995.14</v>
      </c>
      <c r="Z1000" s="3">
        <f t="shared" si="196"/>
        <v>30899.05</v>
      </c>
      <c r="AA1000" s="3">
        <f t="shared" si="197"/>
        <v>445897.06</v>
      </c>
      <c r="AB1000" s="3">
        <f t="shared" si="198"/>
        <v>247667.77</v>
      </c>
      <c r="AC1000" s="3">
        <f t="shared" si="199"/>
        <v>127399.16</v>
      </c>
      <c r="AD1000" s="3">
        <f t="shared" si="200"/>
        <v>28522.2</v>
      </c>
      <c r="AE1000" s="3">
        <f t="shared" si="201"/>
        <v>187295.78</v>
      </c>
      <c r="AF1000" s="3">
        <f>SUM(ecommerce_sales_all_data[[#This Row],[revenue_month_1]:[revenue_month_12]])</f>
        <v>2161032.02</v>
      </c>
    </row>
    <row r="1001" spans="1:32" x14ac:dyDescent="0.3">
      <c r="A1001">
        <v>1000</v>
      </c>
      <c r="B1001" t="s">
        <v>1024</v>
      </c>
      <c r="C1001" t="s">
        <v>23</v>
      </c>
      <c r="D1001" s="2">
        <v>225.77</v>
      </c>
      <c r="E1001">
        <v>2.1</v>
      </c>
      <c r="F1001">
        <v>114</v>
      </c>
      <c r="G1001" s="1">
        <v>890</v>
      </c>
      <c r="H1001" s="1">
        <v>903</v>
      </c>
      <c r="I1001" s="1">
        <v>983</v>
      </c>
      <c r="J1001" s="1">
        <v>769</v>
      </c>
      <c r="K1001" s="1">
        <v>134</v>
      </c>
      <c r="L1001" s="1">
        <v>704</v>
      </c>
      <c r="M1001" s="1">
        <v>648</v>
      </c>
      <c r="N1001" s="1">
        <v>400</v>
      </c>
      <c r="O1001" s="1">
        <v>495</v>
      </c>
      <c r="P1001" s="1">
        <v>839</v>
      </c>
      <c r="Q1001" s="1">
        <v>611</v>
      </c>
      <c r="R1001" s="1">
        <v>110</v>
      </c>
      <c r="S1001" s="1">
        <f>SUM(ecommerce_sales_all_data[[#This Row],[sales_month_1]:[sales_month_12]])</f>
        <v>7486</v>
      </c>
      <c r="T1001" s="3">
        <f t="shared" si="190"/>
        <v>200935.30000000002</v>
      </c>
      <c r="U1001" s="3">
        <f t="shared" si="191"/>
        <v>203870.31</v>
      </c>
      <c r="V1001" s="3">
        <f t="shared" si="192"/>
        <v>221931.91</v>
      </c>
      <c r="W1001" s="3">
        <f t="shared" si="193"/>
        <v>173617.13</v>
      </c>
      <c r="X1001" s="3">
        <f t="shared" si="194"/>
        <v>30253.18</v>
      </c>
      <c r="Y1001" s="3">
        <f t="shared" si="195"/>
        <v>158942.08000000002</v>
      </c>
      <c r="Z1001" s="3">
        <f t="shared" si="196"/>
        <v>146298.96000000002</v>
      </c>
      <c r="AA1001" s="3">
        <f t="shared" si="197"/>
        <v>90308</v>
      </c>
      <c r="AB1001" s="3">
        <f t="shared" si="198"/>
        <v>111756.15000000001</v>
      </c>
      <c r="AC1001" s="3">
        <f t="shared" si="199"/>
        <v>189421.03</v>
      </c>
      <c r="AD1001" s="3">
        <f t="shared" si="200"/>
        <v>137945.47</v>
      </c>
      <c r="AE1001" s="3">
        <f t="shared" si="201"/>
        <v>24834.7</v>
      </c>
      <c r="AF1001" s="3">
        <f>SUM(ecommerce_sales_all_data[[#This Row],[revenue_month_1]:[revenue_month_12]])</f>
        <v>1690114.22</v>
      </c>
    </row>
    <row r="1003" spans="1:32" x14ac:dyDescent="0.3">
      <c r="C1003" s="15" t="s">
        <v>1045</v>
      </c>
      <c r="D1003" s="16"/>
      <c r="E1003" s="16" t="s">
        <v>1052</v>
      </c>
      <c r="F1003" s="16" t="s">
        <v>1053</v>
      </c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29" t="s">
        <v>1052</v>
      </c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8" t="s">
        <v>1052</v>
      </c>
    </row>
    <row r="1004" spans="1:32" x14ac:dyDescent="0.3">
      <c r="C1004" s="19"/>
      <c r="E1004" s="20" t="s">
        <v>1049</v>
      </c>
      <c r="F1004" s="21" t="s">
        <v>1050</v>
      </c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0" t="s">
        <v>1049</v>
      </c>
      <c r="AF1004" s="20" t="s">
        <v>1049</v>
      </c>
    </row>
    <row r="1005" spans="1:32" x14ac:dyDescent="0.3">
      <c r="C1005" s="23"/>
      <c r="D1005" s="24"/>
      <c r="E1005" s="25" t="s">
        <v>1051</v>
      </c>
      <c r="F1005" s="24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5" t="s">
        <v>1051</v>
      </c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5" t="s">
        <v>1051</v>
      </c>
    </row>
  </sheetData>
  <phoneticPr fontId="18" type="noConversion"/>
  <conditionalFormatting sqref="E2:E100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001">
    <cfRule type="top10" dxfId="0" priority="3" percent="1" bottom="1" rank="10"/>
  </conditionalFormatting>
  <conditionalFormatting sqref="S2:S100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2:AF10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E1" location="'1. ecommerce_sales_all_data'!E1003" display="review_score" xr:uid="{71ABC672-FF37-43C4-B7EE-44CA611939E3}"/>
    <hyperlink ref="F1" location="'1. ecommerce_sales_all_data'!F1003" display="review_count" xr:uid="{316C4E4C-332B-4BB3-A6B4-FDCB66C0976D}"/>
    <hyperlink ref="S1" location="'1. ecommerce_sales_all_data'!S1003" display="total_sales" xr:uid="{4E37812C-C93F-44F0-B14E-B36C500937E0}"/>
    <hyperlink ref="AF1" location="'1. ecommerce_sales_all_data'!AF1003" display="total_revenue" xr:uid="{B7EC5C5C-99BF-4D47-8B6F-DAC8B60F2C8C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9CA4-128D-453E-B4D8-6B4E9C4FF591}">
  <dimension ref="A1:G12"/>
  <sheetViews>
    <sheetView zoomScale="97" workbookViewId="0">
      <selection sqref="A1:G9"/>
    </sheetView>
  </sheetViews>
  <sheetFormatPr defaultColWidth="24.19921875" defaultRowHeight="14.5" x14ac:dyDescent="0.3"/>
  <cols>
    <col min="1" max="1" width="15.296875" bestFit="1" customWidth="1"/>
    <col min="2" max="2" width="19.69921875" hidden="1" customWidth="1"/>
    <col min="3" max="3" width="24.19921875" hidden="1" customWidth="1"/>
    <col min="4" max="4" width="24.3984375" hidden="1" customWidth="1"/>
    <col min="5" max="5" width="16.5" hidden="1" customWidth="1"/>
    <col min="6" max="6" width="18.19921875" bestFit="1" customWidth="1"/>
    <col min="7" max="7" width="20.796875" bestFit="1" customWidth="1"/>
    <col min="8" max="35" width="24.3984375" bestFit="1" customWidth="1"/>
    <col min="36" max="36" width="30" bestFit="1" customWidth="1"/>
    <col min="37" max="37" width="30.19921875" bestFit="1" customWidth="1"/>
    <col min="38" max="38" width="22.296875" bestFit="1" customWidth="1"/>
    <col min="39" max="39" width="23.8984375" bestFit="1" customWidth="1"/>
    <col min="40" max="40" width="26.59765625" bestFit="1" customWidth="1"/>
  </cols>
  <sheetData>
    <row r="1" spans="1:7" x14ac:dyDescent="0.3">
      <c r="A1" s="4" t="s">
        <v>1054</v>
      </c>
      <c r="B1" t="s">
        <v>1070</v>
      </c>
      <c r="C1" t="s">
        <v>1041</v>
      </c>
      <c r="D1" t="s">
        <v>1042</v>
      </c>
      <c r="E1" t="s">
        <v>1040</v>
      </c>
      <c r="F1" t="s">
        <v>1043</v>
      </c>
      <c r="G1" t="s">
        <v>1044</v>
      </c>
    </row>
    <row r="2" spans="1:7" ht="15" x14ac:dyDescent="0.35">
      <c r="A2" s="7" t="s">
        <v>26</v>
      </c>
      <c r="B2" s="42">
        <v>154</v>
      </c>
      <c r="C2" s="36">
        <v>3.0967532467532481</v>
      </c>
      <c r="D2" s="9">
        <v>514.69480519480521</v>
      </c>
      <c r="E2" s="38">
        <v>251.38480519480512</v>
      </c>
      <c r="F2" s="39">
        <v>938229</v>
      </c>
      <c r="G2" s="40">
        <v>236782805.60000005</v>
      </c>
    </row>
    <row r="3" spans="1:7" x14ac:dyDescent="0.3">
      <c r="A3" s="7" t="s">
        <v>19</v>
      </c>
      <c r="B3">
        <v>140</v>
      </c>
      <c r="C3" s="8">
        <v>2.9521428571428561</v>
      </c>
      <c r="D3" s="9">
        <v>502.47857142857146</v>
      </c>
      <c r="E3" s="38">
        <v>230.04178571428571</v>
      </c>
      <c r="F3" s="9">
        <v>826536</v>
      </c>
      <c r="G3" s="6">
        <v>187258320.84999996</v>
      </c>
    </row>
    <row r="4" spans="1:7" ht="15" x14ac:dyDescent="0.35">
      <c r="A4" s="7" t="s">
        <v>29</v>
      </c>
      <c r="B4">
        <v>138</v>
      </c>
      <c r="C4" s="36">
        <v>3.1434782608695651</v>
      </c>
      <c r="D4" s="9">
        <v>535.231884057971</v>
      </c>
      <c r="E4" s="38">
        <v>239.67427536231887</v>
      </c>
      <c r="F4" s="9">
        <v>845120</v>
      </c>
      <c r="G4" s="6">
        <v>201674684.07000011</v>
      </c>
    </row>
    <row r="5" spans="1:7" ht="15" x14ac:dyDescent="0.35">
      <c r="A5" s="7" t="s">
        <v>35</v>
      </c>
      <c r="B5">
        <v>139</v>
      </c>
      <c r="C5" s="8">
        <v>3.0050359712230215</v>
      </c>
      <c r="D5" s="9">
        <v>520.84892086330933</v>
      </c>
      <c r="E5" s="41">
        <v>265.14258992805748</v>
      </c>
      <c r="F5" s="9">
        <v>834414</v>
      </c>
      <c r="G5" s="6">
        <v>221736852.12999997</v>
      </c>
    </row>
    <row r="6" spans="1:7" x14ac:dyDescent="0.3">
      <c r="A6" s="7" t="s">
        <v>21</v>
      </c>
      <c r="B6">
        <v>125</v>
      </c>
      <c r="C6" s="8">
        <v>3.0352000000000001</v>
      </c>
      <c r="D6" s="9">
        <v>541.88</v>
      </c>
      <c r="E6" s="38">
        <v>239.76967999999999</v>
      </c>
      <c r="F6" s="9">
        <v>742141</v>
      </c>
      <c r="G6" s="6">
        <v>178365505.26000005</v>
      </c>
    </row>
    <row r="7" spans="1:7" ht="15" x14ac:dyDescent="0.35">
      <c r="A7" s="7" t="s">
        <v>48</v>
      </c>
      <c r="B7">
        <v>153</v>
      </c>
      <c r="C7" s="36">
        <v>3.0915032679738554</v>
      </c>
      <c r="D7" s="37">
        <v>547.22875816993462</v>
      </c>
      <c r="E7" s="38">
        <v>254.21627450980381</v>
      </c>
      <c r="F7" s="9">
        <v>916371</v>
      </c>
      <c r="G7" s="6">
        <v>232648831.87999994</v>
      </c>
    </row>
    <row r="8" spans="1:7" x14ac:dyDescent="0.3">
      <c r="A8" s="7" t="s">
        <v>23</v>
      </c>
      <c r="B8">
        <v>151</v>
      </c>
      <c r="C8" s="8">
        <v>2.870860927152318</v>
      </c>
      <c r="D8" s="9">
        <v>524.33774834437088</v>
      </c>
      <c r="E8" s="38">
        <v>251.40298013245047</v>
      </c>
      <c r="F8" s="9">
        <v>917101</v>
      </c>
      <c r="G8" s="6">
        <v>230237183.23000002</v>
      </c>
    </row>
    <row r="9" spans="1:7" x14ac:dyDescent="0.3">
      <c r="A9" s="7" t="s">
        <v>1039</v>
      </c>
      <c r="B9">
        <v>1000</v>
      </c>
      <c r="C9" s="8">
        <v>3.0275999999999987</v>
      </c>
      <c r="D9" s="9">
        <v>526.50599999999997</v>
      </c>
      <c r="E9" s="38">
        <v>247.67712999999961</v>
      </c>
      <c r="F9" s="9">
        <v>6019912</v>
      </c>
      <c r="G9" s="6">
        <v>1488704183.0199983</v>
      </c>
    </row>
    <row r="11" spans="1:7" x14ac:dyDescent="0.3">
      <c r="A11" s="31" t="s">
        <v>1045</v>
      </c>
      <c r="B11" s="18"/>
    </row>
    <row r="12" spans="1:7" ht="15" x14ac:dyDescent="0.35">
      <c r="A12" s="32">
        <f>GETPIVOTDATA("Sum of total_sales",$A$1,"category","Books")</f>
        <v>938229</v>
      </c>
      <c r="B12" s="27" t="s">
        <v>1046</v>
      </c>
    </row>
  </sheetData>
  <conditionalFormatting pivot="1" sqref="C2:C8">
    <cfRule type="dataBar" priority="4">
      <dataBar>
        <cfvo type="num" val="0"/>
        <cfvo type="num" val="5"/>
        <color rgb="FF638EC6"/>
      </dataBar>
      <extLst>
        <ext xmlns:x14="http://schemas.microsoft.com/office/spreadsheetml/2009/9/main" uri="{B025F937-C7B1-47D3-B67F-A62EFF666E3E}">
          <x14:id>{E95A0B9B-1CD8-443A-86EE-BD7B4F7F6C0F}</x14:id>
        </ext>
      </extLst>
    </cfRule>
  </conditionalFormatting>
  <conditionalFormatting pivot="1" sqref="G2:G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{C6321DAF-2967-4D47-A287-BFC4AFD5B71E}</x14:id>
        </ext>
      </extLst>
    </cfRule>
  </conditionalFormatting>
  <conditionalFormatting pivot="1" sqref="D2:D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{53E6BC58-B437-4756-B8AC-6D4714467742}</x14:id>
        </ext>
      </extLst>
    </cfRule>
  </conditionalFormatting>
  <conditionalFormatting pivot="1" sqref="F2:F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{B8BEDDE4-0BB0-4C1F-A276-5A8ABD60C417}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95A0B9B-1CD8-443A-86EE-BD7B4F7F6C0F}">
            <x14:dataBar minLength="0" maxLength="100" border="1" negativeBarBorderColorSameAsPositive="0">
              <x14:cfvo type="num">
                <xm:f>0</xm:f>
              </x14:cfvo>
              <x14:cfvo type="num">
                <xm:f>5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C2:C8</xm:sqref>
        </x14:conditionalFormatting>
        <x14:conditionalFormatting xmlns:xm="http://schemas.microsoft.com/office/excel/2006/main" pivot="1">
          <x14:cfRule type="dataBar" id="{C6321DAF-2967-4D47-A287-BFC4AFD5B7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G2:G8</xm:sqref>
        </x14:conditionalFormatting>
        <x14:conditionalFormatting xmlns:xm="http://schemas.microsoft.com/office/excel/2006/main" pivot="1">
          <x14:cfRule type="dataBar" id="{53E6BC58-B437-4756-B8AC-6D4714467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D2:D8</xm:sqref>
        </x14:conditionalFormatting>
        <x14:conditionalFormatting xmlns:xm="http://schemas.microsoft.com/office/excel/2006/main" pivot="1">
          <x14:cfRule type="dataBar" id="{B8BEDDE4-0BB0-4C1F-A276-5A8ABD60C4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E5E8-4E94-4933-932B-E56CC26A1D36}">
  <dimension ref="A1:I15"/>
  <sheetViews>
    <sheetView zoomScale="84" workbookViewId="0">
      <selection activeCell="B1" sqref="B1:H1048576"/>
    </sheetView>
  </sheetViews>
  <sheetFormatPr defaultRowHeight="14.5" x14ac:dyDescent="0.3"/>
  <cols>
    <col min="1" max="1" width="22.796875" bestFit="1" customWidth="1"/>
    <col min="2" max="9" width="17.5" customWidth="1"/>
    <col min="10" max="84" width="23.09765625" bestFit="1" customWidth="1"/>
    <col min="85" max="93" width="27.69921875" bestFit="1" customWidth="1"/>
    <col min="94" max="96" width="28.796875" bestFit="1" customWidth="1"/>
  </cols>
  <sheetData>
    <row r="1" spans="1:9" x14ac:dyDescent="0.3">
      <c r="B1" s="4" t="s">
        <v>1054</v>
      </c>
      <c r="I1" s="13"/>
    </row>
    <row r="2" spans="1:9" x14ac:dyDescent="0.3">
      <c r="A2" s="4" t="s">
        <v>1056</v>
      </c>
      <c r="B2" t="s">
        <v>26</v>
      </c>
      <c r="C2" t="s">
        <v>19</v>
      </c>
      <c r="D2" t="s">
        <v>29</v>
      </c>
      <c r="E2" t="s">
        <v>35</v>
      </c>
      <c r="F2" t="s">
        <v>21</v>
      </c>
      <c r="G2" t="s">
        <v>48</v>
      </c>
      <c r="H2" t="s">
        <v>23</v>
      </c>
      <c r="I2" s="13" t="s">
        <v>1039</v>
      </c>
    </row>
    <row r="3" spans="1:9" x14ac:dyDescent="0.3">
      <c r="A3" s="10" t="s">
        <v>1057</v>
      </c>
      <c r="B3" s="5">
        <v>77932</v>
      </c>
      <c r="C3" s="5">
        <v>60966</v>
      </c>
      <c r="D3" s="5">
        <v>76347</v>
      </c>
      <c r="E3" s="5">
        <v>67644</v>
      </c>
      <c r="F3" s="5">
        <v>57844</v>
      </c>
      <c r="G3" s="5">
        <v>77737</v>
      </c>
      <c r="H3" s="5">
        <v>79836</v>
      </c>
      <c r="I3" s="11">
        <v>498306</v>
      </c>
    </row>
    <row r="4" spans="1:9" x14ac:dyDescent="0.3">
      <c r="A4" s="10" t="s">
        <v>1058</v>
      </c>
      <c r="B4" s="5">
        <v>80079</v>
      </c>
      <c r="C4" s="5">
        <v>67911</v>
      </c>
      <c r="D4" s="5">
        <v>72472</v>
      </c>
      <c r="E4" s="5">
        <v>67432</v>
      </c>
      <c r="F4" s="5">
        <v>57252</v>
      </c>
      <c r="G4" s="5">
        <v>82244</v>
      </c>
      <c r="H4" s="5">
        <v>80271</v>
      </c>
      <c r="I4" s="11">
        <v>507661</v>
      </c>
    </row>
    <row r="5" spans="1:9" x14ac:dyDescent="0.3">
      <c r="A5" s="10" t="s">
        <v>1059</v>
      </c>
      <c r="B5" s="5">
        <v>76998</v>
      </c>
      <c r="C5" s="5">
        <v>76796</v>
      </c>
      <c r="D5" s="5">
        <v>70708</v>
      </c>
      <c r="E5" s="5">
        <v>67602</v>
      </c>
      <c r="F5" s="5">
        <v>62667</v>
      </c>
      <c r="G5" s="5">
        <v>75109</v>
      </c>
      <c r="H5" s="5">
        <v>76859</v>
      </c>
      <c r="I5" s="11">
        <v>506739</v>
      </c>
    </row>
    <row r="6" spans="1:9" x14ac:dyDescent="0.3">
      <c r="A6" s="10" t="s">
        <v>1060</v>
      </c>
      <c r="B6" s="5">
        <v>74699</v>
      </c>
      <c r="C6" s="5">
        <v>70088</v>
      </c>
      <c r="D6" s="5">
        <v>73158</v>
      </c>
      <c r="E6" s="5">
        <v>72925</v>
      </c>
      <c r="F6" s="5">
        <v>65388</v>
      </c>
      <c r="G6" s="5">
        <v>74287</v>
      </c>
      <c r="H6" s="5">
        <v>73278</v>
      </c>
      <c r="I6" s="11">
        <v>503823</v>
      </c>
    </row>
    <row r="7" spans="1:9" x14ac:dyDescent="0.3">
      <c r="A7" s="10" t="s">
        <v>1061</v>
      </c>
      <c r="B7" s="5">
        <v>79051</v>
      </c>
      <c r="C7" s="5">
        <v>61643</v>
      </c>
      <c r="D7" s="5">
        <v>72169</v>
      </c>
      <c r="E7" s="5">
        <v>69178</v>
      </c>
      <c r="F7" s="5">
        <v>59766</v>
      </c>
      <c r="G7" s="5">
        <v>73467</v>
      </c>
      <c r="H7" s="5">
        <v>71920</v>
      </c>
      <c r="I7" s="11">
        <v>487194</v>
      </c>
    </row>
    <row r="8" spans="1:9" x14ac:dyDescent="0.3">
      <c r="A8" s="10" t="s">
        <v>1062</v>
      </c>
      <c r="B8" s="5">
        <v>76644</v>
      </c>
      <c r="C8" s="5">
        <v>63123</v>
      </c>
      <c r="D8" s="5">
        <v>70060</v>
      </c>
      <c r="E8" s="5">
        <v>63926</v>
      </c>
      <c r="F8" s="5">
        <v>63169</v>
      </c>
      <c r="G8" s="5">
        <v>75641</v>
      </c>
      <c r="H8" s="5">
        <v>79090</v>
      </c>
      <c r="I8" s="11">
        <v>491653</v>
      </c>
    </row>
    <row r="9" spans="1:9" x14ac:dyDescent="0.3">
      <c r="A9" s="10" t="s">
        <v>1063</v>
      </c>
      <c r="B9" s="5">
        <v>79114</v>
      </c>
      <c r="C9" s="5">
        <v>66105</v>
      </c>
      <c r="D9" s="5">
        <v>72223</v>
      </c>
      <c r="E9" s="5">
        <v>75256</v>
      </c>
      <c r="F9" s="5">
        <v>60129</v>
      </c>
      <c r="G9" s="5">
        <v>77082</v>
      </c>
      <c r="H9" s="5">
        <v>77102</v>
      </c>
      <c r="I9" s="11">
        <v>507011</v>
      </c>
    </row>
    <row r="10" spans="1:9" x14ac:dyDescent="0.3">
      <c r="A10" s="10" t="s">
        <v>1064</v>
      </c>
      <c r="B10" s="5">
        <v>78108</v>
      </c>
      <c r="C10" s="5">
        <v>74422</v>
      </c>
      <c r="D10" s="5">
        <v>65754</v>
      </c>
      <c r="E10" s="5">
        <v>69126</v>
      </c>
      <c r="F10" s="5">
        <v>65042</v>
      </c>
      <c r="G10" s="5">
        <v>73912</v>
      </c>
      <c r="H10" s="5">
        <v>78205</v>
      </c>
      <c r="I10" s="11">
        <v>504569</v>
      </c>
    </row>
    <row r="11" spans="1:9" x14ac:dyDescent="0.3">
      <c r="A11" s="10" t="s">
        <v>1065</v>
      </c>
      <c r="B11" s="5">
        <v>77211</v>
      </c>
      <c r="C11" s="5">
        <v>72675</v>
      </c>
      <c r="D11" s="5">
        <v>69914</v>
      </c>
      <c r="E11" s="5">
        <v>64581</v>
      </c>
      <c r="F11" s="5">
        <v>58135</v>
      </c>
      <c r="G11" s="5">
        <v>79209</v>
      </c>
      <c r="H11" s="5">
        <v>70209</v>
      </c>
      <c r="I11" s="11">
        <v>491934</v>
      </c>
    </row>
    <row r="12" spans="1:9" x14ac:dyDescent="0.3">
      <c r="A12" s="10" t="s">
        <v>1066</v>
      </c>
      <c r="B12" s="5">
        <v>83504</v>
      </c>
      <c r="C12" s="5">
        <v>68806</v>
      </c>
      <c r="D12" s="5">
        <v>70148</v>
      </c>
      <c r="E12" s="5">
        <v>72613</v>
      </c>
      <c r="F12" s="5">
        <v>64876</v>
      </c>
      <c r="G12" s="5">
        <v>80187</v>
      </c>
      <c r="H12" s="5">
        <v>74664</v>
      </c>
      <c r="I12" s="11">
        <v>514798</v>
      </c>
    </row>
    <row r="13" spans="1:9" x14ac:dyDescent="0.3">
      <c r="A13" s="10" t="s">
        <v>1067</v>
      </c>
      <c r="B13" s="5">
        <v>76557</v>
      </c>
      <c r="C13" s="5">
        <v>71683</v>
      </c>
      <c r="D13" s="5">
        <v>68148</v>
      </c>
      <c r="E13" s="5">
        <v>72500</v>
      </c>
      <c r="F13" s="5">
        <v>66281</v>
      </c>
      <c r="G13" s="5">
        <v>74270</v>
      </c>
      <c r="H13" s="5">
        <v>76399</v>
      </c>
      <c r="I13" s="11">
        <v>505838</v>
      </c>
    </row>
    <row r="14" spans="1:9" x14ac:dyDescent="0.3">
      <c r="A14" s="10" t="s">
        <v>1068</v>
      </c>
      <c r="B14" s="5">
        <v>78332</v>
      </c>
      <c r="C14" s="5">
        <v>72318</v>
      </c>
      <c r="D14" s="5">
        <v>64019</v>
      </c>
      <c r="E14" s="5">
        <v>71631</v>
      </c>
      <c r="F14" s="5">
        <v>61592</v>
      </c>
      <c r="G14" s="5">
        <v>73226</v>
      </c>
      <c r="H14" s="5">
        <v>79268</v>
      </c>
      <c r="I14" s="11">
        <v>500386</v>
      </c>
    </row>
    <row r="15" spans="1:9" x14ac:dyDescent="0.3">
      <c r="A15" s="12" t="s">
        <v>1069</v>
      </c>
      <c r="B15" s="11">
        <f>SUM(B3:B14)</f>
        <v>938229</v>
      </c>
      <c r="C15" s="11">
        <f t="shared" ref="C15:I15" si="0">SUM(C3:C14)</f>
        <v>826536</v>
      </c>
      <c r="D15" s="11">
        <f t="shared" si="0"/>
        <v>845120</v>
      </c>
      <c r="E15" s="11">
        <f t="shared" si="0"/>
        <v>834414</v>
      </c>
      <c r="F15" s="11">
        <f t="shared" si="0"/>
        <v>742141</v>
      </c>
      <c r="G15" s="11">
        <f t="shared" si="0"/>
        <v>916371</v>
      </c>
      <c r="H15" s="11">
        <f t="shared" si="0"/>
        <v>917101</v>
      </c>
      <c r="I15" s="11">
        <f t="shared" si="0"/>
        <v>6019912</v>
      </c>
    </row>
  </sheetData>
  <conditionalFormatting pivot="1" sqref="I3:I14">
    <cfRule type="dataBar" priority="1">
      <dataBar>
        <cfvo type="num" val="450000"/>
        <cfvo type="num" val="550000"/>
        <color rgb="FF638EC6"/>
      </dataBar>
      <extLst>
        <ext xmlns:x14="http://schemas.microsoft.com/office/spreadsheetml/2009/9/main" uri="{B025F937-C7B1-47D3-B67F-A62EFF666E3E}">
          <x14:id>{1A99CCA5-D909-42FB-88D8-8437DEAD2822}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A99CCA5-D909-42FB-88D8-8437DEAD2822}">
            <x14:dataBar minLength="0" maxLength="100" border="1" negativeBarBorderColorSameAsPositive="0">
              <x14:cfvo type="num">
                <xm:f>450000</xm:f>
              </x14:cfvo>
              <x14:cfvo type="num">
                <xm:f>550000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EDF9-A8B4-4440-81CF-A96E7E258D5A}">
  <dimension ref="A1:I19"/>
  <sheetViews>
    <sheetView tabSelected="1" zoomScale="87" workbookViewId="0">
      <selection activeCell="B1" sqref="B1:H1048576"/>
    </sheetView>
  </sheetViews>
  <sheetFormatPr defaultRowHeight="14.5" x14ac:dyDescent="0.3"/>
  <cols>
    <col min="1" max="1" width="26.296875" bestFit="1" customWidth="1"/>
    <col min="2" max="9" width="17.5" customWidth="1"/>
    <col min="10" max="91" width="25.796875" bestFit="1" customWidth="1"/>
    <col min="92" max="100" width="30.3984375" bestFit="1" customWidth="1"/>
    <col min="101" max="103" width="31.5" bestFit="1" customWidth="1"/>
    <col min="104" max="104" width="26.59765625" bestFit="1" customWidth="1"/>
  </cols>
  <sheetData>
    <row r="1" spans="1:9" x14ac:dyDescent="0.3">
      <c r="B1" s="4" t="s">
        <v>1054</v>
      </c>
      <c r="I1" s="13"/>
    </row>
    <row r="2" spans="1:9" x14ac:dyDescent="0.3">
      <c r="A2" s="4" t="s">
        <v>1055</v>
      </c>
      <c r="B2" t="s">
        <v>26</v>
      </c>
      <c r="C2" t="s">
        <v>19</v>
      </c>
      <c r="D2" t="s">
        <v>29</v>
      </c>
      <c r="E2" t="s">
        <v>35</v>
      </c>
      <c r="F2" t="s">
        <v>21</v>
      </c>
      <c r="G2" t="s">
        <v>48</v>
      </c>
      <c r="H2" t="s">
        <v>23</v>
      </c>
      <c r="I2" s="13" t="s">
        <v>1039</v>
      </c>
    </row>
    <row r="3" spans="1:9" x14ac:dyDescent="0.3">
      <c r="A3" s="10" t="s">
        <v>1057</v>
      </c>
      <c r="B3" s="6">
        <v>19485930.490000002</v>
      </c>
      <c r="C3" s="6">
        <v>13436025.660000008</v>
      </c>
      <c r="D3" s="6">
        <v>18110207.879999995</v>
      </c>
      <c r="E3" s="6">
        <v>18045325.409999993</v>
      </c>
      <c r="F3" s="6">
        <v>14038194.279999999</v>
      </c>
      <c r="G3" s="6">
        <v>19055982.269999996</v>
      </c>
      <c r="H3" s="6">
        <v>19829067.610000003</v>
      </c>
      <c r="I3" s="14">
        <v>122000733.59999999</v>
      </c>
    </row>
    <row r="4" spans="1:9" x14ac:dyDescent="0.3">
      <c r="A4" s="10" t="s">
        <v>1058</v>
      </c>
      <c r="B4" s="6">
        <v>19957691.889999993</v>
      </c>
      <c r="C4" s="6">
        <v>16420644.090000004</v>
      </c>
      <c r="D4" s="6">
        <v>16775555.860000011</v>
      </c>
      <c r="E4" s="6">
        <v>17615618.57</v>
      </c>
      <c r="F4" s="6">
        <v>13298977.750000004</v>
      </c>
      <c r="G4" s="6">
        <v>21129563.510000009</v>
      </c>
      <c r="H4" s="6">
        <v>20414925.979999989</v>
      </c>
      <c r="I4" s="14">
        <v>125612977.64999999</v>
      </c>
    </row>
    <row r="5" spans="1:9" x14ac:dyDescent="0.3">
      <c r="A5" s="10" t="s">
        <v>1059</v>
      </c>
      <c r="B5" s="6">
        <v>20162437.500000004</v>
      </c>
      <c r="C5" s="6">
        <v>17012233.410000004</v>
      </c>
      <c r="D5" s="6">
        <v>16927992.699999996</v>
      </c>
      <c r="E5" s="6">
        <v>17980688.769999996</v>
      </c>
      <c r="F5" s="6">
        <v>14498643.410000002</v>
      </c>
      <c r="G5" s="6">
        <v>18612262.679999992</v>
      </c>
      <c r="H5" s="6">
        <v>19327888.379999999</v>
      </c>
      <c r="I5" s="14">
        <v>124522146.84999998</v>
      </c>
    </row>
    <row r="6" spans="1:9" x14ac:dyDescent="0.3">
      <c r="A6" s="10" t="s">
        <v>1060</v>
      </c>
      <c r="B6" s="6">
        <v>18956014.309999995</v>
      </c>
      <c r="C6" s="6">
        <v>16403848.199999999</v>
      </c>
      <c r="D6" s="6">
        <v>17839634.689999998</v>
      </c>
      <c r="E6" s="6">
        <v>19133268.960000005</v>
      </c>
      <c r="F6" s="6">
        <v>16433015.240000008</v>
      </c>
      <c r="G6" s="6">
        <v>19044637.079999998</v>
      </c>
      <c r="H6" s="6">
        <v>18821008.799999993</v>
      </c>
      <c r="I6" s="14">
        <v>126631427.28</v>
      </c>
    </row>
    <row r="7" spans="1:9" x14ac:dyDescent="0.3">
      <c r="A7" s="10" t="s">
        <v>1061</v>
      </c>
      <c r="B7" s="6">
        <v>20609636.73</v>
      </c>
      <c r="C7" s="6">
        <v>14414173.939999994</v>
      </c>
      <c r="D7" s="6">
        <v>16572709.859999992</v>
      </c>
      <c r="E7" s="6">
        <v>18773000.079999998</v>
      </c>
      <c r="F7" s="6">
        <v>14147352.229999999</v>
      </c>
      <c r="G7" s="6">
        <v>19240937.780000001</v>
      </c>
      <c r="H7" s="6">
        <v>18157506.069999993</v>
      </c>
      <c r="I7" s="14">
        <v>121915316.68999998</v>
      </c>
    </row>
    <row r="8" spans="1:9" x14ac:dyDescent="0.3">
      <c r="A8" s="10" t="s">
        <v>1062</v>
      </c>
      <c r="B8" s="6">
        <v>18964252.960000005</v>
      </c>
      <c r="C8" s="6">
        <v>14118954.220000003</v>
      </c>
      <c r="D8" s="6">
        <v>16821513.689999994</v>
      </c>
      <c r="E8" s="6">
        <v>16400220.859999999</v>
      </c>
      <c r="F8" s="6">
        <v>14524429.339999996</v>
      </c>
      <c r="G8" s="6">
        <v>19109221.530000005</v>
      </c>
      <c r="H8" s="6">
        <v>19683657.260000005</v>
      </c>
      <c r="I8" s="14">
        <v>119622249.86</v>
      </c>
    </row>
    <row r="9" spans="1:9" x14ac:dyDescent="0.3">
      <c r="A9" s="10" t="s">
        <v>1063</v>
      </c>
      <c r="B9" s="6">
        <v>20429337.589999992</v>
      </c>
      <c r="C9" s="6">
        <v>14605376.700000001</v>
      </c>
      <c r="D9" s="6">
        <v>16973996.239999995</v>
      </c>
      <c r="E9" s="6">
        <v>20455210.910000008</v>
      </c>
      <c r="F9" s="6">
        <v>14442992.500000004</v>
      </c>
      <c r="G9" s="6">
        <v>18729059.99000001</v>
      </c>
      <c r="H9" s="6">
        <v>18761947.82</v>
      </c>
      <c r="I9" s="14">
        <v>124397921.75</v>
      </c>
    </row>
    <row r="10" spans="1:9" x14ac:dyDescent="0.3">
      <c r="A10" s="10" t="s">
        <v>1064</v>
      </c>
      <c r="B10" s="6">
        <v>18868303.090000007</v>
      </c>
      <c r="C10" s="6">
        <v>16583879.190000009</v>
      </c>
      <c r="D10" s="6">
        <v>15471864.650000002</v>
      </c>
      <c r="E10" s="6">
        <v>18360092.150000002</v>
      </c>
      <c r="F10" s="6">
        <v>16470170.429999998</v>
      </c>
      <c r="G10" s="6">
        <v>17796405.799999997</v>
      </c>
      <c r="H10" s="6">
        <v>19531863.780000001</v>
      </c>
      <c r="I10" s="14">
        <v>123082579.09000002</v>
      </c>
    </row>
    <row r="11" spans="1:9" x14ac:dyDescent="0.3">
      <c r="A11" s="10" t="s">
        <v>1065</v>
      </c>
      <c r="B11" s="6">
        <v>19109771.260000017</v>
      </c>
      <c r="C11" s="6">
        <v>16208453.529999999</v>
      </c>
      <c r="D11" s="6">
        <v>17190807.229999997</v>
      </c>
      <c r="E11" s="6">
        <v>16634507.879999993</v>
      </c>
      <c r="F11" s="6">
        <v>14098116.810000002</v>
      </c>
      <c r="G11" s="6">
        <v>20509356.259999994</v>
      </c>
      <c r="H11" s="6">
        <v>17748211.349999998</v>
      </c>
      <c r="I11" s="14">
        <v>121499224.31999999</v>
      </c>
    </row>
    <row r="12" spans="1:9" x14ac:dyDescent="0.3">
      <c r="A12" s="10" t="s">
        <v>1066</v>
      </c>
      <c r="B12" s="6">
        <v>21504710.229999997</v>
      </c>
      <c r="C12" s="6">
        <v>15565661.470000001</v>
      </c>
      <c r="D12" s="6">
        <v>17210046.730000008</v>
      </c>
      <c r="E12" s="6">
        <v>20046905.230000004</v>
      </c>
      <c r="F12" s="6">
        <v>15366884.789999997</v>
      </c>
      <c r="G12" s="6">
        <v>21070603.600000005</v>
      </c>
      <c r="H12" s="6">
        <v>18335781.209999997</v>
      </c>
      <c r="I12" s="14">
        <v>129100593.26000001</v>
      </c>
    </row>
    <row r="13" spans="1:9" x14ac:dyDescent="0.3">
      <c r="A13" s="10" t="s">
        <v>1067</v>
      </c>
      <c r="B13" s="6">
        <v>19100834.200000003</v>
      </c>
      <c r="C13" s="6">
        <v>15584494.539999997</v>
      </c>
      <c r="D13" s="6">
        <v>16479785.970000001</v>
      </c>
      <c r="E13" s="6">
        <v>19658148.530000009</v>
      </c>
      <c r="F13" s="6">
        <v>16101030.920000006</v>
      </c>
      <c r="G13" s="6">
        <v>19358695.200000003</v>
      </c>
      <c r="H13" s="6">
        <v>19334161.640000001</v>
      </c>
      <c r="I13" s="14">
        <v>125617151.00000001</v>
      </c>
    </row>
    <row r="14" spans="1:9" x14ac:dyDescent="0.3">
      <c r="A14" s="10" t="s">
        <v>1068</v>
      </c>
      <c r="B14" s="6">
        <v>19633885.350000001</v>
      </c>
      <c r="C14" s="6">
        <v>16904575.899999995</v>
      </c>
      <c r="D14" s="6">
        <v>15300568.57</v>
      </c>
      <c r="E14" s="6">
        <v>18633864.780000016</v>
      </c>
      <c r="F14" s="6">
        <v>14945697.560000002</v>
      </c>
      <c r="G14" s="6">
        <v>18992106.18</v>
      </c>
      <c r="H14" s="6">
        <v>20291163.330000006</v>
      </c>
      <c r="I14" s="14">
        <v>124701861.67000005</v>
      </c>
    </row>
    <row r="15" spans="1:9" x14ac:dyDescent="0.3">
      <c r="A15" s="12" t="s">
        <v>1069</v>
      </c>
      <c r="B15" s="14">
        <f>SUM(B3:B14)</f>
        <v>236782805.59999999</v>
      </c>
      <c r="C15" s="14">
        <f t="shared" ref="C15:I15" si="0">SUM(C3:C14)</f>
        <v>187258320.85000002</v>
      </c>
      <c r="D15" s="14">
        <f t="shared" si="0"/>
        <v>201674684.06999996</v>
      </c>
      <c r="E15" s="14">
        <f t="shared" si="0"/>
        <v>221736852.13</v>
      </c>
      <c r="F15" s="14">
        <f t="shared" si="0"/>
        <v>178365505.26000002</v>
      </c>
      <c r="G15" s="14">
        <f t="shared" si="0"/>
        <v>232648831.88</v>
      </c>
      <c r="H15" s="14">
        <f t="shared" si="0"/>
        <v>230237183.22999999</v>
      </c>
      <c r="I15" s="14">
        <f t="shared" si="0"/>
        <v>1488704183.02</v>
      </c>
    </row>
    <row r="17" spans="1:4" x14ac:dyDescent="0.3">
      <c r="A17" s="31" t="s">
        <v>1045</v>
      </c>
      <c r="B17" s="16"/>
      <c r="C17" s="16"/>
      <c r="D17" s="18"/>
    </row>
    <row r="18" spans="1:4" x14ac:dyDescent="0.3">
      <c r="A18" s="33"/>
      <c r="B18" t="s">
        <v>1047</v>
      </c>
      <c r="D18" s="34"/>
    </row>
    <row r="19" spans="1:4" ht="15" x14ac:dyDescent="0.35">
      <c r="A19" s="35">
        <f>GETPIVOTDATA("Jan",$A$1,"category","Books")</f>
        <v>19485930.490000002</v>
      </c>
      <c r="B19" s="24" t="s">
        <v>1048</v>
      </c>
      <c r="C19" s="24"/>
      <c r="D19" s="27"/>
    </row>
  </sheetData>
  <conditionalFormatting pivot="1" sqref="F3:F14">
    <cfRule type="top10" dxfId="23" priority="19" rank="1"/>
  </conditionalFormatting>
  <conditionalFormatting pivot="1" sqref="G3:G14">
    <cfRule type="top10" dxfId="22" priority="20" rank="1"/>
  </conditionalFormatting>
  <conditionalFormatting pivot="1" sqref="E3:E14">
    <cfRule type="top10" dxfId="21" priority="18" rank="1"/>
  </conditionalFormatting>
  <conditionalFormatting pivot="1" sqref="D3:D14">
    <cfRule type="top10" dxfId="20" priority="17" rank="1"/>
  </conditionalFormatting>
  <conditionalFormatting pivot="1" sqref="B3:B14">
    <cfRule type="top10" dxfId="19" priority="16" rank="1"/>
  </conditionalFormatting>
  <conditionalFormatting pivot="1" sqref="C3:C14">
    <cfRule type="top10" dxfId="18" priority="15" rank="1"/>
  </conditionalFormatting>
  <conditionalFormatting pivot="1" sqref="H3:H14">
    <cfRule type="top10" dxfId="17" priority="14" rank="1"/>
  </conditionalFormatting>
  <conditionalFormatting pivot="1" sqref="B3:H3">
    <cfRule type="top10" dxfId="16" priority="13" rank="1"/>
  </conditionalFormatting>
  <conditionalFormatting pivot="1" sqref="B4:H4">
    <cfRule type="top10" dxfId="15" priority="12" rank="1"/>
  </conditionalFormatting>
  <conditionalFormatting pivot="1" sqref="B9:H9">
    <cfRule type="top10" dxfId="14" priority="11" rank="1"/>
  </conditionalFormatting>
  <conditionalFormatting pivot="1" sqref="B8:H8">
    <cfRule type="top10" dxfId="13" priority="10" rank="1"/>
  </conditionalFormatting>
  <conditionalFormatting pivot="1" sqref="B7:H7">
    <cfRule type="top10" dxfId="12" priority="9" rank="1"/>
  </conditionalFormatting>
  <conditionalFormatting pivot="1" sqref="B6:H6">
    <cfRule type="top10" dxfId="11" priority="8" rank="1"/>
  </conditionalFormatting>
  <conditionalFormatting pivot="1" sqref="B5:H5">
    <cfRule type="top10" dxfId="10" priority="7" rank="1"/>
  </conditionalFormatting>
  <conditionalFormatting pivot="1" sqref="B13:H13">
    <cfRule type="top10" dxfId="9" priority="6" rank="1"/>
  </conditionalFormatting>
  <conditionalFormatting pivot="1" sqref="B12:H12">
    <cfRule type="top10" dxfId="8" priority="5" rank="1"/>
  </conditionalFormatting>
  <conditionalFormatting pivot="1" sqref="B11:H11">
    <cfRule type="top10" dxfId="7" priority="4" rank="1"/>
  </conditionalFormatting>
  <conditionalFormatting pivot="1" sqref="B10:H10">
    <cfRule type="top10" dxfId="6" priority="3" rank="1"/>
  </conditionalFormatting>
  <conditionalFormatting pivot="1" sqref="B14:H14">
    <cfRule type="top10" dxfId="5" priority="2" rank="1"/>
  </conditionalFormatting>
  <conditionalFormatting pivot="1" sqref="I3:I14">
    <cfRule type="dataBar" priority="1">
      <dataBar>
        <cfvo type="num" val="115000000"/>
        <cfvo type="num" val="130000000"/>
        <color rgb="FF63C384"/>
      </dataBar>
      <extLst>
        <ext xmlns:x14="http://schemas.microsoft.com/office/spreadsheetml/2009/9/main" uri="{B025F937-C7B1-47D3-B67F-A62EFF666E3E}">
          <x14:id>{E38258C0-3393-4AE8-92BD-EC02E8725142}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38258C0-3393-4AE8-92BD-EC02E8725142}">
            <x14:dataBar minLength="0" maxLength="100" border="1" negativeBarBorderColorSameAsPositive="0">
              <x14:cfvo type="num">
                <xm:f>115000000</xm:f>
              </x14:cfvo>
              <x14:cfvo type="num">
                <xm:f>130000000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ecommerce_sales_all_data</vt:lpstr>
      <vt:lpstr>2. category_general_analysis</vt:lpstr>
      <vt:lpstr>3. category_monthly_sales</vt:lpstr>
      <vt:lpstr>4. categorical_monthly_revenue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POON, Chun Hei</cp:lastModifiedBy>
  <dcterms:created xsi:type="dcterms:W3CDTF">2026-01-22T02:59:46Z</dcterms:created>
  <dcterms:modified xsi:type="dcterms:W3CDTF">2026-01-27T02:45:40Z</dcterms:modified>
</cp:coreProperties>
</file>